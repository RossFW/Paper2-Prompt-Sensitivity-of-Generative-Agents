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drawings/drawing3.xml" ContentType="application/vnd.openxmlformats-officedocument.drawingml.chartshapes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ml.chartshapes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ml.chartshapes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ml.chartshapes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3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1.xml" ContentType="application/vnd.openxmlformats-officedocument.drawing+xml"/>
  <Override PartName="/xl/charts/chart3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5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6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7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8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9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0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1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2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3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4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5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12.xml" ContentType="application/vnd.openxmlformats-officedocument.drawing+xml"/>
  <Override PartName="/xl/charts/chart46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7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8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9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0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1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2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3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4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5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6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7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3.xml" ContentType="application/vnd.openxmlformats-officedocument.drawing+xml"/>
  <Override PartName="/xl/charts/chart58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9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60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1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2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3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4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5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6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7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8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9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s\Desktop\Paper #2 Generative Agent Prompt Sensisitivity Analysis\Graphs and Data\"/>
    </mc:Choice>
  </mc:AlternateContent>
  <xr:revisionPtr revIDLastSave="0" documentId="13_ncr:1_{8C9E87EA-FE9D-4469-9D07-F0298673B400}" xr6:coauthVersionLast="47" xr6:coauthVersionMax="47" xr10:uidLastSave="{00000000-0000-0000-0000-000000000000}"/>
  <bookViews>
    <workbookView xWindow="28680" yWindow="-3330" windowWidth="38640" windowHeight="21120" xr2:uid="{EE519FF3-5AC6-4043-89E4-D8F18C3A93D4}"/>
  </bookViews>
  <sheets>
    <sheet name="Full Mobility Curves" sheetId="34" r:id="rId1"/>
    <sheet name="Full data" sheetId="30" r:id="rId2"/>
    <sheet name="Full data mobility detail" sheetId="33" r:id="rId3"/>
    <sheet name="Full data infectious details" sheetId="32" r:id="rId4"/>
    <sheet name="Baserun_Full" sheetId="29" r:id="rId5"/>
    <sheet name="Aware_Full" sheetId="3" r:id="rId6"/>
    <sheet name="Learn_Full" sheetId="27" r:id="rId7"/>
    <sheet name="Rich_Full" sheetId="28" r:id="rId8"/>
    <sheet name="Aware1" sheetId="4" r:id="rId9"/>
    <sheet name="Aware2" sheetId="5" r:id="rId10"/>
    <sheet name="Aware3" sheetId="6" r:id="rId11"/>
    <sheet name="Aware4" sheetId="7" r:id="rId12"/>
    <sheet name="Aware5" sheetId="8" r:id="rId13"/>
    <sheet name="Learn1" sheetId="9" r:id="rId14"/>
    <sheet name="Learn2" sheetId="10" r:id="rId15"/>
    <sheet name="Learn3" sheetId="11" r:id="rId16"/>
    <sheet name="Learn4" sheetId="12" r:id="rId17"/>
    <sheet name="Learn5" sheetId="13" r:id="rId18"/>
    <sheet name="Rich1" sheetId="15" r:id="rId19"/>
    <sheet name="Rich2" sheetId="16" r:id="rId20"/>
    <sheet name="Rich3" sheetId="17" r:id="rId21"/>
    <sheet name="Rich4" sheetId="18" r:id="rId22"/>
    <sheet name="Rich5" sheetId="19" r:id="rId23"/>
    <sheet name="Baserun1" sheetId="20" r:id="rId24"/>
    <sheet name="Baserun2" sheetId="21" r:id="rId25"/>
    <sheet name="Baserun3" sheetId="22" r:id="rId26"/>
    <sheet name="Baserun4" sheetId="23" r:id="rId27"/>
    <sheet name="Baserun5" sheetId="24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97" i="34" l="1"/>
  <c r="AP197" i="34"/>
  <c r="AO198" i="34"/>
  <c r="AP198" i="34"/>
  <c r="AO199" i="34"/>
  <c r="AP199" i="34"/>
  <c r="AO200" i="34"/>
  <c r="AP200" i="34"/>
  <c r="AO201" i="34"/>
  <c r="AP201" i="34"/>
  <c r="AO202" i="34"/>
  <c r="AP202" i="34"/>
  <c r="AO203" i="34"/>
  <c r="AP203" i="34"/>
  <c r="AO204" i="34"/>
  <c r="AP204" i="34"/>
  <c r="AO205" i="34"/>
  <c r="AP205" i="34"/>
  <c r="AO206" i="34"/>
  <c r="AP206" i="34"/>
  <c r="AO207" i="34"/>
  <c r="AP207" i="34"/>
  <c r="AO208" i="34"/>
  <c r="AP208" i="34"/>
  <c r="AO209" i="34"/>
  <c r="AP209" i="34"/>
  <c r="AO210" i="34"/>
  <c r="AP210" i="34"/>
  <c r="AO211" i="34"/>
  <c r="AP211" i="34"/>
  <c r="AO212" i="34"/>
  <c r="AP212" i="34"/>
  <c r="AO213" i="34"/>
  <c r="AP213" i="34"/>
  <c r="AO214" i="34"/>
  <c r="AP214" i="34"/>
  <c r="AO215" i="34"/>
  <c r="AP215" i="34"/>
  <c r="AO216" i="34"/>
  <c r="AP216" i="34"/>
  <c r="AO217" i="34"/>
  <c r="AP217" i="34"/>
  <c r="AO218" i="34"/>
  <c r="AP218" i="34"/>
  <c r="AO219" i="34"/>
  <c r="AP219" i="34"/>
  <c r="AO220" i="34"/>
  <c r="AP220" i="34"/>
  <c r="AO221" i="34"/>
  <c r="AP221" i="34"/>
  <c r="AP196" i="34"/>
  <c r="AO196" i="34"/>
  <c r="AO148" i="34"/>
  <c r="AP148" i="34"/>
  <c r="AO149" i="34"/>
  <c r="AP149" i="34"/>
  <c r="AO150" i="34"/>
  <c r="AP150" i="34"/>
  <c r="AO151" i="34"/>
  <c r="AP151" i="34"/>
  <c r="AO152" i="34"/>
  <c r="AP152" i="34"/>
  <c r="AO153" i="34"/>
  <c r="AP153" i="34"/>
  <c r="AO154" i="34"/>
  <c r="AP154" i="34"/>
  <c r="AO155" i="34"/>
  <c r="AP155" i="34"/>
  <c r="AO156" i="34"/>
  <c r="AP156" i="34"/>
  <c r="AO157" i="34"/>
  <c r="AP157" i="34"/>
  <c r="AO158" i="34"/>
  <c r="AP158" i="34"/>
  <c r="AO159" i="34"/>
  <c r="AP159" i="34"/>
  <c r="AO160" i="34"/>
  <c r="AP160" i="34"/>
  <c r="AO161" i="34"/>
  <c r="AP161" i="34"/>
  <c r="AO162" i="34"/>
  <c r="AP162" i="34"/>
  <c r="AO163" i="34"/>
  <c r="AP163" i="34"/>
  <c r="AO164" i="34"/>
  <c r="AP164" i="34"/>
  <c r="AO165" i="34"/>
  <c r="AP165" i="34"/>
  <c r="AO166" i="34"/>
  <c r="AP166" i="34"/>
  <c r="AO167" i="34"/>
  <c r="AP167" i="34"/>
  <c r="AO168" i="34"/>
  <c r="AP168" i="34"/>
  <c r="AO169" i="34"/>
  <c r="AP169" i="34"/>
  <c r="AO170" i="34"/>
  <c r="AP170" i="34"/>
  <c r="AO171" i="34"/>
  <c r="AP171" i="34"/>
  <c r="AO172" i="34"/>
  <c r="AP172" i="34"/>
  <c r="AO173" i="34"/>
  <c r="AP173" i="34"/>
  <c r="AO174" i="34"/>
  <c r="AP174" i="34"/>
  <c r="AO175" i="34"/>
  <c r="AP175" i="34"/>
  <c r="AO176" i="34"/>
  <c r="AP176" i="34"/>
  <c r="AO177" i="34"/>
  <c r="AP177" i="34"/>
  <c r="AO178" i="34"/>
  <c r="AP178" i="34"/>
  <c r="AO179" i="34"/>
  <c r="AP179" i="34"/>
  <c r="AO180" i="34"/>
  <c r="AP180" i="34"/>
  <c r="AO181" i="34"/>
  <c r="AP181" i="34"/>
  <c r="AO182" i="34"/>
  <c r="AP182" i="34"/>
  <c r="AO183" i="34"/>
  <c r="AP183" i="34"/>
  <c r="AO184" i="34"/>
  <c r="AP184" i="34"/>
  <c r="AO185" i="34"/>
  <c r="AP185" i="34"/>
  <c r="AO186" i="34"/>
  <c r="AP186" i="34"/>
  <c r="AO187" i="34"/>
  <c r="AP187" i="34"/>
  <c r="AO188" i="34"/>
  <c r="AP188" i="34"/>
  <c r="AO189" i="34"/>
  <c r="AP189" i="34"/>
  <c r="AO190" i="34"/>
  <c r="AP190" i="34"/>
  <c r="AO191" i="34"/>
  <c r="AP191" i="34"/>
  <c r="AO192" i="34"/>
  <c r="AP192" i="34"/>
  <c r="AO193" i="34"/>
  <c r="AP193" i="34"/>
  <c r="AO194" i="34"/>
  <c r="AP194" i="34"/>
  <c r="AO195" i="34"/>
  <c r="AP195" i="34"/>
  <c r="AP147" i="34"/>
  <c r="AO147" i="34"/>
  <c r="AO99" i="34"/>
  <c r="AP99" i="34"/>
  <c r="AO100" i="34"/>
  <c r="AP100" i="34"/>
  <c r="AO101" i="34"/>
  <c r="AP101" i="34"/>
  <c r="AO102" i="34"/>
  <c r="AP102" i="34"/>
  <c r="AO103" i="34"/>
  <c r="AP103" i="34"/>
  <c r="AO104" i="34"/>
  <c r="AP104" i="34"/>
  <c r="AO105" i="34"/>
  <c r="AP105" i="34"/>
  <c r="AO106" i="34"/>
  <c r="AP106" i="34"/>
  <c r="AO107" i="34"/>
  <c r="AP107" i="34"/>
  <c r="AO108" i="34"/>
  <c r="AP108" i="34"/>
  <c r="AO109" i="34"/>
  <c r="AP109" i="34"/>
  <c r="AO110" i="34"/>
  <c r="AP110" i="34"/>
  <c r="AO111" i="34"/>
  <c r="AP111" i="34"/>
  <c r="AO112" i="34"/>
  <c r="AP112" i="34"/>
  <c r="AO113" i="34"/>
  <c r="AP113" i="34"/>
  <c r="AO114" i="34"/>
  <c r="AP114" i="34"/>
  <c r="AO115" i="34"/>
  <c r="AP115" i="34"/>
  <c r="AO116" i="34"/>
  <c r="AP116" i="34"/>
  <c r="AO117" i="34"/>
  <c r="AP117" i="34"/>
  <c r="AO118" i="34"/>
  <c r="AP118" i="34"/>
  <c r="AO119" i="34"/>
  <c r="AP119" i="34"/>
  <c r="AO120" i="34"/>
  <c r="AP120" i="34"/>
  <c r="AO121" i="34"/>
  <c r="AP121" i="34"/>
  <c r="AO122" i="34"/>
  <c r="AP122" i="34"/>
  <c r="AO123" i="34"/>
  <c r="AP123" i="34"/>
  <c r="AO124" i="34"/>
  <c r="AP124" i="34"/>
  <c r="AO125" i="34"/>
  <c r="AP125" i="34"/>
  <c r="AO126" i="34"/>
  <c r="AP126" i="34"/>
  <c r="AO127" i="34"/>
  <c r="AP127" i="34"/>
  <c r="AO128" i="34"/>
  <c r="AP128" i="34"/>
  <c r="AO129" i="34"/>
  <c r="AP129" i="34"/>
  <c r="AO130" i="34"/>
  <c r="AP130" i="34"/>
  <c r="AO131" i="34"/>
  <c r="AP131" i="34"/>
  <c r="AO132" i="34"/>
  <c r="AP132" i="34"/>
  <c r="AO133" i="34"/>
  <c r="AP133" i="34"/>
  <c r="AO134" i="34"/>
  <c r="AP134" i="34"/>
  <c r="AO135" i="34"/>
  <c r="AP135" i="34"/>
  <c r="AO136" i="34"/>
  <c r="AP136" i="34"/>
  <c r="AO137" i="34"/>
  <c r="AP137" i="34"/>
  <c r="AO138" i="34"/>
  <c r="AP138" i="34"/>
  <c r="AO139" i="34"/>
  <c r="AP139" i="34"/>
  <c r="AO140" i="34"/>
  <c r="AP140" i="34"/>
  <c r="AO141" i="34"/>
  <c r="AP141" i="34"/>
  <c r="AO142" i="34"/>
  <c r="AP142" i="34"/>
  <c r="AO143" i="34"/>
  <c r="AP143" i="34"/>
  <c r="AO144" i="34"/>
  <c r="AP144" i="34"/>
  <c r="AO145" i="34"/>
  <c r="AP145" i="34"/>
  <c r="AO146" i="34"/>
  <c r="AP146" i="34"/>
  <c r="AP98" i="34"/>
  <c r="AO98" i="34"/>
  <c r="AO53" i="34"/>
  <c r="AP53" i="34"/>
  <c r="AO54" i="34"/>
  <c r="AP54" i="34"/>
  <c r="AO55" i="34"/>
  <c r="AP55" i="34"/>
  <c r="AO56" i="34"/>
  <c r="AP56" i="34"/>
  <c r="AO57" i="34"/>
  <c r="AP57" i="34"/>
  <c r="AO58" i="34"/>
  <c r="AP58" i="34"/>
  <c r="AO59" i="34"/>
  <c r="AP59" i="34"/>
  <c r="AO60" i="34"/>
  <c r="AP60" i="34"/>
  <c r="AO61" i="34"/>
  <c r="AP61" i="34"/>
  <c r="AO62" i="34"/>
  <c r="AP62" i="34"/>
  <c r="AO63" i="34"/>
  <c r="AP63" i="34"/>
  <c r="AO64" i="34"/>
  <c r="AP64" i="34"/>
  <c r="AO65" i="34"/>
  <c r="AP65" i="34"/>
  <c r="AO66" i="34"/>
  <c r="AP66" i="34"/>
  <c r="AO67" i="34"/>
  <c r="AP67" i="34"/>
  <c r="AO68" i="34"/>
  <c r="AP68" i="34"/>
  <c r="AO69" i="34"/>
  <c r="AP69" i="34"/>
  <c r="AO70" i="34"/>
  <c r="AP70" i="34"/>
  <c r="AO71" i="34"/>
  <c r="AP71" i="34"/>
  <c r="AO72" i="34"/>
  <c r="AP72" i="34"/>
  <c r="AO73" i="34"/>
  <c r="AP73" i="34"/>
  <c r="AO74" i="34"/>
  <c r="AP74" i="34"/>
  <c r="AO75" i="34"/>
  <c r="AP75" i="34"/>
  <c r="AO76" i="34"/>
  <c r="AP76" i="34"/>
  <c r="AO77" i="34"/>
  <c r="AP77" i="34"/>
  <c r="AO78" i="34"/>
  <c r="AP78" i="34"/>
  <c r="AO79" i="34"/>
  <c r="AP79" i="34"/>
  <c r="AO80" i="34"/>
  <c r="AP80" i="34"/>
  <c r="AO81" i="34"/>
  <c r="AP81" i="34"/>
  <c r="AO82" i="34"/>
  <c r="AP82" i="34"/>
  <c r="AO83" i="34"/>
  <c r="AP83" i="34"/>
  <c r="AO84" i="34"/>
  <c r="AP84" i="34"/>
  <c r="AO85" i="34"/>
  <c r="AP85" i="34"/>
  <c r="AO86" i="34"/>
  <c r="AP86" i="34"/>
  <c r="AO87" i="34"/>
  <c r="AP87" i="34"/>
  <c r="AO88" i="34"/>
  <c r="AP88" i="34"/>
  <c r="AO89" i="34"/>
  <c r="AP89" i="34"/>
  <c r="AO90" i="34"/>
  <c r="AP90" i="34"/>
  <c r="AO91" i="34"/>
  <c r="AP91" i="34"/>
  <c r="AO92" i="34"/>
  <c r="AP92" i="34"/>
  <c r="AO93" i="34"/>
  <c r="AP93" i="34"/>
  <c r="AO94" i="34"/>
  <c r="AP94" i="34"/>
  <c r="AO95" i="34"/>
  <c r="AP95" i="34"/>
  <c r="AO96" i="34"/>
  <c r="AP96" i="34"/>
  <c r="AO97" i="34"/>
  <c r="AP97" i="34"/>
  <c r="AP52" i="34"/>
  <c r="AO52" i="34"/>
  <c r="AO4" i="34"/>
  <c r="AP4" i="34"/>
  <c r="AO5" i="34"/>
  <c r="AP5" i="34"/>
  <c r="AO6" i="34"/>
  <c r="AP6" i="34"/>
  <c r="AO7" i="34"/>
  <c r="AP7" i="34"/>
  <c r="AO8" i="34"/>
  <c r="AP8" i="34"/>
  <c r="AO9" i="34"/>
  <c r="AP9" i="34"/>
  <c r="AO10" i="34"/>
  <c r="AP10" i="34"/>
  <c r="AO11" i="34"/>
  <c r="AP11" i="34"/>
  <c r="AO12" i="34"/>
  <c r="AP12" i="34"/>
  <c r="AO13" i="34"/>
  <c r="AP13" i="34"/>
  <c r="AO14" i="34"/>
  <c r="AP14" i="34"/>
  <c r="AO15" i="34"/>
  <c r="AP15" i="34"/>
  <c r="AO16" i="34"/>
  <c r="AP16" i="34"/>
  <c r="AO17" i="34"/>
  <c r="AP17" i="34"/>
  <c r="AO18" i="34"/>
  <c r="AP18" i="34"/>
  <c r="AO19" i="34"/>
  <c r="AP19" i="34"/>
  <c r="AO20" i="34"/>
  <c r="AP20" i="34"/>
  <c r="AO21" i="34"/>
  <c r="AP21" i="34"/>
  <c r="AO22" i="34"/>
  <c r="AP22" i="34"/>
  <c r="AO23" i="34"/>
  <c r="AP23" i="34"/>
  <c r="AO24" i="34"/>
  <c r="AP24" i="34"/>
  <c r="AO25" i="34"/>
  <c r="AP25" i="34"/>
  <c r="AO26" i="34"/>
  <c r="AP26" i="34"/>
  <c r="AO27" i="34"/>
  <c r="AP27" i="34"/>
  <c r="AO28" i="34"/>
  <c r="AP28" i="34"/>
  <c r="AO29" i="34"/>
  <c r="AP29" i="34"/>
  <c r="AO30" i="34"/>
  <c r="AP30" i="34"/>
  <c r="AO31" i="34"/>
  <c r="AP31" i="34"/>
  <c r="AO32" i="34"/>
  <c r="AP32" i="34"/>
  <c r="AO33" i="34"/>
  <c r="AP33" i="34"/>
  <c r="AO34" i="34"/>
  <c r="AP34" i="34"/>
  <c r="AO35" i="34"/>
  <c r="AP35" i="34"/>
  <c r="AO36" i="34"/>
  <c r="AP36" i="34"/>
  <c r="AO37" i="34"/>
  <c r="AP37" i="34"/>
  <c r="AO38" i="34"/>
  <c r="AP38" i="34"/>
  <c r="AO39" i="34"/>
  <c r="AP39" i="34"/>
  <c r="AO40" i="34"/>
  <c r="AP40" i="34"/>
  <c r="AO41" i="34"/>
  <c r="AP41" i="34"/>
  <c r="AO42" i="34"/>
  <c r="AP42" i="34"/>
  <c r="AO43" i="34"/>
  <c r="AP43" i="34"/>
  <c r="AO44" i="34"/>
  <c r="AP44" i="34"/>
  <c r="AO45" i="34"/>
  <c r="AP45" i="34"/>
  <c r="AO46" i="34"/>
  <c r="AP46" i="34"/>
  <c r="AO47" i="34"/>
  <c r="AP47" i="34"/>
  <c r="AO48" i="34"/>
  <c r="AP48" i="34"/>
  <c r="AO49" i="34"/>
  <c r="AP49" i="34"/>
  <c r="AO50" i="34"/>
  <c r="AP50" i="34"/>
  <c r="AO51" i="34"/>
  <c r="AP51" i="34"/>
  <c r="AP3" i="34"/>
  <c r="AO3" i="34"/>
  <c r="I4" i="34"/>
  <c r="J4" i="34"/>
  <c r="I5" i="34"/>
  <c r="J5" i="34"/>
  <c r="I6" i="34"/>
  <c r="J6" i="34"/>
  <c r="I7" i="34"/>
  <c r="J7" i="34"/>
  <c r="I8" i="34"/>
  <c r="J8" i="34"/>
  <c r="I9" i="34"/>
  <c r="J9" i="34"/>
  <c r="I10" i="34"/>
  <c r="J10" i="34"/>
  <c r="I11" i="34"/>
  <c r="J11" i="34"/>
  <c r="I12" i="34"/>
  <c r="J12" i="34"/>
  <c r="I13" i="34"/>
  <c r="J13" i="34"/>
  <c r="I14" i="34"/>
  <c r="J14" i="34"/>
  <c r="I15" i="34"/>
  <c r="J15" i="34"/>
  <c r="I16" i="34"/>
  <c r="J16" i="34"/>
  <c r="I17" i="34"/>
  <c r="J17" i="34"/>
  <c r="I18" i="34"/>
  <c r="J18" i="34"/>
  <c r="I19" i="34"/>
  <c r="J19" i="34"/>
  <c r="I20" i="34"/>
  <c r="J20" i="34"/>
  <c r="I21" i="34"/>
  <c r="J21" i="34"/>
  <c r="I22" i="34"/>
  <c r="J22" i="34"/>
  <c r="I23" i="34"/>
  <c r="J23" i="34"/>
  <c r="I24" i="34"/>
  <c r="J24" i="34"/>
  <c r="I25" i="34"/>
  <c r="J25" i="34"/>
  <c r="I26" i="34"/>
  <c r="J26" i="34"/>
  <c r="I27" i="34"/>
  <c r="J27" i="34"/>
  <c r="I28" i="34"/>
  <c r="J28" i="34"/>
  <c r="G4" i="34"/>
  <c r="H4" i="34"/>
  <c r="G5" i="34"/>
  <c r="H5" i="34"/>
  <c r="G6" i="34"/>
  <c r="H6" i="34"/>
  <c r="G7" i="34"/>
  <c r="H7" i="34"/>
  <c r="G8" i="34"/>
  <c r="H8" i="34"/>
  <c r="G9" i="34"/>
  <c r="H9" i="34"/>
  <c r="G10" i="34"/>
  <c r="H10" i="34"/>
  <c r="G11" i="34"/>
  <c r="H11" i="34"/>
  <c r="G12" i="34"/>
  <c r="H12" i="34"/>
  <c r="G13" i="34"/>
  <c r="H13" i="34"/>
  <c r="G14" i="34"/>
  <c r="H14" i="34"/>
  <c r="G15" i="34"/>
  <c r="H15" i="34"/>
  <c r="G16" i="34"/>
  <c r="H16" i="34"/>
  <c r="G17" i="34"/>
  <c r="H17" i="34"/>
  <c r="G18" i="34"/>
  <c r="H18" i="34"/>
  <c r="G19" i="34"/>
  <c r="H19" i="34"/>
  <c r="G20" i="34"/>
  <c r="H20" i="34"/>
  <c r="G21" i="34"/>
  <c r="H21" i="34"/>
  <c r="G22" i="34"/>
  <c r="H22" i="34"/>
  <c r="G23" i="34"/>
  <c r="H23" i="34"/>
  <c r="G24" i="34"/>
  <c r="H24" i="34"/>
  <c r="G25" i="34"/>
  <c r="H25" i="34"/>
  <c r="G26" i="34"/>
  <c r="H26" i="34"/>
  <c r="G27" i="34"/>
  <c r="H27" i="34"/>
  <c r="G28" i="34"/>
  <c r="H28" i="34"/>
  <c r="G29" i="34"/>
  <c r="H29" i="34"/>
  <c r="G30" i="34"/>
  <c r="H30" i="34"/>
  <c r="G31" i="34"/>
  <c r="H31" i="34"/>
  <c r="G32" i="34"/>
  <c r="H32" i="34"/>
  <c r="G33" i="34"/>
  <c r="H33" i="34"/>
  <c r="G34" i="34"/>
  <c r="H34" i="34"/>
  <c r="G35" i="34"/>
  <c r="H35" i="34"/>
  <c r="G36" i="34"/>
  <c r="H36" i="34"/>
  <c r="G37" i="34"/>
  <c r="H37" i="34"/>
  <c r="G38" i="34"/>
  <c r="H38" i="34"/>
  <c r="G39" i="34"/>
  <c r="H39" i="34"/>
  <c r="G40" i="34"/>
  <c r="H40" i="34"/>
  <c r="G41" i="34"/>
  <c r="H41" i="34"/>
  <c r="G42" i="34"/>
  <c r="H42" i="34"/>
  <c r="G43" i="34"/>
  <c r="H43" i="34"/>
  <c r="G44" i="34"/>
  <c r="H44" i="34"/>
  <c r="G45" i="34"/>
  <c r="H45" i="34"/>
  <c r="G46" i="34"/>
  <c r="H46" i="34"/>
  <c r="G47" i="34"/>
  <c r="H47" i="34"/>
  <c r="G48" i="34"/>
  <c r="H48" i="34"/>
  <c r="G49" i="34"/>
  <c r="H49" i="34"/>
  <c r="G50" i="34"/>
  <c r="H50" i="34"/>
  <c r="G51" i="34"/>
  <c r="H51" i="34"/>
  <c r="E4" i="34"/>
  <c r="F4" i="34"/>
  <c r="E5" i="34"/>
  <c r="F5" i="34"/>
  <c r="E6" i="34"/>
  <c r="F6" i="34"/>
  <c r="E7" i="34"/>
  <c r="F7" i="34"/>
  <c r="E8" i="34"/>
  <c r="F8" i="34"/>
  <c r="E9" i="34"/>
  <c r="F9" i="34"/>
  <c r="E10" i="34"/>
  <c r="F10" i="34"/>
  <c r="E11" i="34"/>
  <c r="F11" i="34"/>
  <c r="E12" i="34"/>
  <c r="F12" i="34"/>
  <c r="E13" i="34"/>
  <c r="F13" i="34"/>
  <c r="E14" i="34"/>
  <c r="F14" i="34"/>
  <c r="E15" i="34"/>
  <c r="F15" i="34"/>
  <c r="E16" i="34"/>
  <c r="F16" i="34"/>
  <c r="E17" i="34"/>
  <c r="F17" i="34"/>
  <c r="E18" i="34"/>
  <c r="F18" i="34"/>
  <c r="E19" i="34"/>
  <c r="F19" i="34"/>
  <c r="E20" i="34"/>
  <c r="F20" i="34"/>
  <c r="E21" i="34"/>
  <c r="F21" i="34"/>
  <c r="E22" i="34"/>
  <c r="F22" i="34"/>
  <c r="E23" i="34"/>
  <c r="F23" i="34"/>
  <c r="E24" i="34"/>
  <c r="F24" i="34"/>
  <c r="E25" i="34"/>
  <c r="F25" i="34"/>
  <c r="E26" i="34"/>
  <c r="F26" i="34"/>
  <c r="E27" i="34"/>
  <c r="F27" i="34"/>
  <c r="E28" i="34"/>
  <c r="F28" i="34"/>
  <c r="E29" i="34"/>
  <c r="F29" i="34"/>
  <c r="E30" i="34"/>
  <c r="F30" i="34"/>
  <c r="E31" i="34"/>
  <c r="F31" i="34"/>
  <c r="E32" i="34"/>
  <c r="F32" i="34"/>
  <c r="E33" i="34"/>
  <c r="F33" i="34"/>
  <c r="E34" i="34"/>
  <c r="F34" i="34"/>
  <c r="E35" i="34"/>
  <c r="F35" i="34"/>
  <c r="E36" i="34"/>
  <c r="F36" i="34"/>
  <c r="E37" i="34"/>
  <c r="F37" i="34"/>
  <c r="E38" i="34"/>
  <c r="F38" i="34"/>
  <c r="E39" i="34"/>
  <c r="F39" i="34"/>
  <c r="E40" i="34"/>
  <c r="F40" i="34"/>
  <c r="E41" i="34"/>
  <c r="F41" i="34"/>
  <c r="E42" i="34"/>
  <c r="F42" i="34"/>
  <c r="E43" i="34"/>
  <c r="F43" i="34"/>
  <c r="E44" i="34"/>
  <c r="F44" i="34"/>
  <c r="E45" i="34"/>
  <c r="F45" i="34"/>
  <c r="E46" i="34"/>
  <c r="F46" i="34"/>
  <c r="E47" i="34"/>
  <c r="F47" i="34"/>
  <c r="E48" i="34"/>
  <c r="F48" i="34"/>
  <c r="E49" i="34"/>
  <c r="F49" i="34"/>
  <c r="E50" i="34"/>
  <c r="F50" i="34"/>
  <c r="E51" i="34"/>
  <c r="F51" i="34"/>
  <c r="C4" i="34"/>
  <c r="D4" i="34"/>
  <c r="C5" i="34"/>
  <c r="D5" i="34"/>
  <c r="C6" i="34"/>
  <c r="D6" i="34"/>
  <c r="C7" i="34"/>
  <c r="D7" i="34"/>
  <c r="C8" i="34"/>
  <c r="D8" i="34"/>
  <c r="C9" i="34"/>
  <c r="D9" i="34"/>
  <c r="C10" i="34"/>
  <c r="D10" i="34"/>
  <c r="C11" i="34"/>
  <c r="D11" i="34"/>
  <c r="C12" i="34"/>
  <c r="D12" i="34"/>
  <c r="C13" i="34"/>
  <c r="D13" i="34"/>
  <c r="C14" i="34"/>
  <c r="D14" i="34"/>
  <c r="C15" i="34"/>
  <c r="D15" i="34"/>
  <c r="C16" i="34"/>
  <c r="D16" i="34"/>
  <c r="C17" i="34"/>
  <c r="D17" i="34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D25" i="34"/>
  <c r="C26" i="34"/>
  <c r="D26" i="34"/>
  <c r="C27" i="34"/>
  <c r="D27" i="34"/>
  <c r="C28" i="34"/>
  <c r="D28" i="34"/>
  <c r="C29" i="34"/>
  <c r="D29" i="34"/>
  <c r="C30" i="34"/>
  <c r="D30" i="34"/>
  <c r="C31" i="34"/>
  <c r="D31" i="34"/>
  <c r="C32" i="34"/>
  <c r="D32" i="34"/>
  <c r="C33" i="34"/>
  <c r="D33" i="34"/>
  <c r="C34" i="34"/>
  <c r="D34" i="34"/>
  <c r="C35" i="34"/>
  <c r="D35" i="34"/>
  <c r="C36" i="34"/>
  <c r="D36" i="34"/>
  <c r="C37" i="34"/>
  <c r="D37" i="34"/>
  <c r="C38" i="34"/>
  <c r="D38" i="34"/>
  <c r="C39" i="34"/>
  <c r="D39" i="34"/>
  <c r="C40" i="34"/>
  <c r="D40" i="34"/>
  <c r="C41" i="34"/>
  <c r="D41" i="34"/>
  <c r="C42" i="34"/>
  <c r="D42" i="34"/>
  <c r="C43" i="34"/>
  <c r="D43" i="34"/>
  <c r="C44" i="34"/>
  <c r="D44" i="34"/>
  <c r="C45" i="34"/>
  <c r="D45" i="34"/>
  <c r="C46" i="34"/>
  <c r="D46" i="34"/>
  <c r="C47" i="34"/>
  <c r="D47" i="34"/>
  <c r="C48" i="34"/>
  <c r="D48" i="34"/>
  <c r="A48" i="34"/>
  <c r="B48" i="34"/>
  <c r="A49" i="34"/>
  <c r="B49" i="34"/>
  <c r="A50" i="34"/>
  <c r="B50" i="34"/>
  <c r="A51" i="34"/>
  <c r="B51" i="34"/>
  <c r="A4" i="34"/>
  <c r="B4" i="34"/>
  <c r="A5" i="34"/>
  <c r="B5" i="34"/>
  <c r="A6" i="34"/>
  <c r="B6" i="34"/>
  <c r="A7" i="34"/>
  <c r="B7" i="34"/>
  <c r="A8" i="34"/>
  <c r="B8" i="34"/>
  <c r="A9" i="34"/>
  <c r="B9" i="34"/>
  <c r="A10" i="34"/>
  <c r="B10" i="34"/>
  <c r="A11" i="34"/>
  <c r="B11" i="34"/>
  <c r="A12" i="34"/>
  <c r="B12" i="34"/>
  <c r="A13" i="34"/>
  <c r="B13" i="34"/>
  <c r="A14" i="34"/>
  <c r="B14" i="34"/>
  <c r="A15" i="34"/>
  <c r="B15" i="34"/>
  <c r="A16" i="34"/>
  <c r="B16" i="34"/>
  <c r="A17" i="34"/>
  <c r="B17" i="34"/>
  <c r="A18" i="34"/>
  <c r="B18" i="34"/>
  <c r="A19" i="34"/>
  <c r="B19" i="34"/>
  <c r="A20" i="34"/>
  <c r="B20" i="34"/>
  <c r="A21" i="34"/>
  <c r="B21" i="34"/>
  <c r="A22" i="34"/>
  <c r="B22" i="34"/>
  <c r="A23" i="34"/>
  <c r="B23" i="34"/>
  <c r="A24" i="34"/>
  <c r="B24" i="34"/>
  <c r="A25" i="34"/>
  <c r="B25" i="34"/>
  <c r="A26" i="34"/>
  <c r="B26" i="34"/>
  <c r="A27" i="34"/>
  <c r="B27" i="34"/>
  <c r="A28" i="34"/>
  <c r="B28" i="34"/>
  <c r="A29" i="34"/>
  <c r="B29" i="34"/>
  <c r="A30" i="34"/>
  <c r="B30" i="34"/>
  <c r="A31" i="34"/>
  <c r="B31" i="34"/>
  <c r="A32" i="34"/>
  <c r="B32" i="34"/>
  <c r="A33" i="34"/>
  <c r="B33" i="34"/>
  <c r="A34" i="34"/>
  <c r="B34" i="34"/>
  <c r="A35" i="34"/>
  <c r="B35" i="34"/>
  <c r="A36" i="34"/>
  <c r="B36" i="34"/>
  <c r="A37" i="34"/>
  <c r="B37" i="34"/>
  <c r="A38" i="34"/>
  <c r="B38" i="34"/>
  <c r="A39" i="34"/>
  <c r="B39" i="34"/>
  <c r="A40" i="34"/>
  <c r="B40" i="34"/>
  <c r="A41" i="34"/>
  <c r="B41" i="34"/>
  <c r="A42" i="34"/>
  <c r="B42" i="34"/>
  <c r="A43" i="34"/>
  <c r="B43" i="34"/>
  <c r="A44" i="34"/>
  <c r="B44" i="34"/>
  <c r="A45" i="34"/>
  <c r="B45" i="34"/>
  <c r="A46" i="34"/>
  <c r="B46" i="34"/>
  <c r="A47" i="34"/>
  <c r="B47" i="34"/>
  <c r="J3" i="34"/>
  <c r="I3" i="34"/>
  <c r="H3" i="34"/>
  <c r="G3" i="34"/>
  <c r="F3" i="34"/>
  <c r="E3" i="34"/>
  <c r="D3" i="34"/>
  <c r="C3" i="34"/>
  <c r="B3" i="34"/>
  <c r="A3" i="34"/>
  <c r="AQ214" i="34"/>
  <c r="AR214" i="34"/>
  <c r="AQ215" i="34"/>
  <c r="AR215" i="34"/>
  <c r="AQ216" i="34"/>
  <c r="AR216" i="34"/>
  <c r="AQ217" i="34"/>
  <c r="AR217" i="34"/>
  <c r="AQ218" i="34"/>
  <c r="AR218" i="34"/>
  <c r="AQ219" i="34"/>
  <c r="AR219" i="34"/>
  <c r="AQ177" i="34"/>
  <c r="AR177" i="34"/>
  <c r="AQ178" i="34"/>
  <c r="AR178" i="34"/>
  <c r="AQ179" i="34"/>
  <c r="AR179" i="34"/>
  <c r="AQ180" i="34"/>
  <c r="AR180" i="34"/>
  <c r="AQ181" i="34"/>
  <c r="AR181" i="34"/>
  <c r="AQ182" i="34"/>
  <c r="AR182" i="34"/>
  <c r="AQ183" i="34"/>
  <c r="AR183" i="34"/>
  <c r="AQ184" i="34"/>
  <c r="AR184" i="34"/>
  <c r="AQ185" i="34"/>
  <c r="AR185" i="34"/>
  <c r="AQ186" i="34"/>
  <c r="AR186" i="34"/>
  <c r="AQ187" i="34"/>
  <c r="AR187" i="34"/>
  <c r="AQ188" i="34"/>
  <c r="AR188" i="34"/>
  <c r="AQ189" i="34"/>
  <c r="AR189" i="34"/>
  <c r="AQ190" i="34"/>
  <c r="AR190" i="34"/>
  <c r="AQ191" i="34"/>
  <c r="AR191" i="34"/>
  <c r="AQ192" i="34"/>
  <c r="AR192" i="34"/>
  <c r="AQ193" i="34"/>
  <c r="AR193" i="34"/>
  <c r="AQ194" i="34"/>
  <c r="AR194" i="34"/>
  <c r="AQ195" i="34"/>
  <c r="AR195" i="34"/>
  <c r="AQ196" i="34"/>
  <c r="AR196" i="34"/>
  <c r="AQ197" i="34"/>
  <c r="AR197" i="34"/>
  <c r="AQ198" i="34"/>
  <c r="AR198" i="34"/>
  <c r="AQ199" i="34"/>
  <c r="AR199" i="34"/>
  <c r="AQ200" i="34"/>
  <c r="AR200" i="34"/>
  <c r="AQ201" i="34"/>
  <c r="AR201" i="34"/>
  <c r="AQ202" i="34"/>
  <c r="AR202" i="34"/>
  <c r="AQ203" i="34"/>
  <c r="AR203" i="34"/>
  <c r="AQ204" i="34"/>
  <c r="AR204" i="34"/>
  <c r="AQ205" i="34"/>
  <c r="AR205" i="34"/>
  <c r="AQ206" i="34"/>
  <c r="AR206" i="34"/>
  <c r="AQ207" i="34"/>
  <c r="AR207" i="34"/>
  <c r="AQ208" i="34"/>
  <c r="AR208" i="34"/>
  <c r="AQ209" i="34"/>
  <c r="AR209" i="34"/>
  <c r="AQ210" i="34"/>
  <c r="AR210" i="34"/>
  <c r="AQ211" i="34"/>
  <c r="AR211" i="34"/>
  <c r="AQ212" i="34"/>
  <c r="AR212" i="34"/>
  <c r="AQ213" i="34"/>
  <c r="AR213" i="34"/>
  <c r="AR176" i="34"/>
  <c r="AQ176" i="34"/>
  <c r="AQ137" i="34"/>
  <c r="AR137" i="34"/>
  <c r="AQ138" i="34"/>
  <c r="AR138" i="34"/>
  <c r="AQ139" i="34"/>
  <c r="AR139" i="34"/>
  <c r="AQ140" i="34"/>
  <c r="AR140" i="34"/>
  <c r="AQ141" i="34"/>
  <c r="AR141" i="34"/>
  <c r="AQ142" i="34"/>
  <c r="AR142" i="34"/>
  <c r="AQ143" i="34"/>
  <c r="AR143" i="34"/>
  <c r="AQ144" i="34"/>
  <c r="AR144" i="34"/>
  <c r="AQ145" i="34"/>
  <c r="AR145" i="34"/>
  <c r="AQ146" i="34"/>
  <c r="AR146" i="34"/>
  <c r="AQ147" i="34"/>
  <c r="AR147" i="34"/>
  <c r="AQ148" i="34"/>
  <c r="AR148" i="34"/>
  <c r="AQ149" i="34"/>
  <c r="AR149" i="34"/>
  <c r="AQ150" i="34"/>
  <c r="AR150" i="34"/>
  <c r="AQ151" i="34"/>
  <c r="AR151" i="34"/>
  <c r="AQ152" i="34"/>
  <c r="AR152" i="34"/>
  <c r="AQ153" i="34"/>
  <c r="AR153" i="34"/>
  <c r="AQ154" i="34"/>
  <c r="AR154" i="34"/>
  <c r="AQ155" i="34"/>
  <c r="AR155" i="34"/>
  <c r="AQ156" i="34"/>
  <c r="AR156" i="34"/>
  <c r="AQ157" i="34"/>
  <c r="AR157" i="34"/>
  <c r="AQ158" i="34"/>
  <c r="AR158" i="34"/>
  <c r="AQ159" i="34"/>
  <c r="AR159" i="34"/>
  <c r="AQ160" i="34"/>
  <c r="AR160" i="34"/>
  <c r="AQ161" i="34"/>
  <c r="AR161" i="34"/>
  <c r="AQ162" i="34"/>
  <c r="AR162" i="34"/>
  <c r="AQ163" i="34"/>
  <c r="AR163" i="34"/>
  <c r="AQ164" i="34"/>
  <c r="AR164" i="34"/>
  <c r="AQ165" i="34"/>
  <c r="AR165" i="34"/>
  <c r="AQ166" i="34"/>
  <c r="AR166" i="34"/>
  <c r="AQ167" i="34"/>
  <c r="AR167" i="34"/>
  <c r="AQ168" i="34"/>
  <c r="AR168" i="34"/>
  <c r="AQ169" i="34"/>
  <c r="AR169" i="34"/>
  <c r="AQ170" i="34"/>
  <c r="AR170" i="34"/>
  <c r="AQ171" i="34"/>
  <c r="AR171" i="34"/>
  <c r="AQ172" i="34"/>
  <c r="AR172" i="34"/>
  <c r="AQ173" i="34"/>
  <c r="AR173" i="34"/>
  <c r="AQ174" i="34"/>
  <c r="AR174" i="34"/>
  <c r="AQ175" i="34"/>
  <c r="AR175" i="34"/>
  <c r="AR136" i="34"/>
  <c r="AQ136" i="34"/>
  <c r="AQ102" i="34"/>
  <c r="AR102" i="34"/>
  <c r="AQ103" i="34"/>
  <c r="AR103" i="34"/>
  <c r="AQ104" i="34"/>
  <c r="AR104" i="34"/>
  <c r="AQ105" i="34"/>
  <c r="AR105" i="34"/>
  <c r="AQ106" i="34"/>
  <c r="AR106" i="34"/>
  <c r="AQ107" i="34"/>
  <c r="AR107" i="34"/>
  <c r="AQ108" i="34"/>
  <c r="AR108" i="34"/>
  <c r="AQ109" i="34"/>
  <c r="AR109" i="34"/>
  <c r="AQ110" i="34"/>
  <c r="AR110" i="34"/>
  <c r="AQ111" i="34"/>
  <c r="AR111" i="34"/>
  <c r="AQ112" i="34"/>
  <c r="AR112" i="34"/>
  <c r="AQ113" i="34"/>
  <c r="AR113" i="34"/>
  <c r="AQ114" i="34"/>
  <c r="AR114" i="34"/>
  <c r="AQ115" i="34"/>
  <c r="AR115" i="34"/>
  <c r="AQ116" i="34"/>
  <c r="AR116" i="34"/>
  <c r="AQ117" i="34"/>
  <c r="AR117" i="34"/>
  <c r="AQ118" i="34"/>
  <c r="AR118" i="34"/>
  <c r="AQ119" i="34"/>
  <c r="AR119" i="34"/>
  <c r="AQ120" i="34"/>
  <c r="AR120" i="34"/>
  <c r="AQ121" i="34"/>
  <c r="AR121" i="34"/>
  <c r="AQ122" i="34"/>
  <c r="AR122" i="34"/>
  <c r="AQ123" i="34"/>
  <c r="AR123" i="34"/>
  <c r="AQ124" i="34"/>
  <c r="AR124" i="34"/>
  <c r="AQ125" i="34"/>
  <c r="AR125" i="34"/>
  <c r="AQ126" i="34"/>
  <c r="AR126" i="34"/>
  <c r="AQ127" i="34"/>
  <c r="AR127" i="34"/>
  <c r="AQ128" i="34"/>
  <c r="AR128" i="34"/>
  <c r="AQ129" i="34"/>
  <c r="AR129" i="34"/>
  <c r="AQ130" i="34"/>
  <c r="AR130" i="34"/>
  <c r="AQ131" i="34"/>
  <c r="AR131" i="34"/>
  <c r="AQ132" i="34"/>
  <c r="AR132" i="34"/>
  <c r="AQ133" i="34"/>
  <c r="AR133" i="34"/>
  <c r="AQ134" i="34"/>
  <c r="AR134" i="34"/>
  <c r="AQ135" i="34"/>
  <c r="AR135" i="34"/>
  <c r="AR101" i="34"/>
  <c r="AQ101" i="34"/>
  <c r="AQ53" i="34"/>
  <c r="AR53" i="34"/>
  <c r="AQ54" i="34"/>
  <c r="AR54" i="34"/>
  <c r="AQ55" i="34"/>
  <c r="AR55" i="34"/>
  <c r="AQ56" i="34"/>
  <c r="AR56" i="34"/>
  <c r="AQ57" i="34"/>
  <c r="AR57" i="34"/>
  <c r="AQ58" i="34"/>
  <c r="AR58" i="34"/>
  <c r="AQ59" i="34"/>
  <c r="AR59" i="34"/>
  <c r="AQ60" i="34"/>
  <c r="AR60" i="34"/>
  <c r="AQ61" i="34"/>
  <c r="AR61" i="34"/>
  <c r="AQ62" i="34"/>
  <c r="AR62" i="34"/>
  <c r="AQ63" i="34"/>
  <c r="AR63" i="34"/>
  <c r="AQ64" i="34"/>
  <c r="AR64" i="34"/>
  <c r="AQ65" i="34"/>
  <c r="AR65" i="34"/>
  <c r="AQ66" i="34"/>
  <c r="AR66" i="34"/>
  <c r="AQ67" i="34"/>
  <c r="AR67" i="34"/>
  <c r="AQ68" i="34"/>
  <c r="AR68" i="34"/>
  <c r="AQ69" i="34"/>
  <c r="AR69" i="34"/>
  <c r="AQ70" i="34"/>
  <c r="AR70" i="34"/>
  <c r="AQ71" i="34"/>
  <c r="AR71" i="34"/>
  <c r="AQ72" i="34"/>
  <c r="AR72" i="34"/>
  <c r="AQ73" i="34"/>
  <c r="AR73" i="34"/>
  <c r="AQ74" i="34"/>
  <c r="AR74" i="34"/>
  <c r="AQ75" i="34"/>
  <c r="AR75" i="34"/>
  <c r="AQ76" i="34"/>
  <c r="AR76" i="34"/>
  <c r="AQ77" i="34"/>
  <c r="AR77" i="34"/>
  <c r="AQ78" i="34"/>
  <c r="AR78" i="34"/>
  <c r="AQ79" i="34"/>
  <c r="AR79" i="34"/>
  <c r="AQ80" i="34"/>
  <c r="AR80" i="34"/>
  <c r="AQ81" i="34"/>
  <c r="AR81" i="34"/>
  <c r="AQ82" i="34"/>
  <c r="AR82" i="34"/>
  <c r="AQ83" i="34"/>
  <c r="AR83" i="34"/>
  <c r="AQ84" i="34"/>
  <c r="AR84" i="34"/>
  <c r="AQ85" i="34"/>
  <c r="AR85" i="34"/>
  <c r="AQ86" i="34"/>
  <c r="AR86" i="34"/>
  <c r="AQ87" i="34"/>
  <c r="AR87" i="34"/>
  <c r="AQ88" i="34"/>
  <c r="AR88" i="34"/>
  <c r="AQ89" i="34"/>
  <c r="AR89" i="34"/>
  <c r="AQ90" i="34"/>
  <c r="AR90" i="34"/>
  <c r="AQ91" i="34"/>
  <c r="AR91" i="34"/>
  <c r="AQ92" i="34"/>
  <c r="AR92" i="34"/>
  <c r="AQ93" i="34"/>
  <c r="AR93" i="34"/>
  <c r="AQ94" i="34"/>
  <c r="AR94" i="34"/>
  <c r="AQ95" i="34"/>
  <c r="AR95" i="34"/>
  <c r="AQ96" i="34"/>
  <c r="AR96" i="34"/>
  <c r="AQ97" i="34"/>
  <c r="AR97" i="34"/>
  <c r="AQ98" i="34"/>
  <c r="AR98" i="34"/>
  <c r="AQ99" i="34"/>
  <c r="AR99" i="34"/>
  <c r="AQ100" i="34"/>
  <c r="AR100" i="34"/>
  <c r="AR52" i="34"/>
  <c r="AQ52" i="34"/>
  <c r="AQ47" i="34"/>
  <c r="AR47" i="34"/>
  <c r="AQ48" i="34"/>
  <c r="AR48" i="34"/>
  <c r="AQ49" i="34"/>
  <c r="AR49" i="34"/>
  <c r="AQ50" i="34"/>
  <c r="AR50" i="34"/>
  <c r="AQ51" i="34"/>
  <c r="AR51" i="34"/>
  <c r="AQ4" i="34"/>
  <c r="AR4" i="34"/>
  <c r="AQ5" i="34"/>
  <c r="AR5" i="34"/>
  <c r="AQ6" i="34"/>
  <c r="AR6" i="34"/>
  <c r="AQ7" i="34"/>
  <c r="AR7" i="34"/>
  <c r="AQ8" i="34"/>
  <c r="AR8" i="34"/>
  <c r="AQ9" i="34"/>
  <c r="AR9" i="34"/>
  <c r="AQ10" i="34"/>
  <c r="AR10" i="34"/>
  <c r="AQ11" i="34"/>
  <c r="AR11" i="34"/>
  <c r="AQ12" i="34"/>
  <c r="AR12" i="34"/>
  <c r="AQ13" i="34"/>
  <c r="AR13" i="34"/>
  <c r="AQ14" i="34"/>
  <c r="AR14" i="34"/>
  <c r="AQ15" i="34"/>
  <c r="AR15" i="34"/>
  <c r="AQ16" i="34"/>
  <c r="AR16" i="34"/>
  <c r="AQ17" i="34"/>
  <c r="AR17" i="34"/>
  <c r="AQ18" i="34"/>
  <c r="AR18" i="34"/>
  <c r="AQ19" i="34"/>
  <c r="AR19" i="34"/>
  <c r="AQ20" i="34"/>
  <c r="AR20" i="34"/>
  <c r="AQ21" i="34"/>
  <c r="AR21" i="34"/>
  <c r="AQ22" i="34"/>
  <c r="AR22" i="34"/>
  <c r="AQ23" i="34"/>
  <c r="AR23" i="34"/>
  <c r="AQ24" i="34"/>
  <c r="AR24" i="34"/>
  <c r="AQ25" i="34"/>
  <c r="AR25" i="34"/>
  <c r="AQ26" i="34"/>
  <c r="AR26" i="34"/>
  <c r="AQ27" i="34"/>
  <c r="AR27" i="34"/>
  <c r="AQ28" i="34"/>
  <c r="AR28" i="34"/>
  <c r="AQ29" i="34"/>
  <c r="AR29" i="34"/>
  <c r="AQ30" i="34"/>
  <c r="AR30" i="34"/>
  <c r="AQ31" i="34"/>
  <c r="AR31" i="34"/>
  <c r="AQ32" i="34"/>
  <c r="AR32" i="34"/>
  <c r="AQ33" i="34"/>
  <c r="AR33" i="34"/>
  <c r="AQ34" i="34"/>
  <c r="AR34" i="34"/>
  <c r="AQ35" i="34"/>
  <c r="AR35" i="34"/>
  <c r="AQ36" i="34"/>
  <c r="AR36" i="34"/>
  <c r="AQ37" i="34"/>
  <c r="AR37" i="34"/>
  <c r="AQ38" i="34"/>
  <c r="AR38" i="34"/>
  <c r="AQ39" i="34"/>
  <c r="AR39" i="34"/>
  <c r="AQ40" i="34"/>
  <c r="AR40" i="34"/>
  <c r="AQ41" i="34"/>
  <c r="AR41" i="34"/>
  <c r="AQ42" i="34"/>
  <c r="AR42" i="34"/>
  <c r="AQ43" i="34"/>
  <c r="AR43" i="34"/>
  <c r="AQ44" i="34"/>
  <c r="AR44" i="34"/>
  <c r="AQ45" i="34"/>
  <c r="AR45" i="34"/>
  <c r="AQ46" i="34"/>
  <c r="AR46" i="34"/>
  <c r="AR3" i="34"/>
  <c r="AQ3" i="34"/>
  <c r="S4" i="34"/>
  <c r="T4" i="34"/>
  <c r="S5" i="34"/>
  <c r="T5" i="34"/>
  <c r="S6" i="34"/>
  <c r="T6" i="34"/>
  <c r="S7" i="34"/>
  <c r="T7" i="34"/>
  <c r="S8" i="34"/>
  <c r="T8" i="34"/>
  <c r="S9" i="34"/>
  <c r="T9" i="34"/>
  <c r="S10" i="34"/>
  <c r="T10" i="34"/>
  <c r="S11" i="34"/>
  <c r="T11" i="34"/>
  <c r="S12" i="34"/>
  <c r="T12" i="34"/>
  <c r="S13" i="34"/>
  <c r="T13" i="34"/>
  <c r="S14" i="34"/>
  <c r="T14" i="34"/>
  <c r="S15" i="34"/>
  <c r="T15" i="34"/>
  <c r="S16" i="34"/>
  <c r="T16" i="34"/>
  <c r="S17" i="34"/>
  <c r="T17" i="34"/>
  <c r="S18" i="34"/>
  <c r="T18" i="34"/>
  <c r="S19" i="34"/>
  <c r="T19" i="34"/>
  <c r="S20" i="34"/>
  <c r="T20" i="34"/>
  <c r="S21" i="34"/>
  <c r="T21" i="34"/>
  <c r="S22" i="34"/>
  <c r="T22" i="34"/>
  <c r="S23" i="34"/>
  <c r="T23" i="34"/>
  <c r="S24" i="34"/>
  <c r="T24" i="34"/>
  <c r="S25" i="34"/>
  <c r="T25" i="34"/>
  <c r="S26" i="34"/>
  <c r="T26" i="34"/>
  <c r="S27" i="34"/>
  <c r="T27" i="34"/>
  <c r="S28" i="34"/>
  <c r="T28" i="34"/>
  <c r="S29" i="34"/>
  <c r="T29" i="34"/>
  <c r="S30" i="34"/>
  <c r="T30" i="34"/>
  <c r="S31" i="34"/>
  <c r="T31" i="34"/>
  <c r="S32" i="34"/>
  <c r="T32" i="34"/>
  <c r="S33" i="34"/>
  <c r="T33" i="34"/>
  <c r="S34" i="34"/>
  <c r="T34" i="34"/>
  <c r="S35" i="34"/>
  <c r="T35" i="34"/>
  <c r="S36" i="34"/>
  <c r="T36" i="34"/>
  <c r="S37" i="34"/>
  <c r="T37" i="34"/>
  <c r="S38" i="34"/>
  <c r="T38" i="34"/>
  <c r="S39" i="34"/>
  <c r="T39" i="34"/>
  <c r="S40" i="34"/>
  <c r="T40" i="34"/>
  <c r="S41" i="34"/>
  <c r="T41" i="34"/>
  <c r="S42" i="34"/>
  <c r="T42" i="34"/>
  <c r="S43" i="34"/>
  <c r="T43" i="34"/>
  <c r="S44" i="34"/>
  <c r="T44" i="34"/>
  <c r="S45" i="34"/>
  <c r="T45" i="34"/>
  <c r="S46" i="34"/>
  <c r="T46" i="34"/>
  <c r="Q4" i="34"/>
  <c r="R4" i="34"/>
  <c r="Q5" i="34"/>
  <c r="R5" i="34"/>
  <c r="Q6" i="34"/>
  <c r="R6" i="34"/>
  <c r="Q7" i="34"/>
  <c r="R7" i="34"/>
  <c r="Q8" i="34"/>
  <c r="R8" i="34"/>
  <c r="Q9" i="34"/>
  <c r="R9" i="34"/>
  <c r="Q10" i="34"/>
  <c r="R10" i="34"/>
  <c r="Q11" i="34"/>
  <c r="R11" i="34"/>
  <c r="Q12" i="34"/>
  <c r="R12" i="34"/>
  <c r="Q13" i="34"/>
  <c r="R13" i="34"/>
  <c r="Q14" i="34"/>
  <c r="R14" i="34"/>
  <c r="Q15" i="34"/>
  <c r="R15" i="34"/>
  <c r="Q16" i="34"/>
  <c r="R16" i="34"/>
  <c r="Q17" i="34"/>
  <c r="R17" i="34"/>
  <c r="Q18" i="34"/>
  <c r="R18" i="34"/>
  <c r="Q19" i="34"/>
  <c r="R19" i="34"/>
  <c r="Q20" i="34"/>
  <c r="R20" i="34"/>
  <c r="Q21" i="34"/>
  <c r="R21" i="34"/>
  <c r="Q22" i="34"/>
  <c r="R22" i="34"/>
  <c r="Q23" i="34"/>
  <c r="R23" i="34"/>
  <c r="Q24" i="34"/>
  <c r="R24" i="34"/>
  <c r="Q25" i="34"/>
  <c r="R25" i="34"/>
  <c r="Q26" i="34"/>
  <c r="R26" i="34"/>
  <c r="Q27" i="34"/>
  <c r="R27" i="34"/>
  <c r="Q28" i="34"/>
  <c r="R28" i="34"/>
  <c r="Q29" i="34"/>
  <c r="R29" i="34"/>
  <c r="Q30" i="34"/>
  <c r="R30" i="34"/>
  <c r="Q31" i="34"/>
  <c r="R31" i="34"/>
  <c r="Q32" i="34"/>
  <c r="R32" i="34"/>
  <c r="Q33" i="34"/>
  <c r="R33" i="34"/>
  <c r="Q34" i="34"/>
  <c r="R34" i="34"/>
  <c r="Q35" i="34"/>
  <c r="R35" i="34"/>
  <c r="Q36" i="34"/>
  <c r="R36" i="34"/>
  <c r="Q37" i="34"/>
  <c r="R37" i="34"/>
  <c r="Q38" i="34"/>
  <c r="R38" i="34"/>
  <c r="Q39" i="34"/>
  <c r="R39" i="34"/>
  <c r="Q40" i="34"/>
  <c r="R40" i="34"/>
  <c r="Q41" i="34"/>
  <c r="R41" i="34"/>
  <c r="Q42" i="34"/>
  <c r="R42" i="34"/>
  <c r="O35" i="34"/>
  <c r="P35" i="34"/>
  <c r="O36" i="34"/>
  <c r="P36" i="34"/>
  <c r="O37" i="34"/>
  <c r="P37" i="34"/>
  <c r="O4" i="34"/>
  <c r="P4" i="34"/>
  <c r="O5" i="34"/>
  <c r="P5" i="34"/>
  <c r="O6" i="34"/>
  <c r="P6" i="34"/>
  <c r="O7" i="34"/>
  <c r="P7" i="34"/>
  <c r="O8" i="34"/>
  <c r="P8" i="34"/>
  <c r="O9" i="34"/>
  <c r="P9" i="34"/>
  <c r="O10" i="34"/>
  <c r="P10" i="34"/>
  <c r="O11" i="34"/>
  <c r="P11" i="34"/>
  <c r="O12" i="34"/>
  <c r="P12" i="34"/>
  <c r="O13" i="34"/>
  <c r="P13" i="34"/>
  <c r="O14" i="34"/>
  <c r="P14" i="34"/>
  <c r="O15" i="34"/>
  <c r="P15" i="34"/>
  <c r="O16" i="34"/>
  <c r="P16" i="34"/>
  <c r="O17" i="34"/>
  <c r="P17" i="34"/>
  <c r="O18" i="34"/>
  <c r="P18" i="34"/>
  <c r="O19" i="34"/>
  <c r="P19" i="34"/>
  <c r="O20" i="34"/>
  <c r="P20" i="34"/>
  <c r="O21" i="34"/>
  <c r="P21" i="34"/>
  <c r="O22" i="34"/>
  <c r="P22" i="34"/>
  <c r="O23" i="34"/>
  <c r="P23" i="34"/>
  <c r="O24" i="34"/>
  <c r="P24" i="34"/>
  <c r="O25" i="34"/>
  <c r="P25" i="34"/>
  <c r="O26" i="34"/>
  <c r="P26" i="34"/>
  <c r="O27" i="34"/>
  <c r="P27" i="34"/>
  <c r="O28" i="34"/>
  <c r="P28" i="34"/>
  <c r="O29" i="34"/>
  <c r="P29" i="34"/>
  <c r="O30" i="34"/>
  <c r="P30" i="34"/>
  <c r="O31" i="34"/>
  <c r="P31" i="34"/>
  <c r="O32" i="34"/>
  <c r="P32" i="34"/>
  <c r="O33" i="34"/>
  <c r="P33" i="34"/>
  <c r="O34" i="34"/>
  <c r="P34" i="34"/>
  <c r="M47" i="34"/>
  <c r="N47" i="34"/>
  <c r="M48" i="34"/>
  <c r="N48" i="34"/>
  <c r="M49" i="34"/>
  <c r="N49" i="34"/>
  <c r="M50" i="34"/>
  <c r="N50" i="34"/>
  <c r="M51" i="34"/>
  <c r="N51" i="34"/>
  <c r="M32" i="34"/>
  <c r="N32" i="34"/>
  <c r="M33" i="34"/>
  <c r="N33" i="34"/>
  <c r="M34" i="34"/>
  <c r="N34" i="34"/>
  <c r="M35" i="34"/>
  <c r="N35" i="34"/>
  <c r="M36" i="34"/>
  <c r="N36" i="34"/>
  <c r="M37" i="34"/>
  <c r="N37" i="34"/>
  <c r="M38" i="34"/>
  <c r="N38" i="34"/>
  <c r="M39" i="34"/>
  <c r="N39" i="34"/>
  <c r="M40" i="34"/>
  <c r="N40" i="34"/>
  <c r="M41" i="34"/>
  <c r="N41" i="34"/>
  <c r="M42" i="34"/>
  <c r="N42" i="34"/>
  <c r="M43" i="34"/>
  <c r="N43" i="34"/>
  <c r="M44" i="34"/>
  <c r="N44" i="34"/>
  <c r="M45" i="34"/>
  <c r="N45" i="34"/>
  <c r="M46" i="34"/>
  <c r="N46" i="34"/>
  <c r="M4" i="34"/>
  <c r="N4" i="34"/>
  <c r="M5" i="34"/>
  <c r="N5" i="34"/>
  <c r="M6" i="34"/>
  <c r="N6" i="34"/>
  <c r="M7" i="34"/>
  <c r="N7" i="34"/>
  <c r="M8" i="34"/>
  <c r="N8" i="34"/>
  <c r="M9" i="34"/>
  <c r="N9" i="34"/>
  <c r="M10" i="34"/>
  <c r="N10" i="34"/>
  <c r="M11" i="34"/>
  <c r="N11" i="34"/>
  <c r="M12" i="34"/>
  <c r="N12" i="34"/>
  <c r="M13" i="34"/>
  <c r="N13" i="34"/>
  <c r="M14" i="34"/>
  <c r="N14" i="34"/>
  <c r="M15" i="34"/>
  <c r="N15" i="34"/>
  <c r="M16" i="34"/>
  <c r="N16" i="34"/>
  <c r="M17" i="34"/>
  <c r="N17" i="34"/>
  <c r="M18" i="34"/>
  <c r="N18" i="34"/>
  <c r="M19" i="34"/>
  <c r="N19" i="34"/>
  <c r="M20" i="34"/>
  <c r="N20" i="34"/>
  <c r="M21" i="34"/>
  <c r="N21" i="34"/>
  <c r="M22" i="34"/>
  <c r="N22" i="34"/>
  <c r="M23" i="34"/>
  <c r="N23" i="34"/>
  <c r="M24" i="34"/>
  <c r="N24" i="34"/>
  <c r="M25" i="34"/>
  <c r="N25" i="34"/>
  <c r="M26" i="34"/>
  <c r="N26" i="34"/>
  <c r="M27" i="34"/>
  <c r="N27" i="34"/>
  <c r="M28" i="34"/>
  <c r="N28" i="34"/>
  <c r="M29" i="34"/>
  <c r="N29" i="34"/>
  <c r="M30" i="34"/>
  <c r="N30" i="34"/>
  <c r="M31" i="34"/>
  <c r="N31" i="34"/>
  <c r="K46" i="34"/>
  <c r="L46" i="34"/>
  <c r="K47" i="34"/>
  <c r="L47" i="34"/>
  <c r="K48" i="34"/>
  <c r="L48" i="34"/>
  <c r="K49" i="34"/>
  <c r="L49" i="34"/>
  <c r="K50" i="34"/>
  <c r="L50" i="34"/>
  <c r="K51" i="34"/>
  <c r="L51" i="34"/>
  <c r="K41" i="34"/>
  <c r="L41" i="34"/>
  <c r="K42" i="34"/>
  <c r="L42" i="34"/>
  <c r="K43" i="34"/>
  <c r="L43" i="34"/>
  <c r="K44" i="34"/>
  <c r="L44" i="34"/>
  <c r="K45" i="34"/>
  <c r="L45" i="34"/>
  <c r="K32" i="34"/>
  <c r="L32" i="34"/>
  <c r="K33" i="34"/>
  <c r="L33" i="34"/>
  <c r="K34" i="34"/>
  <c r="L34" i="34"/>
  <c r="K35" i="34"/>
  <c r="L35" i="34"/>
  <c r="K36" i="34"/>
  <c r="L36" i="34"/>
  <c r="K37" i="34"/>
  <c r="L37" i="34"/>
  <c r="K38" i="34"/>
  <c r="L38" i="34"/>
  <c r="K39" i="34"/>
  <c r="L39" i="34"/>
  <c r="K40" i="34"/>
  <c r="L40" i="34"/>
  <c r="K4" i="34"/>
  <c r="L4" i="34"/>
  <c r="K5" i="34"/>
  <c r="L5" i="34"/>
  <c r="K6" i="34"/>
  <c r="L6" i="34"/>
  <c r="K7" i="34"/>
  <c r="L7" i="34"/>
  <c r="K8" i="34"/>
  <c r="L8" i="34"/>
  <c r="K9" i="34"/>
  <c r="L9" i="34"/>
  <c r="K10" i="34"/>
  <c r="L10" i="34"/>
  <c r="K11" i="34"/>
  <c r="L11" i="34"/>
  <c r="K12" i="34"/>
  <c r="L12" i="34"/>
  <c r="K13" i="34"/>
  <c r="L13" i="34"/>
  <c r="K14" i="34"/>
  <c r="L14" i="34"/>
  <c r="K15" i="34"/>
  <c r="L15" i="34"/>
  <c r="K16" i="34"/>
  <c r="L16" i="34"/>
  <c r="K17" i="34"/>
  <c r="L17" i="34"/>
  <c r="K18" i="34"/>
  <c r="L18" i="34"/>
  <c r="K19" i="34"/>
  <c r="L19" i="34"/>
  <c r="K20" i="34"/>
  <c r="L20" i="34"/>
  <c r="K21" i="34"/>
  <c r="L21" i="34"/>
  <c r="K22" i="34"/>
  <c r="L22" i="34"/>
  <c r="K23" i="34"/>
  <c r="L23" i="34"/>
  <c r="K24" i="34"/>
  <c r="L24" i="34"/>
  <c r="K25" i="34"/>
  <c r="L25" i="34"/>
  <c r="K26" i="34"/>
  <c r="L26" i="34"/>
  <c r="K27" i="34"/>
  <c r="L27" i="34"/>
  <c r="K28" i="34"/>
  <c r="L28" i="34"/>
  <c r="K29" i="34"/>
  <c r="L29" i="34"/>
  <c r="K30" i="34"/>
  <c r="L30" i="34"/>
  <c r="K31" i="34"/>
  <c r="L31" i="34"/>
  <c r="T3" i="34"/>
  <c r="S3" i="34"/>
  <c r="R3" i="34"/>
  <c r="Q3" i="34"/>
  <c r="P3" i="34"/>
  <c r="O3" i="34"/>
  <c r="N3" i="34"/>
  <c r="M3" i="34"/>
  <c r="L3" i="34"/>
  <c r="K3" i="34"/>
  <c r="AS122" i="34"/>
  <c r="AT122" i="34"/>
  <c r="AS123" i="34"/>
  <c r="AT123" i="34"/>
  <c r="AS124" i="34"/>
  <c r="AT124" i="34"/>
  <c r="AS125" i="34"/>
  <c r="AT125" i="34"/>
  <c r="AS126" i="34"/>
  <c r="AT126" i="34"/>
  <c r="AS127" i="34"/>
  <c r="AT127" i="34"/>
  <c r="AS128" i="34"/>
  <c r="AT128" i="34"/>
  <c r="AS129" i="34"/>
  <c r="AT129" i="34"/>
  <c r="AS130" i="34"/>
  <c r="AT130" i="34"/>
  <c r="AS131" i="34"/>
  <c r="AT131" i="34"/>
  <c r="AS132" i="34"/>
  <c r="AT132" i="34"/>
  <c r="AS133" i="34"/>
  <c r="AT133" i="34"/>
  <c r="AS134" i="34"/>
  <c r="AT134" i="34"/>
  <c r="AS135" i="34"/>
  <c r="AT135" i="34"/>
  <c r="AS136" i="34"/>
  <c r="AT136" i="34"/>
  <c r="AS137" i="34"/>
  <c r="AT137" i="34"/>
  <c r="AS138" i="34"/>
  <c r="AT138" i="34"/>
  <c r="AS139" i="34"/>
  <c r="AT139" i="34"/>
  <c r="AS140" i="34"/>
  <c r="AT140" i="34"/>
  <c r="AS141" i="34"/>
  <c r="AT141" i="34"/>
  <c r="AS142" i="34"/>
  <c r="AT142" i="34"/>
  <c r="AS143" i="34"/>
  <c r="AT143" i="34"/>
  <c r="AS144" i="34"/>
  <c r="AT144" i="34"/>
  <c r="AS145" i="34"/>
  <c r="AT145" i="34"/>
  <c r="AS146" i="34"/>
  <c r="AT146" i="34"/>
  <c r="AS147" i="34"/>
  <c r="AT147" i="34"/>
  <c r="AS148" i="34"/>
  <c r="AT148" i="34"/>
  <c r="AS149" i="34"/>
  <c r="AT149" i="34"/>
  <c r="AS150" i="34"/>
  <c r="AT150" i="34"/>
  <c r="AS151" i="34"/>
  <c r="AT151" i="34"/>
  <c r="AS152" i="34"/>
  <c r="AT152" i="34"/>
  <c r="AS153" i="34"/>
  <c r="AT153" i="34"/>
  <c r="AS154" i="34"/>
  <c r="AT154" i="34"/>
  <c r="AT121" i="34"/>
  <c r="AS121" i="34"/>
  <c r="AS85" i="34"/>
  <c r="AT85" i="34"/>
  <c r="AS86" i="34"/>
  <c r="AT86" i="34"/>
  <c r="AS87" i="34"/>
  <c r="AT87" i="34"/>
  <c r="AS88" i="34"/>
  <c r="AT88" i="34"/>
  <c r="AS89" i="34"/>
  <c r="AT89" i="34"/>
  <c r="AS90" i="34"/>
  <c r="AT90" i="34"/>
  <c r="AS91" i="34"/>
  <c r="AT91" i="34"/>
  <c r="AS92" i="34"/>
  <c r="AT92" i="34"/>
  <c r="AS93" i="34"/>
  <c r="AT93" i="34"/>
  <c r="AS94" i="34"/>
  <c r="AT94" i="34"/>
  <c r="AS95" i="34"/>
  <c r="AT95" i="34"/>
  <c r="AS96" i="34"/>
  <c r="AT96" i="34"/>
  <c r="AS97" i="34"/>
  <c r="AT97" i="34"/>
  <c r="AS98" i="34"/>
  <c r="AT98" i="34"/>
  <c r="AS99" i="34"/>
  <c r="AT99" i="34"/>
  <c r="AS100" i="34"/>
  <c r="AT100" i="34"/>
  <c r="AS101" i="34"/>
  <c r="AT101" i="34"/>
  <c r="AS102" i="34"/>
  <c r="AT102" i="34"/>
  <c r="AS103" i="34"/>
  <c r="AT103" i="34"/>
  <c r="AS104" i="34"/>
  <c r="AT104" i="34"/>
  <c r="AS105" i="34"/>
  <c r="AT105" i="34"/>
  <c r="AS106" i="34"/>
  <c r="AT106" i="34"/>
  <c r="AS107" i="34"/>
  <c r="AT107" i="34"/>
  <c r="AS108" i="34"/>
  <c r="AT108" i="34"/>
  <c r="AS109" i="34"/>
  <c r="AT109" i="34"/>
  <c r="AS110" i="34"/>
  <c r="AT110" i="34"/>
  <c r="AS111" i="34"/>
  <c r="AT111" i="34"/>
  <c r="AS112" i="34"/>
  <c r="AT112" i="34"/>
  <c r="AS113" i="34"/>
  <c r="AT113" i="34"/>
  <c r="AS114" i="34"/>
  <c r="AT114" i="34"/>
  <c r="AS115" i="34"/>
  <c r="AT115" i="34"/>
  <c r="AS116" i="34"/>
  <c r="AT116" i="34"/>
  <c r="AS117" i="34"/>
  <c r="AT117" i="34"/>
  <c r="AS118" i="34"/>
  <c r="AT118" i="34"/>
  <c r="AS119" i="34"/>
  <c r="AT119" i="34"/>
  <c r="AS120" i="34"/>
  <c r="AT120" i="34"/>
  <c r="AT84" i="34"/>
  <c r="AS84" i="34"/>
  <c r="AS83" i="34"/>
  <c r="AT83" i="34"/>
  <c r="AS76" i="34"/>
  <c r="AT76" i="34"/>
  <c r="AS77" i="34"/>
  <c r="AT77" i="34"/>
  <c r="AS78" i="34"/>
  <c r="AT78" i="34"/>
  <c r="AS79" i="34"/>
  <c r="AT79" i="34"/>
  <c r="AS80" i="34"/>
  <c r="AT80" i="34"/>
  <c r="AS81" i="34"/>
  <c r="AT81" i="34"/>
  <c r="AS82" i="34"/>
  <c r="AT82" i="34"/>
  <c r="AS53" i="34"/>
  <c r="AT53" i="34"/>
  <c r="AS54" i="34"/>
  <c r="AT54" i="34"/>
  <c r="AS55" i="34"/>
  <c r="AT55" i="34"/>
  <c r="AS56" i="34"/>
  <c r="AT56" i="34"/>
  <c r="AS57" i="34"/>
  <c r="AT57" i="34"/>
  <c r="AS58" i="34"/>
  <c r="AT58" i="34"/>
  <c r="AS59" i="34"/>
  <c r="AT59" i="34"/>
  <c r="AS60" i="34"/>
  <c r="AT60" i="34"/>
  <c r="AS61" i="34"/>
  <c r="AT61" i="34"/>
  <c r="AS62" i="34"/>
  <c r="AT62" i="34"/>
  <c r="AS63" i="34"/>
  <c r="AT63" i="34"/>
  <c r="AS64" i="34"/>
  <c r="AT64" i="34"/>
  <c r="AS65" i="34"/>
  <c r="AT65" i="34"/>
  <c r="AS66" i="34"/>
  <c r="AT66" i="34"/>
  <c r="AS67" i="34"/>
  <c r="AT67" i="34"/>
  <c r="AS68" i="34"/>
  <c r="AT68" i="34"/>
  <c r="AS69" i="34"/>
  <c r="AT69" i="34"/>
  <c r="AS70" i="34"/>
  <c r="AT70" i="34"/>
  <c r="AS71" i="34"/>
  <c r="AT71" i="34"/>
  <c r="AS72" i="34"/>
  <c r="AT72" i="34"/>
  <c r="AS73" i="34"/>
  <c r="AT73" i="34"/>
  <c r="AS74" i="34"/>
  <c r="AT74" i="34"/>
  <c r="AS75" i="34"/>
  <c r="AT75" i="34"/>
  <c r="AT52" i="34"/>
  <c r="AS52" i="34"/>
  <c r="AS26" i="34"/>
  <c r="AT26" i="34"/>
  <c r="AS27" i="34"/>
  <c r="AT27" i="34"/>
  <c r="AS28" i="34"/>
  <c r="AT28" i="34"/>
  <c r="AS29" i="34"/>
  <c r="AT29" i="34"/>
  <c r="AS30" i="34"/>
  <c r="AT30" i="34"/>
  <c r="AS31" i="34"/>
  <c r="AT31" i="34"/>
  <c r="AS32" i="34"/>
  <c r="AT32" i="34"/>
  <c r="AS33" i="34"/>
  <c r="AT33" i="34"/>
  <c r="AS34" i="34"/>
  <c r="AT34" i="34"/>
  <c r="AS35" i="34"/>
  <c r="AT35" i="34"/>
  <c r="AS36" i="34"/>
  <c r="AT36" i="34"/>
  <c r="AS37" i="34"/>
  <c r="AT37" i="34"/>
  <c r="AS38" i="34"/>
  <c r="AT38" i="34"/>
  <c r="AS39" i="34"/>
  <c r="AT39" i="34"/>
  <c r="AS40" i="34"/>
  <c r="AT40" i="34"/>
  <c r="AS41" i="34"/>
  <c r="AT41" i="34"/>
  <c r="AS42" i="34"/>
  <c r="AT42" i="34"/>
  <c r="AS43" i="34"/>
  <c r="AT43" i="34"/>
  <c r="AS44" i="34"/>
  <c r="AT44" i="34"/>
  <c r="AS45" i="34"/>
  <c r="AT45" i="34"/>
  <c r="AS46" i="34"/>
  <c r="AT46" i="34"/>
  <c r="AS47" i="34"/>
  <c r="AT47" i="34"/>
  <c r="AS48" i="34"/>
  <c r="AT48" i="34"/>
  <c r="AS49" i="34"/>
  <c r="AT49" i="34"/>
  <c r="AS50" i="34"/>
  <c r="AT50" i="34"/>
  <c r="AS51" i="34"/>
  <c r="AT51" i="34"/>
  <c r="AT25" i="34"/>
  <c r="AS25" i="34"/>
  <c r="AS4" i="34"/>
  <c r="AT4" i="34"/>
  <c r="AS5" i="34"/>
  <c r="AT5" i="34"/>
  <c r="AS6" i="34"/>
  <c r="AT6" i="34"/>
  <c r="AS7" i="34"/>
  <c r="AT7" i="34"/>
  <c r="AS8" i="34"/>
  <c r="AT8" i="34"/>
  <c r="AS9" i="34"/>
  <c r="AT9" i="34"/>
  <c r="AS10" i="34"/>
  <c r="AT10" i="34"/>
  <c r="AS11" i="34"/>
  <c r="AT11" i="34"/>
  <c r="AS12" i="34"/>
  <c r="AT12" i="34"/>
  <c r="AS13" i="34"/>
  <c r="AT13" i="34"/>
  <c r="AS14" i="34"/>
  <c r="AT14" i="34"/>
  <c r="AS15" i="34"/>
  <c r="AT15" i="34"/>
  <c r="AS16" i="34"/>
  <c r="AT16" i="34"/>
  <c r="AS17" i="34"/>
  <c r="AT17" i="34"/>
  <c r="AS18" i="34"/>
  <c r="AT18" i="34"/>
  <c r="AS19" i="34"/>
  <c r="AT19" i="34"/>
  <c r="AS20" i="34"/>
  <c r="AT20" i="34"/>
  <c r="AS21" i="34"/>
  <c r="AT21" i="34"/>
  <c r="AS22" i="34"/>
  <c r="AT22" i="34"/>
  <c r="AS23" i="34"/>
  <c r="AT23" i="34"/>
  <c r="AS24" i="34"/>
  <c r="AT24" i="34"/>
  <c r="AT3" i="34"/>
  <c r="AS3" i="34"/>
  <c r="U4" i="34"/>
  <c r="V4" i="34"/>
  <c r="U5" i="34"/>
  <c r="V5" i="34"/>
  <c r="U6" i="34"/>
  <c r="V6" i="34"/>
  <c r="U7" i="34"/>
  <c r="V7" i="34"/>
  <c r="U8" i="34"/>
  <c r="V8" i="34"/>
  <c r="U9" i="34"/>
  <c r="V9" i="34"/>
  <c r="U10" i="34"/>
  <c r="V10" i="34"/>
  <c r="U11" i="34"/>
  <c r="V11" i="34"/>
  <c r="U12" i="34"/>
  <c r="V12" i="34"/>
  <c r="U13" i="34"/>
  <c r="V13" i="34"/>
  <c r="U14" i="34"/>
  <c r="V14" i="34"/>
  <c r="U15" i="34"/>
  <c r="V15" i="34"/>
  <c r="U16" i="34"/>
  <c r="V16" i="34"/>
  <c r="U17" i="34"/>
  <c r="V17" i="34"/>
  <c r="U18" i="34"/>
  <c r="V18" i="34"/>
  <c r="U19" i="34"/>
  <c r="V19" i="34"/>
  <c r="U20" i="34"/>
  <c r="V20" i="34"/>
  <c r="U21" i="34"/>
  <c r="V21" i="34"/>
  <c r="U22" i="34"/>
  <c r="V22" i="34"/>
  <c r="U23" i="34"/>
  <c r="V23" i="34"/>
  <c r="U24" i="34"/>
  <c r="V24" i="34"/>
  <c r="W4" i="34"/>
  <c r="X4" i="34"/>
  <c r="W5" i="34"/>
  <c r="X5" i="34"/>
  <c r="W6" i="34"/>
  <c r="X6" i="34"/>
  <c r="W7" i="34"/>
  <c r="X7" i="34"/>
  <c r="W8" i="34"/>
  <c r="X8" i="34"/>
  <c r="W9" i="34"/>
  <c r="X9" i="34"/>
  <c r="W10" i="34"/>
  <c r="X10" i="34"/>
  <c r="W11" i="34"/>
  <c r="X11" i="34"/>
  <c r="W12" i="34"/>
  <c r="X12" i="34"/>
  <c r="W13" i="34"/>
  <c r="X13" i="34"/>
  <c r="W14" i="34"/>
  <c r="X14" i="34"/>
  <c r="W15" i="34"/>
  <c r="X15" i="34"/>
  <c r="W16" i="34"/>
  <c r="X16" i="34"/>
  <c r="W17" i="34"/>
  <c r="X17" i="34"/>
  <c r="W18" i="34"/>
  <c r="X18" i="34"/>
  <c r="W19" i="34"/>
  <c r="X19" i="34"/>
  <c r="W20" i="34"/>
  <c r="X20" i="34"/>
  <c r="W21" i="34"/>
  <c r="X21" i="34"/>
  <c r="W22" i="34"/>
  <c r="X22" i="34"/>
  <c r="W23" i="34"/>
  <c r="X23" i="34"/>
  <c r="W24" i="34"/>
  <c r="X24" i="34"/>
  <c r="W25" i="34"/>
  <c r="X25" i="34"/>
  <c r="W26" i="34"/>
  <c r="X26" i="34"/>
  <c r="W27" i="34"/>
  <c r="X27" i="34"/>
  <c r="W28" i="34"/>
  <c r="X28" i="34"/>
  <c r="W29" i="34"/>
  <c r="X29" i="34"/>
  <c r="Y4" i="34"/>
  <c r="Z4" i="34"/>
  <c r="Y5" i="34"/>
  <c r="Z5" i="34"/>
  <c r="Y6" i="34"/>
  <c r="Z6" i="34"/>
  <c r="Y7" i="34"/>
  <c r="Z7" i="34"/>
  <c r="Y8" i="34"/>
  <c r="Z8" i="34"/>
  <c r="Y9" i="34"/>
  <c r="Z9" i="34"/>
  <c r="Y10" i="34"/>
  <c r="Z10" i="34"/>
  <c r="Y11" i="34"/>
  <c r="Z11" i="34"/>
  <c r="Y12" i="34"/>
  <c r="Z12" i="34"/>
  <c r="Y13" i="34"/>
  <c r="Z13" i="34"/>
  <c r="Y14" i="34"/>
  <c r="Z14" i="34"/>
  <c r="Y15" i="34"/>
  <c r="Z15" i="34"/>
  <c r="Y16" i="34"/>
  <c r="Z16" i="34"/>
  <c r="Y17" i="34"/>
  <c r="Z17" i="34"/>
  <c r="Y18" i="34"/>
  <c r="Z18" i="34"/>
  <c r="Y19" i="34"/>
  <c r="Z19" i="34"/>
  <c r="Y20" i="34"/>
  <c r="Z20" i="34"/>
  <c r="Y21" i="34"/>
  <c r="Z21" i="34"/>
  <c r="Y22" i="34"/>
  <c r="Z22" i="34"/>
  <c r="Y23" i="34"/>
  <c r="Z23" i="34"/>
  <c r="Y24" i="34"/>
  <c r="Z24" i="34"/>
  <c r="Y25" i="34"/>
  <c r="Z25" i="34"/>
  <c r="Y26" i="34"/>
  <c r="Z26" i="34"/>
  <c r="Y27" i="34"/>
  <c r="Z27" i="34"/>
  <c r="Y28" i="34"/>
  <c r="Z28" i="34"/>
  <c r="Y29" i="34"/>
  <c r="Z29" i="34"/>
  <c r="Y30" i="34"/>
  <c r="Z30" i="34"/>
  <c r="Y31" i="34"/>
  <c r="Z31" i="34"/>
  <c r="Y32" i="34"/>
  <c r="Z32" i="34"/>
  <c r="Y33" i="34"/>
  <c r="Z33" i="34"/>
  <c r="Y34" i="34"/>
  <c r="Z34" i="34"/>
  <c r="AA4" i="34"/>
  <c r="AB4" i="34"/>
  <c r="AA5" i="34"/>
  <c r="AB5" i="34"/>
  <c r="AA6" i="34"/>
  <c r="AB6" i="34"/>
  <c r="AA7" i="34"/>
  <c r="AB7" i="34"/>
  <c r="AA8" i="34"/>
  <c r="AB8" i="34"/>
  <c r="AA9" i="34"/>
  <c r="AB9" i="34"/>
  <c r="AA10" i="34"/>
  <c r="AB10" i="34"/>
  <c r="AA11" i="34"/>
  <c r="AB11" i="34"/>
  <c r="AA12" i="34"/>
  <c r="AB12" i="34"/>
  <c r="AA13" i="34"/>
  <c r="AB13" i="34"/>
  <c r="AA14" i="34"/>
  <c r="AB14" i="34"/>
  <c r="AA15" i="34"/>
  <c r="AB15" i="34"/>
  <c r="AA16" i="34"/>
  <c r="AB16" i="34"/>
  <c r="AA17" i="34"/>
  <c r="AB17" i="34"/>
  <c r="AA18" i="34"/>
  <c r="AB18" i="34"/>
  <c r="AA19" i="34"/>
  <c r="AB19" i="34"/>
  <c r="AA20" i="34"/>
  <c r="AB20" i="34"/>
  <c r="AA21" i="34"/>
  <c r="AB21" i="34"/>
  <c r="AA22" i="34"/>
  <c r="AB22" i="34"/>
  <c r="AA23" i="34"/>
  <c r="AB23" i="34"/>
  <c r="AA24" i="34"/>
  <c r="AB24" i="34"/>
  <c r="AA25" i="34"/>
  <c r="AB25" i="34"/>
  <c r="AA26" i="34"/>
  <c r="AB26" i="34"/>
  <c r="AA27" i="34"/>
  <c r="AB27" i="34"/>
  <c r="AA28" i="34"/>
  <c r="AB28" i="34"/>
  <c r="AA29" i="34"/>
  <c r="AB29" i="34"/>
  <c r="AA30" i="34"/>
  <c r="AB30" i="34"/>
  <c r="AA31" i="34"/>
  <c r="AB31" i="34"/>
  <c r="AA32" i="34"/>
  <c r="AB32" i="34"/>
  <c r="AA33" i="34"/>
  <c r="AB33" i="34"/>
  <c r="AA34" i="34"/>
  <c r="AB34" i="34"/>
  <c r="AA35" i="34"/>
  <c r="AB35" i="34"/>
  <c r="AA36" i="34"/>
  <c r="AB36" i="34"/>
  <c r="AA37" i="34"/>
  <c r="AB37" i="34"/>
  <c r="AA38" i="34"/>
  <c r="AB38" i="34"/>
  <c r="AA39" i="34"/>
  <c r="AB39" i="34"/>
  <c r="AC4" i="34"/>
  <c r="AD4" i="34"/>
  <c r="AC5" i="34"/>
  <c r="AD5" i="34"/>
  <c r="AC6" i="34"/>
  <c r="AD6" i="34"/>
  <c r="AC7" i="34"/>
  <c r="AD7" i="34"/>
  <c r="AC8" i="34"/>
  <c r="AD8" i="34"/>
  <c r="AC9" i="34"/>
  <c r="AD9" i="34"/>
  <c r="AC10" i="34"/>
  <c r="AD10" i="34"/>
  <c r="AC11" i="34"/>
  <c r="AD11" i="34"/>
  <c r="AC12" i="34"/>
  <c r="AD12" i="34"/>
  <c r="AC13" i="34"/>
  <c r="AD13" i="34"/>
  <c r="AC14" i="34"/>
  <c r="AD14" i="34"/>
  <c r="AC15" i="34"/>
  <c r="AD15" i="34"/>
  <c r="AC16" i="34"/>
  <c r="AD16" i="34"/>
  <c r="AC17" i="34"/>
  <c r="AD17" i="34"/>
  <c r="AC18" i="34"/>
  <c r="AD18" i="34"/>
  <c r="AC19" i="34"/>
  <c r="AD19" i="34"/>
  <c r="AC20" i="34"/>
  <c r="AD20" i="34"/>
  <c r="AC21" i="34"/>
  <c r="AD21" i="34"/>
  <c r="AC22" i="34"/>
  <c r="AD22" i="34"/>
  <c r="AC23" i="34"/>
  <c r="AD23" i="34"/>
  <c r="AC24" i="34"/>
  <c r="AD24" i="34"/>
  <c r="AC25" i="34"/>
  <c r="AD25" i="34"/>
  <c r="AC26" i="34"/>
  <c r="AD26" i="34"/>
  <c r="AC27" i="34"/>
  <c r="AD27" i="34"/>
  <c r="AC28" i="34"/>
  <c r="AD28" i="34"/>
  <c r="AC29" i="34"/>
  <c r="AD29" i="34"/>
  <c r="AC30" i="34"/>
  <c r="AD30" i="34"/>
  <c r="AC31" i="34"/>
  <c r="AD31" i="34"/>
  <c r="AC32" i="34"/>
  <c r="AD32" i="34"/>
  <c r="AC33" i="34"/>
  <c r="AD33" i="34"/>
  <c r="AC34" i="34"/>
  <c r="AD34" i="34"/>
  <c r="AC35" i="34"/>
  <c r="AD35" i="34"/>
  <c r="AC36" i="34"/>
  <c r="AD36" i="34"/>
  <c r="AD3" i="34"/>
  <c r="AC3" i="34"/>
  <c r="AB3" i="34"/>
  <c r="AA3" i="34"/>
  <c r="Z3" i="34"/>
  <c r="Y3" i="34"/>
  <c r="X3" i="34"/>
  <c r="W3" i="34"/>
  <c r="V3" i="34"/>
  <c r="U3" i="34"/>
  <c r="AU123" i="34"/>
  <c r="AV123" i="34"/>
  <c r="AU124" i="34"/>
  <c r="AV124" i="34"/>
  <c r="AU125" i="34"/>
  <c r="AV125" i="34"/>
  <c r="AU126" i="34"/>
  <c r="AV126" i="34"/>
  <c r="AU127" i="34"/>
  <c r="AV127" i="34"/>
  <c r="AU128" i="34"/>
  <c r="AV128" i="34"/>
  <c r="AU129" i="34"/>
  <c r="AV129" i="34"/>
  <c r="AU130" i="34"/>
  <c r="AV130" i="34"/>
  <c r="AU131" i="34"/>
  <c r="AV131" i="34"/>
  <c r="AU132" i="34"/>
  <c r="AV132" i="34"/>
  <c r="AU133" i="34"/>
  <c r="AV133" i="34"/>
  <c r="AU134" i="34"/>
  <c r="AV134" i="34"/>
  <c r="AU135" i="34"/>
  <c r="AV135" i="34"/>
  <c r="AU136" i="34"/>
  <c r="AV136" i="34"/>
  <c r="AU137" i="34"/>
  <c r="AV137" i="34"/>
  <c r="AU138" i="34"/>
  <c r="AV138" i="34"/>
  <c r="AU139" i="34"/>
  <c r="AV139" i="34"/>
  <c r="AU140" i="34"/>
  <c r="AV140" i="34"/>
  <c r="AU141" i="34"/>
  <c r="AV141" i="34"/>
  <c r="AU142" i="34"/>
  <c r="AV142" i="34"/>
  <c r="AU143" i="34"/>
  <c r="AV143" i="34"/>
  <c r="AU144" i="34"/>
  <c r="AV144" i="34"/>
  <c r="AU145" i="34"/>
  <c r="AV145" i="34"/>
  <c r="AU146" i="34"/>
  <c r="AV146" i="34"/>
  <c r="AU147" i="34"/>
  <c r="AV147" i="34"/>
  <c r="AU148" i="34"/>
  <c r="AV148" i="34"/>
  <c r="AU149" i="34"/>
  <c r="AV149" i="34"/>
  <c r="AU150" i="34"/>
  <c r="AV150" i="34"/>
  <c r="AU151" i="34"/>
  <c r="AV151" i="34"/>
  <c r="AU152" i="34"/>
  <c r="AV152" i="34"/>
  <c r="AU153" i="34"/>
  <c r="AV153" i="34"/>
  <c r="AU154" i="34"/>
  <c r="AV154" i="34"/>
  <c r="AU155" i="34"/>
  <c r="AV155" i="34"/>
  <c r="AU156" i="34"/>
  <c r="AV156" i="34"/>
  <c r="AU157" i="34"/>
  <c r="AV157" i="34"/>
  <c r="AU158" i="34"/>
  <c r="AV158" i="34"/>
  <c r="AU159" i="34"/>
  <c r="AV159" i="34"/>
  <c r="AU160" i="34"/>
  <c r="AV160" i="34"/>
  <c r="AU161" i="34"/>
  <c r="AV161" i="34"/>
  <c r="AU162" i="34"/>
  <c r="AV162" i="34"/>
  <c r="AU163" i="34"/>
  <c r="AV163" i="34"/>
  <c r="AU164" i="34"/>
  <c r="AV164" i="34"/>
  <c r="AU165" i="34"/>
  <c r="AV165" i="34"/>
  <c r="AU166" i="34"/>
  <c r="AV166" i="34"/>
  <c r="AV122" i="34"/>
  <c r="AU122" i="34"/>
  <c r="AU121" i="34"/>
  <c r="AV121" i="34"/>
  <c r="AU114" i="34"/>
  <c r="AV114" i="34"/>
  <c r="AU115" i="34"/>
  <c r="AV115" i="34"/>
  <c r="AU116" i="34"/>
  <c r="AV116" i="34"/>
  <c r="AU117" i="34"/>
  <c r="AV117" i="34"/>
  <c r="AU118" i="34"/>
  <c r="AV118" i="34"/>
  <c r="AU119" i="34"/>
  <c r="AV119" i="34"/>
  <c r="AU120" i="34"/>
  <c r="AV120" i="34"/>
  <c r="AU79" i="34"/>
  <c r="AV79" i="34"/>
  <c r="AU80" i="34"/>
  <c r="AV80" i="34"/>
  <c r="AU81" i="34"/>
  <c r="AV81" i="34"/>
  <c r="AU82" i="34"/>
  <c r="AV82" i="34"/>
  <c r="AU83" i="34"/>
  <c r="AV83" i="34"/>
  <c r="AU84" i="34"/>
  <c r="AV84" i="34"/>
  <c r="AU85" i="34"/>
  <c r="AV85" i="34"/>
  <c r="AU86" i="34"/>
  <c r="AV86" i="34"/>
  <c r="AU87" i="34"/>
  <c r="AV87" i="34"/>
  <c r="AU88" i="34"/>
  <c r="AV88" i="34"/>
  <c r="AU89" i="34"/>
  <c r="AV89" i="34"/>
  <c r="AU90" i="34"/>
  <c r="AV90" i="34"/>
  <c r="AU91" i="34"/>
  <c r="AV91" i="34"/>
  <c r="AU92" i="34"/>
  <c r="AV92" i="34"/>
  <c r="AU93" i="34"/>
  <c r="AV93" i="34"/>
  <c r="AU94" i="34"/>
  <c r="AV94" i="34"/>
  <c r="AU95" i="34"/>
  <c r="AV95" i="34"/>
  <c r="AU96" i="34"/>
  <c r="AV96" i="34"/>
  <c r="AU97" i="34"/>
  <c r="AV97" i="34"/>
  <c r="AU98" i="34"/>
  <c r="AV98" i="34"/>
  <c r="AU99" i="34"/>
  <c r="AV99" i="34"/>
  <c r="AU100" i="34"/>
  <c r="AV100" i="34"/>
  <c r="AU101" i="34"/>
  <c r="AV101" i="34"/>
  <c r="AU102" i="34"/>
  <c r="AV102" i="34"/>
  <c r="AU103" i="34"/>
  <c r="AV103" i="34"/>
  <c r="AU104" i="34"/>
  <c r="AV104" i="34"/>
  <c r="AU105" i="34"/>
  <c r="AV105" i="34"/>
  <c r="AU106" i="34"/>
  <c r="AV106" i="34"/>
  <c r="AU107" i="34"/>
  <c r="AV107" i="34"/>
  <c r="AU108" i="34"/>
  <c r="AV108" i="34"/>
  <c r="AU109" i="34"/>
  <c r="AV109" i="34"/>
  <c r="AU110" i="34"/>
  <c r="AV110" i="34"/>
  <c r="AU111" i="34"/>
  <c r="AV111" i="34"/>
  <c r="AU112" i="34"/>
  <c r="AV112" i="34"/>
  <c r="AU113" i="34"/>
  <c r="AV113" i="34"/>
  <c r="AV78" i="34"/>
  <c r="AU78" i="34"/>
  <c r="AU77" i="34"/>
  <c r="AV77" i="34"/>
  <c r="AU68" i="34"/>
  <c r="AV68" i="34"/>
  <c r="AU69" i="34"/>
  <c r="AV69" i="34"/>
  <c r="AU70" i="34"/>
  <c r="AV70" i="34"/>
  <c r="AU71" i="34"/>
  <c r="AV71" i="34"/>
  <c r="AU72" i="34"/>
  <c r="AV72" i="34"/>
  <c r="AU73" i="34"/>
  <c r="AV73" i="34"/>
  <c r="AU74" i="34"/>
  <c r="AV74" i="34"/>
  <c r="AU75" i="34"/>
  <c r="AV75" i="34"/>
  <c r="AU76" i="34"/>
  <c r="AV76" i="34"/>
  <c r="AU62" i="34"/>
  <c r="AV62" i="34"/>
  <c r="AU63" i="34"/>
  <c r="AV63" i="34"/>
  <c r="AU64" i="34"/>
  <c r="AV64" i="34"/>
  <c r="AU65" i="34"/>
  <c r="AV65" i="34"/>
  <c r="AU66" i="34"/>
  <c r="AV66" i="34"/>
  <c r="AU67" i="34"/>
  <c r="AV67" i="34"/>
  <c r="AU47" i="34"/>
  <c r="AV47" i="34"/>
  <c r="AU48" i="34"/>
  <c r="AV48" i="34"/>
  <c r="AU49" i="34"/>
  <c r="AV49" i="34"/>
  <c r="AU50" i="34"/>
  <c r="AV50" i="34"/>
  <c r="AU51" i="34"/>
  <c r="AV51" i="34"/>
  <c r="AU52" i="34"/>
  <c r="AV52" i="34"/>
  <c r="AU53" i="34"/>
  <c r="AV53" i="34"/>
  <c r="AU54" i="34"/>
  <c r="AV54" i="34"/>
  <c r="AU55" i="34"/>
  <c r="AV55" i="34"/>
  <c r="AU56" i="34"/>
  <c r="AV56" i="34"/>
  <c r="AU57" i="34"/>
  <c r="AV57" i="34"/>
  <c r="AU58" i="34"/>
  <c r="AV58" i="34"/>
  <c r="AU59" i="34"/>
  <c r="AV59" i="34"/>
  <c r="AU60" i="34"/>
  <c r="AV60" i="34"/>
  <c r="AU61" i="34"/>
  <c r="AV61" i="34"/>
  <c r="AV46" i="34"/>
  <c r="AU46" i="34"/>
  <c r="AV28" i="34"/>
  <c r="AV34" i="34"/>
  <c r="AV40" i="34"/>
  <c r="AV6" i="34"/>
  <c r="AV12" i="34"/>
  <c r="AV18" i="34"/>
  <c r="AV24" i="34"/>
  <c r="AM39" i="34"/>
  <c r="AN39" i="34"/>
  <c r="AM40" i="34"/>
  <c r="AN40" i="34"/>
  <c r="AM41" i="34"/>
  <c r="AN41" i="34"/>
  <c r="AM42" i="34"/>
  <c r="AN42" i="34"/>
  <c r="AM43" i="34"/>
  <c r="AN43" i="34"/>
  <c r="AM44" i="34"/>
  <c r="AN44" i="34"/>
  <c r="AM45" i="34"/>
  <c r="AN45" i="34"/>
  <c r="AM46" i="34"/>
  <c r="AN46" i="34"/>
  <c r="AM47" i="34"/>
  <c r="AN47" i="34"/>
  <c r="AM4" i="34"/>
  <c r="AN4" i="34"/>
  <c r="AM5" i="34"/>
  <c r="AN5" i="34"/>
  <c r="AM6" i="34"/>
  <c r="AN6" i="34"/>
  <c r="AM7" i="34"/>
  <c r="AN7" i="34"/>
  <c r="AM8" i="34"/>
  <c r="AN8" i="34"/>
  <c r="AM9" i="34"/>
  <c r="AN9" i="34"/>
  <c r="AM10" i="34"/>
  <c r="AN10" i="34"/>
  <c r="AM11" i="34"/>
  <c r="AN11" i="34"/>
  <c r="AM12" i="34"/>
  <c r="AN12" i="34"/>
  <c r="AM13" i="34"/>
  <c r="AN13" i="34"/>
  <c r="AM14" i="34"/>
  <c r="AN14" i="34"/>
  <c r="AM15" i="34"/>
  <c r="AN15" i="34"/>
  <c r="AM16" i="34"/>
  <c r="AN16" i="34"/>
  <c r="AM17" i="34"/>
  <c r="AN17" i="34"/>
  <c r="AM18" i="34"/>
  <c r="AN18" i="34"/>
  <c r="AM19" i="34"/>
  <c r="AN19" i="34"/>
  <c r="AM20" i="34"/>
  <c r="AN20" i="34"/>
  <c r="AM21" i="34"/>
  <c r="AN21" i="34"/>
  <c r="AM22" i="34"/>
  <c r="AN22" i="34"/>
  <c r="AM23" i="34"/>
  <c r="AN23" i="34"/>
  <c r="AM24" i="34"/>
  <c r="AN24" i="34"/>
  <c r="AM25" i="34"/>
  <c r="AN25" i="34"/>
  <c r="AM26" i="34"/>
  <c r="AN26" i="34"/>
  <c r="AM27" i="34"/>
  <c r="AN27" i="34"/>
  <c r="AM28" i="34"/>
  <c r="AN28" i="34"/>
  <c r="AM29" i="34"/>
  <c r="AN29" i="34"/>
  <c r="AM30" i="34"/>
  <c r="AN30" i="34"/>
  <c r="AM31" i="34"/>
  <c r="AN31" i="34"/>
  <c r="AM32" i="34"/>
  <c r="AN32" i="34"/>
  <c r="AM33" i="34"/>
  <c r="AN33" i="34"/>
  <c r="AM34" i="34"/>
  <c r="AN34" i="34"/>
  <c r="AM35" i="34"/>
  <c r="AN35" i="34"/>
  <c r="AM36" i="34"/>
  <c r="AN36" i="34"/>
  <c r="AM37" i="34"/>
  <c r="AN37" i="34"/>
  <c r="AM38" i="34"/>
  <c r="AN38" i="34"/>
  <c r="AN3" i="34"/>
  <c r="AM3" i="34"/>
  <c r="AK42" i="34"/>
  <c r="AL42" i="34"/>
  <c r="AK43" i="34"/>
  <c r="AL43" i="34"/>
  <c r="AK44" i="34"/>
  <c r="AL44" i="34"/>
  <c r="AK45" i="34"/>
  <c r="AL45" i="34"/>
  <c r="AK46" i="34"/>
  <c r="AL46" i="34"/>
  <c r="AK34" i="34"/>
  <c r="AL34" i="34"/>
  <c r="AK35" i="34"/>
  <c r="AL35" i="34"/>
  <c r="AK36" i="34"/>
  <c r="AL36" i="34"/>
  <c r="AK37" i="34"/>
  <c r="AL37" i="34"/>
  <c r="AK38" i="34"/>
  <c r="AL38" i="34"/>
  <c r="AK39" i="34"/>
  <c r="AL39" i="34"/>
  <c r="AK40" i="34"/>
  <c r="AL40" i="34"/>
  <c r="AK41" i="34"/>
  <c r="AL41" i="34"/>
  <c r="AK30" i="34"/>
  <c r="AL30" i="34"/>
  <c r="AK31" i="34"/>
  <c r="AL31" i="34"/>
  <c r="AK32" i="34"/>
  <c r="AL32" i="34"/>
  <c r="AK33" i="34"/>
  <c r="AL33" i="34"/>
  <c r="AK4" i="34"/>
  <c r="AL4" i="34"/>
  <c r="AK5" i="34"/>
  <c r="AL5" i="34"/>
  <c r="AK6" i="34"/>
  <c r="AL6" i="34"/>
  <c r="AK7" i="34"/>
  <c r="AL7" i="34"/>
  <c r="AK8" i="34"/>
  <c r="AL8" i="34"/>
  <c r="AK9" i="34"/>
  <c r="AL9" i="34"/>
  <c r="AK10" i="34"/>
  <c r="AL10" i="34"/>
  <c r="AK11" i="34"/>
  <c r="AL11" i="34"/>
  <c r="AK12" i="34"/>
  <c r="AL12" i="34"/>
  <c r="AK13" i="34"/>
  <c r="AL13" i="34"/>
  <c r="AK14" i="34"/>
  <c r="AL14" i="34"/>
  <c r="AK15" i="34"/>
  <c r="AL15" i="34"/>
  <c r="AK16" i="34"/>
  <c r="AL16" i="34"/>
  <c r="AK17" i="34"/>
  <c r="AL17" i="34"/>
  <c r="AK18" i="34"/>
  <c r="AL18" i="34"/>
  <c r="AK19" i="34"/>
  <c r="AL19" i="34"/>
  <c r="AK20" i="34"/>
  <c r="AL20" i="34"/>
  <c r="AK21" i="34"/>
  <c r="AL21" i="34"/>
  <c r="AK22" i="34"/>
  <c r="AL22" i="34"/>
  <c r="AK23" i="34"/>
  <c r="AL23" i="34"/>
  <c r="AK24" i="34"/>
  <c r="AL24" i="34"/>
  <c r="AK25" i="34"/>
  <c r="AL25" i="34"/>
  <c r="AK26" i="34"/>
  <c r="AL26" i="34"/>
  <c r="AK27" i="34"/>
  <c r="AL27" i="34"/>
  <c r="AK28" i="34"/>
  <c r="AL28" i="34"/>
  <c r="AK29" i="34"/>
  <c r="AL29" i="34"/>
  <c r="AI31" i="34"/>
  <c r="AJ31" i="34"/>
  <c r="AI32" i="34"/>
  <c r="AJ32" i="34"/>
  <c r="AI33" i="34"/>
  <c r="AJ33" i="34"/>
  <c r="AI34" i="34"/>
  <c r="AJ34" i="34"/>
  <c r="AI4" i="34"/>
  <c r="AJ4" i="34"/>
  <c r="AI5" i="34"/>
  <c r="AJ5" i="34"/>
  <c r="AI6" i="34"/>
  <c r="AJ6" i="34"/>
  <c r="AI7" i="34"/>
  <c r="AJ7" i="34"/>
  <c r="AI8" i="34"/>
  <c r="AJ8" i="34"/>
  <c r="AI9" i="34"/>
  <c r="AJ9" i="34"/>
  <c r="AI10" i="34"/>
  <c r="AJ10" i="34"/>
  <c r="AI11" i="34"/>
  <c r="AJ11" i="34"/>
  <c r="AI12" i="34"/>
  <c r="AJ12" i="34"/>
  <c r="AI13" i="34"/>
  <c r="AJ13" i="34"/>
  <c r="AI14" i="34"/>
  <c r="AJ14" i="34"/>
  <c r="AI15" i="34"/>
  <c r="AJ15" i="34"/>
  <c r="AI16" i="34"/>
  <c r="AJ16" i="34"/>
  <c r="AI17" i="34"/>
  <c r="AJ17" i="34"/>
  <c r="AI18" i="34"/>
  <c r="AJ18" i="34"/>
  <c r="AI19" i="34"/>
  <c r="AJ19" i="34"/>
  <c r="AI20" i="34"/>
  <c r="AJ20" i="34"/>
  <c r="AI21" i="34"/>
  <c r="AJ21" i="34"/>
  <c r="AI22" i="34"/>
  <c r="AJ22" i="34"/>
  <c r="AI23" i="34"/>
  <c r="AJ23" i="34"/>
  <c r="AI24" i="34"/>
  <c r="AJ24" i="34"/>
  <c r="AI25" i="34"/>
  <c r="AJ25" i="34"/>
  <c r="AI26" i="34"/>
  <c r="AJ26" i="34"/>
  <c r="AI27" i="34"/>
  <c r="AJ27" i="34"/>
  <c r="AI28" i="34"/>
  <c r="AJ28" i="34"/>
  <c r="AI29" i="34"/>
  <c r="AJ29" i="34"/>
  <c r="AI30" i="34"/>
  <c r="AJ30" i="34"/>
  <c r="AL3" i="34"/>
  <c r="AK3" i="34"/>
  <c r="AJ3" i="34"/>
  <c r="AI3" i="34"/>
  <c r="AG4" i="34"/>
  <c r="AU26" i="34" s="1"/>
  <c r="AH4" i="34"/>
  <c r="AV26" i="34" s="1"/>
  <c r="AG5" i="34"/>
  <c r="AU27" i="34" s="1"/>
  <c r="AH5" i="34"/>
  <c r="AV27" i="34" s="1"/>
  <c r="AG6" i="34"/>
  <c r="AU28" i="34" s="1"/>
  <c r="AH6" i="34"/>
  <c r="AG7" i="34"/>
  <c r="AU29" i="34" s="1"/>
  <c r="AH7" i="34"/>
  <c r="AV29" i="34" s="1"/>
  <c r="AG8" i="34"/>
  <c r="AU30" i="34" s="1"/>
  <c r="AH8" i="34"/>
  <c r="AV30" i="34" s="1"/>
  <c r="AG9" i="34"/>
  <c r="AU31" i="34" s="1"/>
  <c r="AH9" i="34"/>
  <c r="AV31" i="34" s="1"/>
  <c r="AG10" i="34"/>
  <c r="AU32" i="34" s="1"/>
  <c r="AH10" i="34"/>
  <c r="AV32" i="34" s="1"/>
  <c r="AG11" i="34"/>
  <c r="AU33" i="34" s="1"/>
  <c r="AH11" i="34"/>
  <c r="AV33" i="34" s="1"/>
  <c r="AG12" i="34"/>
  <c r="AU34" i="34" s="1"/>
  <c r="AH12" i="34"/>
  <c r="AG13" i="34"/>
  <c r="AU35" i="34" s="1"/>
  <c r="AH13" i="34"/>
  <c r="AV35" i="34" s="1"/>
  <c r="AG14" i="34"/>
  <c r="AU36" i="34" s="1"/>
  <c r="AH14" i="34"/>
  <c r="AV36" i="34" s="1"/>
  <c r="AG15" i="34"/>
  <c r="AU37" i="34" s="1"/>
  <c r="AH15" i="34"/>
  <c r="AV37" i="34" s="1"/>
  <c r="AG16" i="34"/>
  <c r="AU38" i="34" s="1"/>
  <c r="AH16" i="34"/>
  <c r="AV38" i="34" s="1"/>
  <c r="AG17" i="34"/>
  <c r="AU39" i="34" s="1"/>
  <c r="AH17" i="34"/>
  <c r="AV39" i="34" s="1"/>
  <c r="AG18" i="34"/>
  <c r="AU40" i="34" s="1"/>
  <c r="AH18" i="34"/>
  <c r="AG19" i="34"/>
  <c r="AU41" i="34" s="1"/>
  <c r="AH19" i="34"/>
  <c r="AV41" i="34" s="1"/>
  <c r="AG20" i="34"/>
  <c r="AU42" i="34" s="1"/>
  <c r="AH20" i="34"/>
  <c r="AV42" i="34" s="1"/>
  <c r="AG21" i="34"/>
  <c r="AU43" i="34" s="1"/>
  <c r="AH21" i="34"/>
  <c r="AV43" i="34" s="1"/>
  <c r="AG22" i="34"/>
  <c r="AU44" i="34" s="1"/>
  <c r="AH22" i="34"/>
  <c r="AV44" i="34" s="1"/>
  <c r="AG23" i="34"/>
  <c r="AU45" i="34" s="1"/>
  <c r="AH23" i="34"/>
  <c r="AV45" i="34" s="1"/>
  <c r="AH3" i="34"/>
  <c r="AV25" i="34" s="1"/>
  <c r="AG3" i="34"/>
  <c r="AU25" i="34" s="1"/>
  <c r="AE4" i="34"/>
  <c r="AU4" i="34" s="1"/>
  <c r="AF4" i="34"/>
  <c r="AV4" i="34" s="1"/>
  <c r="AE5" i="34"/>
  <c r="AU5" i="34" s="1"/>
  <c r="AF5" i="34"/>
  <c r="AV5" i="34" s="1"/>
  <c r="AE6" i="34"/>
  <c r="AU6" i="34" s="1"/>
  <c r="AF6" i="34"/>
  <c r="AE7" i="34"/>
  <c r="AU7" i="34" s="1"/>
  <c r="AF7" i="34"/>
  <c r="AV7" i="34" s="1"/>
  <c r="AE8" i="34"/>
  <c r="AU8" i="34" s="1"/>
  <c r="AF8" i="34"/>
  <c r="AV8" i="34" s="1"/>
  <c r="AE9" i="34"/>
  <c r="AU9" i="34" s="1"/>
  <c r="AF9" i="34"/>
  <c r="AV9" i="34" s="1"/>
  <c r="AE10" i="34"/>
  <c r="AU10" i="34" s="1"/>
  <c r="AF10" i="34"/>
  <c r="AV10" i="34" s="1"/>
  <c r="AE11" i="34"/>
  <c r="AU11" i="34" s="1"/>
  <c r="AF11" i="34"/>
  <c r="AV11" i="34" s="1"/>
  <c r="AE12" i="34"/>
  <c r="AU12" i="34" s="1"/>
  <c r="AF12" i="34"/>
  <c r="AE13" i="34"/>
  <c r="AU13" i="34" s="1"/>
  <c r="AF13" i="34"/>
  <c r="AV13" i="34" s="1"/>
  <c r="AE14" i="34"/>
  <c r="AU14" i="34" s="1"/>
  <c r="AF14" i="34"/>
  <c r="AV14" i="34" s="1"/>
  <c r="AE15" i="34"/>
  <c r="AU15" i="34" s="1"/>
  <c r="AF15" i="34"/>
  <c r="AV15" i="34" s="1"/>
  <c r="AE16" i="34"/>
  <c r="AU16" i="34" s="1"/>
  <c r="AF16" i="34"/>
  <c r="AV16" i="34" s="1"/>
  <c r="AE17" i="34"/>
  <c r="AU17" i="34" s="1"/>
  <c r="AF17" i="34"/>
  <c r="AV17" i="34" s="1"/>
  <c r="AE18" i="34"/>
  <c r="AU18" i="34" s="1"/>
  <c r="AF18" i="34"/>
  <c r="AE19" i="34"/>
  <c r="AU19" i="34" s="1"/>
  <c r="AF19" i="34"/>
  <c r="AV19" i="34" s="1"/>
  <c r="AE20" i="34"/>
  <c r="AU20" i="34" s="1"/>
  <c r="AF20" i="34"/>
  <c r="AV20" i="34" s="1"/>
  <c r="AE21" i="34"/>
  <c r="AU21" i="34" s="1"/>
  <c r="AF21" i="34"/>
  <c r="AV21" i="34" s="1"/>
  <c r="AE22" i="34"/>
  <c r="AU22" i="34" s="1"/>
  <c r="AF22" i="34"/>
  <c r="AV22" i="34" s="1"/>
  <c r="AE23" i="34"/>
  <c r="AU23" i="34" s="1"/>
  <c r="AF23" i="34"/>
  <c r="AV23" i="34" s="1"/>
  <c r="AE24" i="34"/>
  <c r="AU24" i="34" s="1"/>
  <c r="AF24" i="34"/>
  <c r="AF3" i="34"/>
  <c r="AV3" i="34" s="1"/>
  <c r="AE3" i="34"/>
  <c r="AU3" i="34" s="1"/>
  <c r="C7" i="30" l="1"/>
  <c r="D7" i="30"/>
  <c r="E7" i="30"/>
  <c r="AP4" i="28"/>
  <c r="AP5" i="28"/>
  <c r="AP6" i="28"/>
  <c r="AP7" i="28"/>
  <c r="AP8" i="28"/>
  <c r="AP9" i="28"/>
  <c r="AP10" i="28"/>
  <c r="AP11" i="28"/>
  <c r="AP12" i="28"/>
  <c r="AP13" i="28"/>
  <c r="AP14" i="28"/>
  <c r="AP15" i="28"/>
  <c r="AP16" i="28"/>
  <c r="AP17" i="28"/>
  <c r="AP18" i="28"/>
  <c r="AP19" i="28"/>
  <c r="AP20" i="28"/>
  <c r="AP21" i="28"/>
  <c r="AP22" i="28"/>
  <c r="AP23" i="28"/>
  <c r="AP24" i="28"/>
  <c r="AP25" i="28"/>
  <c r="AP26" i="28"/>
  <c r="AP27" i="28"/>
  <c r="AP28" i="28"/>
  <c r="AP29" i="28"/>
  <c r="AP30" i="28"/>
  <c r="AP31" i="28"/>
  <c r="AP32" i="28"/>
  <c r="AP33" i="28"/>
  <c r="AP34" i="28"/>
  <c r="AP35" i="28"/>
  <c r="AP36" i="28"/>
  <c r="AP37" i="28"/>
  <c r="AP38" i="28"/>
  <c r="AP39" i="28"/>
  <c r="AP40" i="28"/>
  <c r="AP41" i="28"/>
  <c r="AP42" i="28"/>
  <c r="AP43" i="28"/>
  <c r="AP44" i="28"/>
  <c r="AP45" i="28"/>
  <c r="AP46" i="28"/>
  <c r="AP47" i="28"/>
  <c r="AP48" i="28"/>
  <c r="AP49" i="28"/>
  <c r="AP50" i="28"/>
  <c r="AP51" i="28"/>
  <c r="AP52" i="28"/>
  <c r="AP3" i="28"/>
  <c r="AO4" i="28"/>
  <c r="AO5" i="28"/>
  <c r="AO6" i="28"/>
  <c r="AO7" i="28"/>
  <c r="AO8" i="28"/>
  <c r="AO9" i="28"/>
  <c r="AO10" i="28"/>
  <c r="AO11" i="28"/>
  <c r="AO12" i="28"/>
  <c r="AO13" i="28"/>
  <c r="AO14" i="28"/>
  <c r="AO15" i="28"/>
  <c r="AO16" i="28"/>
  <c r="AO17" i="28"/>
  <c r="AO18" i="28"/>
  <c r="AO19" i="28"/>
  <c r="AO20" i="28"/>
  <c r="AO21" i="28"/>
  <c r="AO22" i="28"/>
  <c r="AO23" i="28"/>
  <c r="AO24" i="28"/>
  <c r="AO25" i="28"/>
  <c r="AO26" i="28"/>
  <c r="AO27" i="28"/>
  <c r="AO28" i="28"/>
  <c r="AO29" i="28"/>
  <c r="AO30" i="28"/>
  <c r="AO31" i="28"/>
  <c r="AO32" i="28"/>
  <c r="AO33" i="28"/>
  <c r="AO34" i="28"/>
  <c r="AO35" i="28"/>
  <c r="AO36" i="28"/>
  <c r="AO37" i="28"/>
  <c r="AO38" i="28"/>
  <c r="AO39" i="28"/>
  <c r="AO40" i="28"/>
  <c r="AO41" i="28"/>
  <c r="AO42" i="28"/>
  <c r="AO43" i="28"/>
  <c r="AO44" i="28"/>
  <c r="AO45" i="28"/>
  <c r="AO46" i="28"/>
  <c r="AO47" i="28"/>
  <c r="AO48" i="28"/>
  <c r="AO49" i="28"/>
  <c r="AO50" i="28"/>
  <c r="AO51" i="28"/>
  <c r="AO52" i="28"/>
  <c r="AO3" i="28"/>
  <c r="AX5" i="33"/>
  <c r="AX6" i="33"/>
  <c r="AX7" i="33"/>
  <c r="AX8" i="33"/>
  <c r="AX9" i="33"/>
  <c r="AX10" i="33"/>
  <c r="AX11" i="33"/>
  <c r="AX12" i="33"/>
  <c r="AX13" i="33"/>
  <c r="AX14" i="33"/>
  <c r="AX15" i="33"/>
  <c r="AX16" i="33"/>
  <c r="AX17" i="33"/>
  <c r="AX18" i="33"/>
  <c r="AX19" i="33"/>
  <c r="AX20" i="33"/>
  <c r="AX21" i="33"/>
  <c r="AX22" i="33"/>
  <c r="AX23" i="33"/>
  <c r="AX24" i="33"/>
  <c r="AX25" i="33"/>
  <c r="AX26" i="33"/>
  <c r="AX27" i="33"/>
  <c r="AX28" i="33"/>
  <c r="AX29" i="33"/>
  <c r="AX30" i="33"/>
  <c r="AX31" i="33"/>
  <c r="AX32" i="33"/>
  <c r="AX33" i="33"/>
  <c r="AX34" i="33"/>
  <c r="AX35" i="33"/>
  <c r="AX36" i="33"/>
  <c r="AX37" i="33"/>
  <c r="AX38" i="33"/>
  <c r="AX39" i="33"/>
  <c r="AX40" i="33"/>
  <c r="AX41" i="33"/>
  <c r="AX42" i="33"/>
  <c r="AX43" i="33"/>
  <c r="AX44" i="33"/>
  <c r="AX45" i="33"/>
  <c r="AX46" i="33"/>
  <c r="AX47" i="33"/>
  <c r="AX48" i="33"/>
  <c r="AX49" i="33"/>
  <c r="AX50" i="33"/>
  <c r="AX51" i="33"/>
  <c r="AX52" i="33"/>
  <c r="AX53" i="33"/>
  <c r="AX54" i="33"/>
  <c r="AX4" i="33"/>
  <c r="AY5" i="33"/>
  <c r="AY6" i="33"/>
  <c r="AY7" i="33"/>
  <c r="AY8" i="33"/>
  <c r="AY9" i="33"/>
  <c r="AY10" i="33"/>
  <c r="AY11" i="33"/>
  <c r="AY12" i="33"/>
  <c r="AY13" i="33"/>
  <c r="AY14" i="33"/>
  <c r="AY15" i="33"/>
  <c r="AY16" i="33"/>
  <c r="AY17" i="33"/>
  <c r="AY18" i="33"/>
  <c r="AY19" i="33"/>
  <c r="AY20" i="33"/>
  <c r="AY21" i="33"/>
  <c r="AY22" i="33"/>
  <c r="AY23" i="33"/>
  <c r="AY24" i="33"/>
  <c r="AY25" i="33"/>
  <c r="AY26" i="33"/>
  <c r="AY27" i="33"/>
  <c r="AY28" i="33"/>
  <c r="AY29" i="33"/>
  <c r="AY30" i="33"/>
  <c r="AY31" i="33"/>
  <c r="AY32" i="33"/>
  <c r="AY33" i="33"/>
  <c r="AY34" i="33"/>
  <c r="AY35" i="33"/>
  <c r="AY36" i="33"/>
  <c r="AY37" i="33"/>
  <c r="AY38" i="33"/>
  <c r="AY39" i="33"/>
  <c r="AY40" i="33"/>
  <c r="AY41" i="33"/>
  <c r="AY42" i="33"/>
  <c r="AY43" i="33"/>
  <c r="AY44" i="33"/>
  <c r="AY45" i="33"/>
  <c r="AY46" i="33"/>
  <c r="AY47" i="33"/>
  <c r="AY48" i="33"/>
  <c r="AY49" i="33"/>
  <c r="AY50" i="33"/>
  <c r="AY51" i="33"/>
  <c r="AY52" i="33"/>
  <c r="AY53" i="33"/>
  <c r="AY54" i="33"/>
  <c r="AY4" i="33"/>
  <c r="AW5" i="33"/>
  <c r="AW6" i="33"/>
  <c r="AW7" i="33"/>
  <c r="AW8" i="33"/>
  <c r="AW9" i="33"/>
  <c r="AW10" i="33"/>
  <c r="AW11" i="33"/>
  <c r="AW12" i="33"/>
  <c r="AW13" i="33"/>
  <c r="AW14" i="33"/>
  <c r="AW15" i="33"/>
  <c r="AW16" i="33"/>
  <c r="AW17" i="33"/>
  <c r="AW18" i="33"/>
  <c r="AW19" i="33"/>
  <c r="AW20" i="33"/>
  <c r="AW21" i="33"/>
  <c r="AW22" i="33"/>
  <c r="AW23" i="33"/>
  <c r="AW24" i="33"/>
  <c r="AW25" i="33"/>
  <c r="AW26" i="33"/>
  <c r="AW27" i="33"/>
  <c r="AW28" i="33"/>
  <c r="AW29" i="33"/>
  <c r="AW30" i="33"/>
  <c r="AW31" i="33"/>
  <c r="AW32" i="33"/>
  <c r="AW33" i="33"/>
  <c r="AW34" i="33"/>
  <c r="AW35" i="33"/>
  <c r="AW36" i="33"/>
  <c r="AW37" i="33"/>
  <c r="AW38" i="33"/>
  <c r="AW39" i="33"/>
  <c r="AW40" i="33"/>
  <c r="AW41" i="33"/>
  <c r="AW42" i="33"/>
  <c r="AW43" i="33"/>
  <c r="AW44" i="33"/>
  <c r="AW45" i="33"/>
  <c r="AW46" i="33"/>
  <c r="AW47" i="33"/>
  <c r="AW48" i="33"/>
  <c r="AW49" i="33"/>
  <c r="AW50" i="33"/>
  <c r="AW51" i="33"/>
  <c r="AW52" i="33"/>
  <c r="AW53" i="33"/>
  <c r="AW54" i="33"/>
  <c r="AW4" i="33"/>
  <c r="AY5" i="32"/>
  <c r="AY6" i="32"/>
  <c r="AY7" i="32"/>
  <c r="AY8" i="32"/>
  <c r="AY9" i="32"/>
  <c r="AY10" i="32"/>
  <c r="AY11" i="32"/>
  <c r="AY12" i="32"/>
  <c r="AY13" i="32"/>
  <c r="AY14" i="32"/>
  <c r="AY15" i="32"/>
  <c r="AY16" i="32"/>
  <c r="AY17" i="32"/>
  <c r="AY18" i="32"/>
  <c r="AY19" i="32"/>
  <c r="AY20" i="32"/>
  <c r="AY21" i="32"/>
  <c r="AY22" i="32"/>
  <c r="AY23" i="32"/>
  <c r="AY24" i="32"/>
  <c r="AY25" i="32"/>
  <c r="AY26" i="32"/>
  <c r="AY27" i="32"/>
  <c r="AY28" i="32"/>
  <c r="AY29" i="32"/>
  <c r="AY30" i="32"/>
  <c r="AY31" i="32"/>
  <c r="AY32" i="32"/>
  <c r="AY33" i="32"/>
  <c r="AY34" i="32"/>
  <c r="AY35" i="32"/>
  <c r="AY36" i="32"/>
  <c r="AY37" i="32"/>
  <c r="AY38" i="32"/>
  <c r="AY39" i="32"/>
  <c r="AY40" i="32"/>
  <c r="AY41" i="32"/>
  <c r="AY42" i="32"/>
  <c r="AY43" i="32"/>
  <c r="AY44" i="32"/>
  <c r="AY45" i="32"/>
  <c r="AY46" i="32"/>
  <c r="AY47" i="32"/>
  <c r="AY48" i="32"/>
  <c r="AY49" i="32"/>
  <c r="AY50" i="32"/>
  <c r="AY51" i="32"/>
  <c r="AY52" i="32"/>
  <c r="AY53" i="32"/>
  <c r="AY54" i="32"/>
  <c r="AW5" i="32"/>
  <c r="AW6" i="32"/>
  <c r="AW7" i="32"/>
  <c r="AW8" i="32"/>
  <c r="AW9" i="32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37" i="32"/>
  <c r="AW38" i="32"/>
  <c r="AW39" i="32"/>
  <c r="AW40" i="32"/>
  <c r="AW41" i="32"/>
  <c r="AW42" i="32"/>
  <c r="AW43" i="32"/>
  <c r="AW44" i="32"/>
  <c r="AW45" i="32"/>
  <c r="AW46" i="32"/>
  <c r="AW47" i="32"/>
  <c r="AW48" i="32"/>
  <c r="AW49" i="32"/>
  <c r="AW50" i="32"/>
  <c r="AW51" i="32"/>
  <c r="AW52" i="32"/>
  <c r="AW53" i="32"/>
  <c r="AW54" i="32"/>
  <c r="AY4" i="32"/>
  <c r="AW4" i="32"/>
  <c r="AX54" i="32"/>
  <c r="AX53" i="32"/>
  <c r="AX52" i="32"/>
  <c r="AX51" i="32"/>
  <c r="AX50" i="32"/>
  <c r="AX49" i="32"/>
  <c r="AX48" i="32"/>
  <c r="AX47" i="32"/>
  <c r="AX46" i="32"/>
  <c r="AX45" i="32"/>
  <c r="AX44" i="32"/>
  <c r="AX43" i="32"/>
  <c r="AX42" i="32"/>
  <c r="AX41" i="32"/>
  <c r="AX40" i="32"/>
  <c r="AX39" i="32"/>
  <c r="AX38" i="32"/>
  <c r="AX37" i="32"/>
  <c r="AX36" i="32"/>
  <c r="AX35" i="32"/>
  <c r="AX34" i="32"/>
  <c r="AX33" i="32"/>
  <c r="AX32" i="32"/>
  <c r="AX31" i="32"/>
  <c r="AX30" i="32"/>
  <c r="AX29" i="32"/>
  <c r="AX28" i="32"/>
  <c r="AX27" i="32"/>
  <c r="AX26" i="32"/>
  <c r="AX25" i="32"/>
  <c r="AX24" i="32"/>
  <c r="AX23" i="32"/>
  <c r="AX22" i="32"/>
  <c r="AX21" i="32"/>
  <c r="AX20" i="32"/>
  <c r="AX19" i="32"/>
  <c r="AX18" i="32"/>
  <c r="AX17" i="32"/>
  <c r="AX16" i="32"/>
  <c r="AX15" i="32"/>
  <c r="AX14" i="32"/>
  <c r="AX13" i="32"/>
  <c r="AX12" i="32"/>
  <c r="AX11" i="32"/>
  <c r="AX10" i="32"/>
  <c r="AX9" i="32"/>
  <c r="AX8" i="32"/>
  <c r="AX7" i="32"/>
  <c r="AX6" i="32"/>
  <c r="AX5" i="32"/>
  <c r="B7" i="30"/>
  <c r="I7" i="30"/>
  <c r="J7" i="30"/>
  <c r="H7" i="30"/>
  <c r="AM6" i="33"/>
  <c r="AA4" i="33"/>
  <c r="AB4" i="33"/>
  <c r="AC4" i="33"/>
  <c r="AD4" i="33"/>
  <c r="AE4" i="33"/>
  <c r="AF4" i="33"/>
  <c r="AG4" i="33"/>
  <c r="AH4" i="33"/>
  <c r="AI4" i="33"/>
  <c r="AJ4" i="33"/>
  <c r="AK4" i="33"/>
  <c r="AL4" i="33"/>
  <c r="AM4" i="33"/>
  <c r="AN4" i="33"/>
  <c r="AO4" i="33"/>
  <c r="AP4" i="33"/>
  <c r="AA5" i="33"/>
  <c r="AB5" i="33"/>
  <c r="AC5" i="33"/>
  <c r="AD5" i="33"/>
  <c r="AE5" i="33"/>
  <c r="AF5" i="33"/>
  <c r="AG5" i="33"/>
  <c r="AH5" i="33"/>
  <c r="AI5" i="33"/>
  <c r="AJ5" i="33"/>
  <c r="AK5" i="33"/>
  <c r="AL5" i="33"/>
  <c r="AM5" i="33"/>
  <c r="AN5" i="33"/>
  <c r="AO5" i="33"/>
  <c r="AP5" i="33"/>
  <c r="AA6" i="33"/>
  <c r="AB6" i="33"/>
  <c r="AC6" i="33"/>
  <c r="AD6" i="33"/>
  <c r="AE6" i="33"/>
  <c r="AF6" i="33"/>
  <c r="AG6" i="33"/>
  <c r="AH6" i="33"/>
  <c r="AI6" i="33"/>
  <c r="AJ6" i="33"/>
  <c r="AK6" i="33"/>
  <c r="AL6" i="33"/>
  <c r="AN6" i="33"/>
  <c r="AO6" i="33"/>
  <c r="AP6" i="33"/>
  <c r="AA7" i="33"/>
  <c r="AB7" i="33"/>
  <c r="AC7" i="33"/>
  <c r="AD7" i="33"/>
  <c r="AE7" i="33"/>
  <c r="AF7" i="33"/>
  <c r="AG7" i="33"/>
  <c r="AH7" i="33"/>
  <c r="AI7" i="33"/>
  <c r="AJ7" i="33"/>
  <c r="AK7" i="33"/>
  <c r="AL7" i="33"/>
  <c r="AM7" i="33"/>
  <c r="AN7" i="33"/>
  <c r="AO7" i="33"/>
  <c r="AP7" i="33"/>
  <c r="AA8" i="33"/>
  <c r="AB8" i="33"/>
  <c r="AC8" i="33"/>
  <c r="AD8" i="33"/>
  <c r="AE8" i="33"/>
  <c r="AF8" i="33"/>
  <c r="AG8" i="33"/>
  <c r="AH8" i="33"/>
  <c r="AI8" i="33"/>
  <c r="AJ8" i="33"/>
  <c r="AK8" i="33"/>
  <c r="AL8" i="33"/>
  <c r="AM8" i="33"/>
  <c r="AN8" i="33"/>
  <c r="AO8" i="33"/>
  <c r="AP8" i="33"/>
  <c r="AA9" i="33"/>
  <c r="AB9" i="33"/>
  <c r="AC9" i="33"/>
  <c r="AD9" i="33"/>
  <c r="AE9" i="33"/>
  <c r="AF9" i="33"/>
  <c r="AG9" i="33"/>
  <c r="AH9" i="33"/>
  <c r="AI9" i="33"/>
  <c r="AJ9" i="33"/>
  <c r="AK9" i="33"/>
  <c r="AL9" i="33"/>
  <c r="AM9" i="33"/>
  <c r="AN9" i="33"/>
  <c r="AO9" i="33"/>
  <c r="AP9" i="33"/>
  <c r="AA10" i="33"/>
  <c r="AB10" i="33"/>
  <c r="AC10" i="33"/>
  <c r="AD10" i="33"/>
  <c r="AE10" i="33"/>
  <c r="AF10" i="33"/>
  <c r="AG10" i="33"/>
  <c r="AH10" i="33"/>
  <c r="AI10" i="33"/>
  <c r="AJ10" i="33"/>
  <c r="AK10" i="33"/>
  <c r="AL10" i="33"/>
  <c r="AM10" i="33"/>
  <c r="AN10" i="33"/>
  <c r="AO10" i="33"/>
  <c r="AP10" i="33"/>
  <c r="AA11" i="33"/>
  <c r="AB11" i="33"/>
  <c r="AC11" i="33"/>
  <c r="AD11" i="33"/>
  <c r="AE11" i="33"/>
  <c r="AF11" i="33"/>
  <c r="AG11" i="33"/>
  <c r="AH11" i="33"/>
  <c r="AI11" i="33"/>
  <c r="AJ11" i="33"/>
  <c r="AK11" i="33"/>
  <c r="AL11" i="33"/>
  <c r="AM11" i="33"/>
  <c r="AN11" i="33"/>
  <c r="AO11" i="33"/>
  <c r="AP11" i="33"/>
  <c r="AA12" i="33"/>
  <c r="AB12" i="33"/>
  <c r="AC12" i="33"/>
  <c r="AD12" i="33"/>
  <c r="AE12" i="33"/>
  <c r="AF12" i="33"/>
  <c r="AG12" i="33"/>
  <c r="AH12" i="33"/>
  <c r="AI12" i="33"/>
  <c r="AJ12" i="33"/>
  <c r="AK12" i="33"/>
  <c r="AL12" i="33"/>
  <c r="AM12" i="33"/>
  <c r="AN12" i="33"/>
  <c r="AO12" i="33"/>
  <c r="AP12" i="33"/>
  <c r="AA13" i="33"/>
  <c r="AB13" i="33"/>
  <c r="AC13" i="33"/>
  <c r="AD13" i="33"/>
  <c r="AE13" i="33"/>
  <c r="AF13" i="33"/>
  <c r="AG13" i="33"/>
  <c r="AH13" i="33"/>
  <c r="AI13" i="33"/>
  <c r="AJ13" i="33"/>
  <c r="AK13" i="33"/>
  <c r="AL13" i="33"/>
  <c r="AM13" i="33"/>
  <c r="AN13" i="33"/>
  <c r="AO13" i="33"/>
  <c r="AP13" i="33"/>
  <c r="AA14" i="33"/>
  <c r="AB14" i="33"/>
  <c r="AC14" i="33"/>
  <c r="AD14" i="33"/>
  <c r="AE14" i="33"/>
  <c r="AF14" i="33"/>
  <c r="AG14" i="33"/>
  <c r="AH14" i="33"/>
  <c r="AI14" i="33"/>
  <c r="AJ14" i="33"/>
  <c r="AK14" i="33"/>
  <c r="AL14" i="33"/>
  <c r="AM14" i="33"/>
  <c r="AN14" i="33"/>
  <c r="AO14" i="33"/>
  <c r="AP14" i="33"/>
  <c r="AA15" i="33"/>
  <c r="AB15" i="33"/>
  <c r="AC15" i="33"/>
  <c r="AD15" i="33"/>
  <c r="AE15" i="33"/>
  <c r="AF15" i="33"/>
  <c r="AG15" i="33"/>
  <c r="AH15" i="33"/>
  <c r="AI15" i="33"/>
  <c r="AJ15" i="33"/>
  <c r="AK15" i="33"/>
  <c r="AL15" i="33"/>
  <c r="AM15" i="33"/>
  <c r="AN15" i="33"/>
  <c r="AO15" i="33"/>
  <c r="AP15" i="33"/>
  <c r="AA16" i="33"/>
  <c r="AB16" i="33"/>
  <c r="AC16" i="33"/>
  <c r="AD16" i="33"/>
  <c r="AE16" i="33"/>
  <c r="AF16" i="33"/>
  <c r="AG16" i="33"/>
  <c r="AH16" i="33"/>
  <c r="AI16" i="33"/>
  <c r="AJ16" i="33"/>
  <c r="AK16" i="33"/>
  <c r="AL16" i="33"/>
  <c r="AM16" i="33"/>
  <c r="AN16" i="33"/>
  <c r="AO16" i="33"/>
  <c r="AP16" i="33"/>
  <c r="AA17" i="33"/>
  <c r="AB17" i="33"/>
  <c r="AC17" i="33"/>
  <c r="AD17" i="33"/>
  <c r="AE17" i="33"/>
  <c r="AF17" i="33"/>
  <c r="AG17" i="33"/>
  <c r="AH17" i="33"/>
  <c r="AI17" i="33"/>
  <c r="AJ17" i="33"/>
  <c r="AK17" i="33"/>
  <c r="AL17" i="33"/>
  <c r="AM17" i="33"/>
  <c r="AN17" i="33"/>
  <c r="AO17" i="33"/>
  <c r="AP17" i="33"/>
  <c r="AA18" i="33"/>
  <c r="AB18" i="33"/>
  <c r="AC18" i="33"/>
  <c r="AD18" i="33"/>
  <c r="AE18" i="33"/>
  <c r="AF18" i="33"/>
  <c r="AG18" i="33"/>
  <c r="AH18" i="33"/>
  <c r="AI18" i="33"/>
  <c r="AJ18" i="33"/>
  <c r="AK18" i="33"/>
  <c r="AL18" i="33"/>
  <c r="AM18" i="33"/>
  <c r="AN18" i="33"/>
  <c r="AO18" i="33"/>
  <c r="AP18" i="33"/>
  <c r="AA19" i="33"/>
  <c r="AB19" i="33"/>
  <c r="AC19" i="33"/>
  <c r="AD19" i="33"/>
  <c r="AE19" i="33"/>
  <c r="AF19" i="33"/>
  <c r="AG19" i="33"/>
  <c r="AH19" i="33"/>
  <c r="AI19" i="33"/>
  <c r="AJ19" i="33"/>
  <c r="AK19" i="33"/>
  <c r="AL19" i="33"/>
  <c r="AM19" i="33"/>
  <c r="AN19" i="33"/>
  <c r="AO19" i="33"/>
  <c r="AP19" i="33"/>
  <c r="AA20" i="33"/>
  <c r="AB20" i="33"/>
  <c r="AC20" i="33"/>
  <c r="AD20" i="33"/>
  <c r="AE20" i="33"/>
  <c r="AF20" i="33"/>
  <c r="AG20" i="33"/>
  <c r="AH20" i="33"/>
  <c r="AI20" i="33"/>
  <c r="AJ20" i="33"/>
  <c r="AK20" i="33"/>
  <c r="AL20" i="33"/>
  <c r="AM20" i="33"/>
  <c r="AN20" i="33"/>
  <c r="AO20" i="33"/>
  <c r="AP20" i="33"/>
  <c r="AA21" i="33"/>
  <c r="AB21" i="33"/>
  <c r="AC21" i="33"/>
  <c r="AD21" i="33"/>
  <c r="AE21" i="33"/>
  <c r="AF21" i="33"/>
  <c r="AG21" i="33"/>
  <c r="AH21" i="33"/>
  <c r="AI21" i="33"/>
  <c r="AJ21" i="33"/>
  <c r="AK21" i="33"/>
  <c r="AL21" i="33"/>
  <c r="AM21" i="33"/>
  <c r="AN21" i="33"/>
  <c r="AO21" i="33"/>
  <c r="AP21" i="33"/>
  <c r="AA22" i="33"/>
  <c r="AB22" i="33"/>
  <c r="AC22" i="33"/>
  <c r="AD22" i="33"/>
  <c r="AE22" i="33"/>
  <c r="AF22" i="33"/>
  <c r="AG22" i="33"/>
  <c r="AH22" i="33"/>
  <c r="AI22" i="33"/>
  <c r="AJ22" i="33"/>
  <c r="AK22" i="33"/>
  <c r="AL22" i="33"/>
  <c r="AM22" i="33"/>
  <c r="AN22" i="33"/>
  <c r="AO22" i="33"/>
  <c r="AP22" i="33"/>
  <c r="AA23" i="33"/>
  <c r="AB23" i="33"/>
  <c r="AC23" i="33"/>
  <c r="AD23" i="33"/>
  <c r="AE23" i="33"/>
  <c r="AF23" i="33"/>
  <c r="AG23" i="33"/>
  <c r="AH23" i="33"/>
  <c r="AI23" i="33"/>
  <c r="AJ23" i="33"/>
  <c r="AK23" i="33"/>
  <c r="AL23" i="33"/>
  <c r="AM23" i="33"/>
  <c r="AN23" i="33"/>
  <c r="AO23" i="33"/>
  <c r="AP23" i="33"/>
  <c r="AA24" i="33"/>
  <c r="AB24" i="33"/>
  <c r="AC24" i="33"/>
  <c r="AD24" i="33"/>
  <c r="AE24" i="33"/>
  <c r="AF24" i="33"/>
  <c r="AG24" i="33"/>
  <c r="AH24" i="33"/>
  <c r="AI24" i="33"/>
  <c r="AJ24" i="33"/>
  <c r="AK24" i="33"/>
  <c r="AL24" i="33"/>
  <c r="AM24" i="33"/>
  <c r="AN24" i="33"/>
  <c r="AO24" i="33"/>
  <c r="AP24" i="33"/>
  <c r="AA25" i="33"/>
  <c r="AB25" i="33"/>
  <c r="AC25" i="33"/>
  <c r="AD25" i="33"/>
  <c r="AE25" i="33"/>
  <c r="AF25" i="33"/>
  <c r="AG25" i="33"/>
  <c r="AH25" i="33"/>
  <c r="AI25" i="33"/>
  <c r="AJ25" i="33"/>
  <c r="AK25" i="33"/>
  <c r="AL25" i="33"/>
  <c r="AM25" i="33"/>
  <c r="AN25" i="33"/>
  <c r="AO25" i="33"/>
  <c r="AP25" i="33"/>
  <c r="AA26" i="33"/>
  <c r="AB26" i="33"/>
  <c r="AC26" i="33"/>
  <c r="AD26" i="33"/>
  <c r="AE26" i="33"/>
  <c r="AF26" i="33"/>
  <c r="AG26" i="33"/>
  <c r="AH26" i="33"/>
  <c r="AI26" i="33"/>
  <c r="AJ26" i="33"/>
  <c r="AK26" i="33"/>
  <c r="AL26" i="33"/>
  <c r="AM26" i="33"/>
  <c r="AN26" i="33"/>
  <c r="AO26" i="33"/>
  <c r="AP26" i="33"/>
  <c r="AA27" i="33"/>
  <c r="AB27" i="33"/>
  <c r="AC27" i="33"/>
  <c r="AD27" i="33"/>
  <c r="AE27" i="33"/>
  <c r="AF27" i="33"/>
  <c r="AG27" i="33"/>
  <c r="AH27" i="33"/>
  <c r="AI27" i="33"/>
  <c r="AJ27" i="33"/>
  <c r="AK27" i="33"/>
  <c r="AL27" i="33"/>
  <c r="AM27" i="33"/>
  <c r="AN27" i="33"/>
  <c r="AO27" i="33"/>
  <c r="AP27" i="33"/>
  <c r="AA28" i="33"/>
  <c r="AB28" i="33"/>
  <c r="AC28" i="33"/>
  <c r="AD28" i="33"/>
  <c r="AE28" i="33"/>
  <c r="AF28" i="33"/>
  <c r="AG28" i="33"/>
  <c r="AH28" i="33"/>
  <c r="AI28" i="33"/>
  <c r="AJ28" i="33"/>
  <c r="AK28" i="33"/>
  <c r="AL28" i="33"/>
  <c r="AM28" i="33"/>
  <c r="AN28" i="33"/>
  <c r="AO28" i="33"/>
  <c r="AP28" i="33"/>
  <c r="AA29" i="33"/>
  <c r="AB29" i="33"/>
  <c r="AC29" i="33"/>
  <c r="AD29" i="33"/>
  <c r="AE29" i="33"/>
  <c r="AF29" i="33"/>
  <c r="AG29" i="33"/>
  <c r="AH29" i="33"/>
  <c r="AI29" i="33"/>
  <c r="AJ29" i="33"/>
  <c r="AK29" i="33"/>
  <c r="AL29" i="33"/>
  <c r="AM29" i="33"/>
  <c r="AN29" i="33"/>
  <c r="AO29" i="33"/>
  <c r="AP29" i="33"/>
  <c r="AA30" i="33"/>
  <c r="AB30" i="33"/>
  <c r="AC30" i="33"/>
  <c r="AD30" i="33"/>
  <c r="AE30" i="33"/>
  <c r="AF30" i="33"/>
  <c r="AG30" i="33"/>
  <c r="AH30" i="33"/>
  <c r="AI30" i="33"/>
  <c r="AJ30" i="33"/>
  <c r="AK30" i="33"/>
  <c r="AL30" i="33"/>
  <c r="AM30" i="33"/>
  <c r="AN30" i="33"/>
  <c r="AO30" i="33"/>
  <c r="AP30" i="33"/>
  <c r="AA31" i="33"/>
  <c r="AB31" i="33"/>
  <c r="AC31" i="33"/>
  <c r="AD31" i="33"/>
  <c r="AE31" i="33"/>
  <c r="AF31" i="33"/>
  <c r="AG31" i="33"/>
  <c r="AH31" i="33"/>
  <c r="AI31" i="33"/>
  <c r="AJ31" i="33"/>
  <c r="AK31" i="33"/>
  <c r="AL31" i="33"/>
  <c r="AM31" i="33"/>
  <c r="AN31" i="33"/>
  <c r="AO31" i="33"/>
  <c r="AP31" i="33"/>
  <c r="AA32" i="33"/>
  <c r="AB32" i="33"/>
  <c r="AC32" i="33"/>
  <c r="AD32" i="33"/>
  <c r="AE32" i="33"/>
  <c r="AF32" i="33"/>
  <c r="AG32" i="33"/>
  <c r="AH32" i="33"/>
  <c r="AI32" i="33"/>
  <c r="AJ32" i="33"/>
  <c r="AK32" i="33"/>
  <c r="AL32" i="33"/>
  <c r="AM32" i="33"/>
  <c r="AN32" i="33"/>
  <c r="AO32" i="33"/>
  <c r="AP32" i="33"/>
  <c r="AA33" i="33"/>
  <c r="AB33" i="33"/>
  <c r="AC33" i="33"/>
  <c r="AD33" i="33"/>
  <c r="AE33" i="33"/>
  <c r="AF33" i="33"/>
  <c r="AG33" i="33"/>
  <c r="AH33" i="33"/>
  <c r="AI33" i="33"/>
  <c r="AJ33" i="33"/>
  <c r="AK33" i="33"/>
  <c r="AL33" i="33"/>
  <c r="AM33" i="33"/>
  <c r="AN33" i="33"/>
  <c r="AO33" i="33"/>
  <c r="AP33" i="33"/>
  <c r="AA34" i="33"/>
  <c r="AB34" i="33"/>
  <c r="AC34" i="33"/>
  <c r="AD34" i="33"/>
  <c r="AE34" i="33"/>
  <c r="AF34" i="33"/>
  <c r="AG34" i="33"/>
  <c r="AH34" i="33"/>
  <c r="AI34" i="33"/>
  <c r="AJ34" i="33"/>
  <c r="AK34" i="33"/>
  <c r="AL34" i="33"/>
  <c r="AM34" i="33"/>
  <c r="AN34" i="33"/>
  <c r="AO34" i="33"/>
  <c r="AP34" i="33"/>
  <c r="AA35" i="33"/>
  <c r="AB35" i="33"/>
  <c r="AC35" i="33"/>
  <c r="AD35" i="33"/>
  <c r="AE35" i="33"/>
  <c r="AF35" i="33"/>
  <c r="AG35" i="33"/>
  <c r="AH35" i="33"/>
  <c r="AI35" i="33"/>
  <c r="AJ35" i="33"/>
  <c r="AK35" i="33"/>
  <c r="AL35" i="33"/>
  <c r="AM35" i="33"/>
  <c r="AN35" i="33"/>
  <c r="AO35" i="33"/>
  <c r="AP35" i="33"/>
  <c r="AA36" i="33"/>
  <c r="AB36" i="33"/>
  <c r="AC36" i="33"/>
  <c r="AD36" i="33"/>
  <c r="AE36" i="33"/>
  <c r="AF36" i="33"/>
  <c r="AG36" i="33"/>
  <c r="AH36" i="33"/>
  <c r="AI36" i="33"/>
  <c r="AJ36" i="33"/>
  <c r="AK36" i="33"/>
  <c r="AL36" i="33"/>
  <c r="AM36" i="33"/>
  <c r="AN36" i="33"/>
  <c r="AO36" i="33"/>
  <c r="AP36" i="33"/>
  <c r="AA37" i="33"/>
  <c r="AB37" i="33"/>
  <c r="AC37" i="33"/>
  <c r="AD37" i="33"/>
  <c r="AE37" i="33"/>
  <c r="AF37" i="33"/>
  <c r="AG37" i="33"/>
  <c r="AH37" i="33"/>
  <c r="AI37" i="33"/>
  <c r="AJ37" i="33"/>
  <c r="AK37" i="33"/>
  <c r="AL37" i="33"/>
  <c r="AM37" i="33"/>
  <c r="AN37" i="33"/>
  <c r="AO37" i="33"/>
  <c r="AP37" i="33"/>
  <c r="AA38" i="33"/>
  <c r="AB38" i="33"/>
  <c r="AC38" i="33"/>
  <c r="AD38" i="33"/>
  <c r="AE38" i="33"/>
  <c r="AF38" i="33"/>
  <c r="AG38" i="33"/>
  <c r="AH38" i="33"/>
  <c r="AI38" i="33"/>
  <c r="AJ38" i="33"/>
  <c r="AK38" i="33"/>
  <c r="AL38" i="33"/>
  <c r="AM38" i="33"/>
  <c r="AN38" i="33"/>
  <c r="AO38" i="33"/>
  <c r="AP38" i="33"/>
  <c r="AA39" i="33"/>
  <c r="AB39" i="33"/>
  <c r="AC39" i="33"/>
  <c r="AD39" i="33"/>
  <c r="AE39" i="33"/>
  <c r="AF39" i="33"/>
  <c r="AG39" i="33"/>
  <c r="AH39" i="33"/>
  <c r="AI39" i="33"/>
  <c r="AJ39" i="33"/>
  <c r="AK39" i="33"/>
  <c r="AL39" i="33"/>
  <c r="AM39" i="33"/>
  <c r="AN39" i="33"/>
  <c r="AO39" i="33"/>
  <c r="AP39" i="33"/>
  <c r="AA40" i="33"/>
  <c r="AB40" i="33"/>
  <c r="AC40" i="33"/>
  <c r="AD40" i="33"/>
  <c r="AE40" i="33"/>
  <c r="AF40" i="33"/>
  <c r="AG40" i="33"/>
  <c r="AH40" i="33"/>
  <c r="AI40" i="33"/>
  <c r="AJ40" i="33"/>
  <c r="AK40" i="33"/>
  <c r="AL40" i="33"/>
  <c r="AM40" i="33"/>
  <c r="AN40" i="33"/>
  <c r="AO40" i="33"/>
  <c r="AP40" i="33"/>
  <c r="AA41" i="33"/>
  <c r="AB41" i="33"/>
  <c r="AC41" i="33"/>
  <c r="AD41" i="33"/>
  <c r="AE41" i="33"/>
  <c r="AF41" i="33"/>
  <c r="AG41" i="33"/>
  <c r="AH41" i="33"/>
  <c r="AI41" i="33"/>
  <c r="AJ41" i="33"/>
  <c r="AK41" i="33"/>
  <c r="AL41" i="33"/>
  <c r="AM41" i="33"/>
  <c r="AN41" i="33"/>
  <c r="AO41" i="33"/>
  <c r="AP41" i="33"/>
  <c r="AA42" i="33"/>
  <c r="AB42" i="33"/>
  <c r="AC42" i="33"/>
  <c r="AD42" i="33"/>
  <c r="AE42" i="33"/>
  <c r="AF42" i="33"/>
  <c r="AG42" i="33"/>
  <c r="AH42" i="33"/>
  <c r="AI42" i="33"/>
  <c r="AJ42" i="33"/>
  <c r="AK42" i="33"/>
  <c r="AL42" i="33"/>
  <c r="AM42" i="33"/>
  <c r="AN42" i="33"/>
  <c r="AO42" i="33"/>
  <c r="AP42" i="33"/>
  <c r="AA43" i="33"/>
  <c r="AB43" i="33"/>
  <c r="AC43" i="33"/>
  <c r="AD43" i="33"/>
  <c r="AE43" i="33"/>
  <c r="AF43" i="33"/>
  <c r="AG43" i="33"/>
  <c r="AH43" i="33"/>
  <c r="AI43" i="33"/>
  <c r="AJ43" i="33"/>
  <c r="AK43" i="33"/>
  <c r="AL43" i="33"/>
  <c r="AM43" i="33"/>
  <c r="AN43" i="33"/>
  <c r="AO43" i="33"/>
  <c r="AP43" i="33"/>
  <c r="AA44" i="33"/>
  <c r="AB44" i="33"/>
  <c r="AC44" i="33"/>
  <c r="AD44" i="33"/>
  <c r="AE44" i="33"/>
  <c r="AF44" i="33"/>
  <c r="AG44" i="33"/>
  <c r="AH44" i="33"/>
  <c r="AI44" i="33"/>
  <c r="AJ44" i="33"/>
  <c r="AK44" i="33"/>
  <c r="AL44" i="33"/>
  <c r="AM44" i="33"/>
  <c r="AN44" i="33"/>
  <c r="AO44" i="33"/>
  <c r="AP44" i="33"/>
  <c r="AA45" i="33"/>
  <c r="AB45" i="33"/>
  <c r="AC45" i="33"/>
  <c r="AD45" i="33"/>
  <c r="AE45" i="33"/>
  <c r="AF45" i="33"/>
  <c r="AG45" i="33"/>
  <c r="AH45" i="33"/>
  <c r="AI45" i="33"/>
  <c r="AJ45" i="33"/>
  <c r="AK45" i="33"/>
  <c r="AL45" i="33"/>
  <c r="AM45" i="33"/>
  <c r="AN45" i="33"/>
  <c r="AO45" i="33"/>
  <c r="AP45" i="33"/>
  <c r="AA46" i="33"/>
  <c r="AB46" i="33"/>
  <c r="AC46" i="33"/>
  <c r="AD46" i="33"/>
  <c r="AE46" i="33"/>
  <c r="AF46" i="33"/>
  <c r="AG46" i="33"/>
  <c r="AH46" i="33"/>
  <c r="AI46" i="33"/>
  <c r="AJ46" i="33"/>
  <c r="AK46" i="33"/>
  <c r="AL46" i="33"/>
  <c r="AM46" i="33"/>
  <c r="AN46" i="33"/>
  <c r="AO46" i="33"/>
  <c r="AP46" i="33"/>
  <c r="AA47" i="33"/>
  <c r="AB47" i="33"/>
  <c r="AC47" i="33"/>
  <c r="AD47" i="33"/>
  <c r="AE47" i="33"/>
  <c r="AF47" i="33"/>
  <c r="AG47" i="33"/>
  <c r="AH47" i="33"/>
  <c r="AI47" i="33"/>
  <c r="AJ47" i="33"/>
  <c r="AK47" i="33"/>
  <c r="AL47" i="33"/>
  <c r="AM47" i="33"/>
  <c r="AN47" i="33"/>
  <c r="AO47" i="33"/>
  <c r="AP47" i="33"/>
  <c r="AA48" i="33"/>
  <c r="AB48" i="33"/>
  <c r="AC48" i="33"/>
  <c r="AD48" i="33"/>
  <c r="AE48" i="33"/>
  <c r="AF48" i="33"/>
  <c r="AG48" i="33"/>
  <c r="AH48" i="33"/>
  <c r="AI48" i="33"/>
  <c r="AJ48" i="33"/>
  <c r="AK48" i="33"/>
  <c r="AL48" i="33"/>
  <c r="AM48" i="33"/>
  <c r="AN48" i="33"/>
  <c r="AO48" i="33"/>
  <c r="AP48" i="33"/>
  <c r="AA49" i="33"/>
  <c r="AB49" i="33"/>
  <c r="AC49" i="33"/>
  <c r="AD49" i="33"/>
  <c r="AE49" i="33"/>
  <c r="AF49" i="33"/>
  <c r="AG49" i="33"/>
  <c r="AH49" i="33"/>
  <c r="AI49" i="33"/>
  <c r="AJ49" i="33"/>
  <c r="AK49" i="33"/>
  <c r="AL49" i="33"/>
  <c r="AM49" i="33"/>
  <c r="AN49" i="33"/>
  <c r="AO49" i="33"/>
  <c r="AP49" i="33"/>
  <c r="AA50" i="33"/>
  <c r="AB50" i="33"/>
  <c r="AC50" i="33"/>
  <c r="AD50" i="33"/>
  <c r="AE50" i="33"/>
  <c r="AF50" i="33"/>
  <c r="AG50" i="33"/>
  <c r="AH50" i="33"/>
  <c r="AI50" i="33"/>
  <c r="AJ50" i="33"/>
  <c r="AK50" i="33"/>
  <c r="AL50" i="33"/>
  <c r="AM50" i="33"/>
  <c r="AN50" i="33"/>
  <c r="AO50" i="33"/>
  <c r="AP50" i="33"/>
  <c r="AA51" i="33"/>
  <c r="AB51" i="33"/>
  <c r="AC51" i="33"/>
  <c r="AD51" i="33"/>
  <c r="AE51" i="33"/>
  <c r="AF51" i="33"/>
  <c r="AG51" i="33"/>
  <c r="AH51" i="33"/>
  <c r="AI51" i="33"/>
  <c r="AJ51" i="33"/>
  <c r="AK51" i="33"/>
  <c r="AL51" i="33"/>
  <c r="AM51" i="33"/>
  <c r="AN51" i="33"/>
  <c r="AO51" i="33"/>
  <c r="AP51" i="33"/>
  <c r="AA52" i="33"/>
  <c r="AB52" i="33"/>
  <c r="AC52" i="33"/>
  <c r="AD52" i="33"/>
  <c r="AE52" i="33"/>
  <c r="AF52" i="33"/>
  <c r="AG52" i="33"/>
  <c r="AH52" i="33"/>
  <c r="AI52" i="33"/>
  <c r="AJ52" i="33"/>
  <c r="AK52" i="33"/>
  <c r="AL52" i="33"/>
  <c r="AM52" i="33"/>
  <c r="AN52" i="33"/>
  <c r="AO52" i="33"/>
  <c r="AP52" i="33"/>
  <c r="AA53" i="33"/>
  <c r="AB53" i="33"/>
  <c r="AC53" i="33"/>
  <c r="AD53" i="33"/>
  <c r="AE53" i="33"/>
  <c r="AF53" i="33"/>
  <c r="AG53" i="33"/>
  <c r="AH53" i="33"/>
  <c r="AI53" i="33"/>
  <c r="AJ53" i="33"/>
  <c r="AK53" i="33"/>
  <c r="AL53" i="33"/>
  <c r="AM53" i="33"/>
  <c r="AN53" i="33"/>
  <c r="AO53" i="33"/>
  <c r="AP53" i="33"/>
  <c r="AA54" i="33"/>
  <c r="AB54" i="33"/>
  <c r="AC54" i="33"/>
  <c r="AD54" i="33"/>
  <c r="AE54" i="33"/>
  <c r="AF54" i="33"/>
  <c r="AG54" i="33"/>
  <c r="AH54" i="33"/>
  <c r="AI54" i="33"/>
  <c r="AJ54" i="33"/>
  <c r="AK54" i="33"/>
  <c r="AL54" i="33"/>
  <c r="AM54" i="33"/>
  <c r="AN54" i="33"/>
  <c r="AO54" i="33"/>
  <c r="AP54" i="33"/>
  <c r="AQ4" i="33"/>
  <c r="AR4" i="33"/>
  <c r="AS4" i="33"/>
  <c r="AT4" i="33"/>
  <c r="AU4" i="33"/>
  <c r="AQ5" i="33"/>
  <c r="AR5" i="33"/>
  <c r="AS5" i="33"/>
  <c r="AT5" i="33"/>
  <c r="AU5" i="33"/>
  <c r="AQ6" i="33"/>
  <c r="AR6" i="33"/>
  <c r="AS6" i="33"/>
  <c r="AT6" i="33"/>
  <c r="AU6" i="33"/>
  <c r="AQ7" i="33"/>
  <c r="AR7" i="33"/>
  <c r="AS7" i="33"/>
  <c r="AT7" i="33"/>
  <c r="AU7" i="33"/>
  <c r="AQ8" i="33"/>
  <c r="AR8" i="33"/>
  <c r="AS8" i="33"/>
  <c r="AT8" i="33"/>
  <c r="AU8" i="33"/>
  <c r="AQ9" i="33"/>
  <c r="AR9" i="33"/>
  <c r="AS9" i="33"/>
  <c r="AT9" i="33"/>
  <c r="AU9" i="33"/>
  <c r="AQ10" i="33"/>
  <c r="AR10" i="33"/>
  <c r="AS10" i="33"/>
  <c r="AT10" i="33"/>
  <c r="AU10" i="33"/>
  <c r="AQ11" i="33"/>
  <c r="AR11" i="33"/>
  <c r="AS11" i="33"/>
  <c r="AT11" i="33"/>
  <c r="AU11" i="33"/>
  <c r="AQ12" i="33"/>
  <c r="AR12" i="33"/>
  <c r="AS12" i="33"/>
  <c r="AT12" i="33"/>
  <c r="AU12" i="33"/>
  <c r="AQ13" i="33"/>
  <c r="AR13" i="33"/>
  <c r="AS13" i="33"/>
  <c r="AT13" i="33"/>
  <c r="AU13" i="33"/>
  <c r="AQ14" i="33"/>
  <c r="AR14" i="33"/>
  <c r="AS14" i="33"/>
  <c r="AT14" i="33"/>
  <c r="AU14" i="33"/>
  <c r="AQ15" i="33"/>
  <c r="AR15" i="33"/>
  <c r="AS15" i="33"/>
  <c r="AT15" i="33"/>
  <c r="AU15" i="33"/>
  <c r="AQ16" i="33"/>
  <c r="AR16" i="33"/>
  <c r="AS16" i="33"/>
  <c r="AT16" i="33"/>
  <c r="AU16" i="33"/>
  <c r="AQ17" i="33"/>
  <c r="AR17" i="33"/>
  <c r="AS17" i="33"/>
  <c r="AT17" i="33"/>
  <c r="AU17" i="33"/>
  <c r="AQ18" i="33"/>
  <c r="AR18" i="33"/>
  <c r="AS18" i="33"/>
  <c r="AT18" i="33"/>
  <c r="AU18" i="33"/>
  <c r="AQ19" i="33"/>
  <c r="AR19" i="33"/>
  <c r="AS19" i="33"/>
  <c r="AT19" i="33"/>
  <c r="AU19" i="33"/>
  <c r="AQ20" i="33"/>
  <c r="AR20" i="33"/>
  <c r="AS20" i="33"/>
  <c r="AT20" i="33"/>
  <c r="AU20" i="33"/>
  <c r="AQ21" i="33"/>
  <c r="AR21" i="33"/>
  <c r="AS21" i="33"/>
  <c r="AT21" i="33"/>
  <c r="AU21" i="33"/>
  <c r="AQ22" i="33"/>
  <c r="AR22" i="33"/>
  <c r="AS22" i="33"/>
  <c r="AT22" i="33"/>
  <c r="AU22" i="33"/>
  <c r="AQ23" i="33"/>
  <c r="AR23" i="33"/>
  <c r="AS23" i="33"/>
  <c r="AT23" i="33"/>
  <c r="AU23" i="33"/>
  <c r="AQ24" i="33"/>
  <c r="AR24" i="33"/>
  <c r="AS24" i="33"/>
  <c r="AT24" i="33"/>
  <c r="AU24" i="33"/>
  <c r="AQ25" i="33"/>
  <c r="AR25" i="33"/>
  <c r="AS25" i="33"/>
  <c r="AT25" i="33"/>
  <c r="AU25" i="33"/>
  <c r="AQ26" i="33"/>
  <c r="AR26" i="33"/>
  <c r="AS26" i="33"/>
  <c r="AT26" i="33"/>
  <c r="AU26" i="33"/>
  <c r="AQ27" i="33"/>
  <c r="AR27" i="33"/>
  <c r="AS27" i="33"/>
  <c r="AT27" i="33"/>
  <c r="AU27" i="33"/>
  <c r="AQ28" i="33"/>
  <c r="AR28" i="33"/>
  <c r="AS28" i="33"/>
  <c r="AT28" i="33"/>
  <c r="AU28" i="33"/>
  <c r="AQ29" i="33"/>
  <c r="AR29" i="33"/>
  <c r="AS29" i="33"/>
  <c r="AT29" i="33"/>
  <c r="AU29" i="33"/>
  <c r="AQ30" i="33"/>
  <c r="AR30" i="33"/>
  <c r="AS30" i="33"/>
  <c r="AT30" i="33"/>
  <c r="AU30" i="33"/>
  <c r="AQ31" i="33"/>
  <c r="AR31" i="33"/>
  <c r="AS31" i="33"/>
  <c r="AT31" i="33"/>
  <c r="AU31" i="33"/>
  <c r="AQ32" i="33"/>
  <c r="AR32" i="33"/>
  <c r="AS32" i="33"/>
  <c r="AT32" i="33"/>
  <c r="AU32" i="33"/>
  <c r="AQ33" i="33"/>
  <c r="AR33" i="33"/>
  <c r="AS33" i="33"/>
  <c r="AT33" i="33"/>
  <c r="AU33" i="33"/>
  <c r="AQ34" i="33"/>
  <c r="AR34" i="33"/>
  <c r="AS34" i="33"/>
  <c r="AT34" i="33"/>
  <c r="AU34" i="33"/>
  <c r="AQ35" i="33"/>
  <c r="AR35" i="33"/>
  <c r="AS35" i="33"/>
  <c r="AT35" i="33"/>
  <c r="AU35" i="33"/>
  <c r="AQ36" i="33"/>
  <c r="AR36" i="33"/>
  <c r="AS36" i="33"/>
  <c r="AT36" i="33"/>
  <c r="AU36" i="33"/>
  <c r="AQ37" i="33"/>
  <c r="AR37" i="33"/>
  <c r="AS37" i="33"/>
  <c r="AT37" i="33"/>
  <c r="AU37" i="33"/>
  <c r="AQ38" i="33"/>
  <c r="AR38" i="33"/>
  <c r="AS38" i="33"/>
  <c r="AT38" i="33"/>
  <c r="AU38" i="33"/>
  <c r="AQ39" i="33"/>
  <c r="AR39" i="33"/>
  <c r="AS39" i="33"/>
  <c r="AT39" i="33"/>
  <c r="AU39" i="33"/>
  <c r="AQ40" i="33"/>
  <c r="AR40" i="33"/>
  <c r="AS40" i="33"/>
  <c r="AT40" i="33"/>
  <c r="AU40" i="33"/>
  <c r="AQ41" i="33"/>
  <c r="AR41" i="33"/>
  <c r="AS41" i="33"/>
  <c r="AT41" i="33"/>
  <c r="AU41" i="33"/>
  <c r="AQ42" i="33"/>
  <c r="AR42" i="33"/>
  <c r="AS42" i="33"/>
  <c r="AT42" i="33"/>
  <c r="AU42" i="33"/>
  <c r="AQ43" i="33"/>
  <c r="AR43" i="33"/>
  <c r="AS43" i="33"/>
  <c r="AT43" i="33"/>
  <c r="AU43" i="33"/>
  <c r="AQ44" i="33"/>
  <c r="AR44" i="33"/>
  <c r="AS44" i="33"/>
  <c r="AT44" i="33"/>
  <c r="AU44" i="33"/>
  <c r="AQ45" i="33"/>
  <c r="AR45" i="33"/>
  <c r="AS45" i="33"/>
  <c r="AT45" i="33"/>
  <c r="AU45" i="33"/>
  <c r="AQ46" i="33"/>
  <c r="AR46" i="33"/>
  <c r="AS46" i="33"/>
  <c r="AT46" i="33"/>
  <c r="AU46" i="33"/>
  <c r="AQ47" i="33"/>
  <c r="AR47" i="33"/>
  <c r="AS47" i="33"/>
  <c r="AT47" i="33"/>
  <c r="AU47" i="33"/>
  <c r="AQ48" i="33"/>
  <c r="AR48" i="33"/>
  <c r="AS48" i="33"/>
  <c r="AT48" i="33"/>
  <c r="AU48" i="33"/>
  <c r="AQ49" i="33"/>
  <c r="AR49" i="33"/>
  <c r="AS49" i="33"/>
  <c r="AT49" i="33"/>
  <c r="AU49" i="33"/>
  <c r="AQ50" i="33"/>
  <c r="AR50" i="33"/>
  <c r="AS50" i="33"/>
  <c r="AT50" i="33"/>
  <c r="AU50" i="33"/>
  <c r="AQ51" i="33"/>
  <c r="AR51" i="33"/>
  <c r="AS51" i="33"/>
  <c r="AT51" i="33"/>
  <c r="AU51" i="33"/>
  <c r="AQ52" i="33"/>
  <c r="AR52" i="33"/>
  <c r="AS52" i="33"/>
  <c r="AT52" i="33"/>
  <c r="AU52" i="33"/>
  <c r="AQ53" i="33"/>
  <c r="AR53" i="33"/>
  <c r="AS53" i="33"/>
  <c r="AT53" i="33"/>
  <c r="AU53" i="33"/>
  <c r="AQ54" i="33"/>
  <c r="AR54" i="33"/>
  <c r="AS54" i="33"/>
  <c r="AT54" i="33"/>
  <c r="AU54" i="33"/>
  <c r="AR3" i="33"/>
  <c r="AS3" i="33"/>
  <c r="AT3" i="33"/>
  <c r="AU3" i="33"/>
  <c r="AM3" i="33"/>
  <c r="AN3" i="33"/>
  <c r="AO3" i="33"/>
  <c r="AP3" i="33"/>
  <c r="AQ3" i="33"/>
  <c r="AL3" i="33"/>
  <c r="AH3" i="33"/>
  <c r="AI3" i="33"/>
  <c r="AJ3" i="33"/>
  <c r="AK3" i="33"/>
  <c r="AG3" i="33"/>
  <c r="AB3" i="33"/>
  <c r="AC3" i="33"/>
  <c r="AD3" i="33"/>
  <c r="AE3" i="33"/>
  <c r="AF3" i="33"/>
  <c r="AA3" i="33"/>
  <c r="W4" i="32"/>
  <c r="AG4" i="32"/>
  <c r="AH4" i="32"/>
  <c r="AI4" i="32"/>
  <c r="AJ4" i="32"/>
  <c r="AK4" i="32"/>
  <c r="AL4" i="32"/>
  <c r="AM4" i="32"/>
  <c r="AN4" i="32"/>
  <c r="AO4" i="32"/>
  <c r="AP4" i="32"/>
  <c r="AG5" i="32"/>
  <c r="AH5" i="32"/>
  <c r="AI5" i="32"/>
  <c r="AJ5" i="32"/>
  <c r="AK5" i="32"/>
  <c r="AL5" i="32"/>
  <c r="AM5" i="32"/>
  <c r="AN5" i="32"/>
  <c r="AO5" i="32"/>
  <c r="AP5" i="32"/>
  <c r="AG6" i="32"/>
  <c r="AH6" i="32"/>
  <c r="AI6" i="32"/>
  <c r="AJ6" i="32"/>
  <c r="AK6" i="32"/>
  <c r="AL6" i="32"/>
  <c r="AM6" i="32"/>
  <c r="AN6" i="32"/>
  <c r="AO6" i="32"/>
  <c r="AP6" i="32"/>
  <c r="AG7" i="32"/>
  <c r="AH7" i="32"/>
  <c r="AI7" i="32"/>
  <c r="AJ7" i="32"/>
  <c r="AK7" i="32"/>
  <c r="AL7" i="32"/>
  <c r="AM7" i="32"/>
  <c r="AN7" i="32"/>
  <c r="AO7" i="32"/>
  <c r="AP7" i="32"/>
  <c r="AG8" i="32"/>
  <c r="AH8" i="32"/>
  <c r="AI8" i="32"/>
  <c r="AJ8" i="32"/>
  <c r="AK8" i="32"/>
  <c r="AL8" i="32"/>
  <c r="AM8" i="32"/>
  <c r="AN8" i="32"/>
  <c r="AO8" i="32"/>
  <c r="AP8" i="32"/>
  <c r="AG9" i="32"/>
  <c r="AH9" i="32"/>
  <c r="AI9" i="32"/>
  <c r="AJ9" i="32"/>
  <c r="AK9" i="32"/>
  <c r="AL9" i="32"/>
  <c r="AM9" i="32"/>
  <c r="AN9" i="32"/>
  <c r="AO9" i="32"/>
  <c r="AP9" i="32"/>
  <c r="AG10" i="32"/>
  <c r="AH10" i="32"/>
  <c r="AI10" i="32"/>
  <c r="AJ10" i="32"/>
  <c r="AK10" i="32"/>
  <c r="AL10" i="32"/>
  <c r="AM10" i="32"/>
  <c r="AN10" i="32"/>
  <c r="AO10" i="32"/>
  <c r="AP10" i="32"/>
  <c r="AG11" i="32"/>
  <c r="AH11" i="32"/>
  <c r="AI11" i="32"/>
  <c r="AJ11" i="32"/>
  <c r="AK11" i="32"/>
  <c r="AL11" i="32"/>
  <c r="AM11" i="32"/>
  <c r="AN11" i="32"/>
  <c r="AO11" i="32"/>
  <c r="AP11" i="32"/>
  <c r="AG12" i="32"/>
  <c r="AH12" i="32"/>
  <c r="AI12" i="32"/>
  <c r="AJ12" i="32"/>
  <c r="AK12" i="32"/>
  <c r="AL12" i="32"/>
  <c r="AM12" i="32"/>
  <c r="AN12" i="32"/>
  <c r="AO12" i="32"/>
  <c r="AP12" i="32"/>
  <c r="AG13" i="32"/>
  <c r="AH13" i="32"/>
  <c r="AI13" i="32"/>
  <c r="AJ13" i="32"/>
  <c r="AK13" i="32"/>
  <c r="AL13" i="32"/>
  <c r="AM13" i="32"/>
  <c r="AN13" i="32"/>
  <c r="AO13" i="32"/>
  <c r="AP13" i="32"/>
  <c r="AG14" i="32"/>
  <c r="AH14" i="32"/>
  <c r="AI14" i="32"/>
  <c r="AJ14" i="32"/>
  <c r="AK14" i="32"/>
  <c r="AL14" i="32"/>
  <c r="AM14" i="32"/>
  <c r="AN14" i="32"/>
  <c r="AO14" i="32"/>
  <c r="AP14" i="32"/>
  <c r="AG15" i="32"/>
  <c r="AH15" i="32"/>
  <c r="AI15" i="32"/>
  <c r="AJ15" i="32"/>
  <c r="AK15" i="32"/>
  <c r="AL15" i="32"/>
  <c r="AM15" i="32"/>
  <c r="AN15" i="32"/>
  <c r="AO15" i="32"/>
  <c r="AP15" i="32"/>
  <c r="AG16" i="32"/>
  <c r="AH16" i="32"/>
  <c r="AI16" i="32"/>
  <c r="AJ16" i="32"/>
  <c r="AK16" i="32"/>
  <c r="AL16" i="32"/>
  <c r="AM16" i="32"/>
  <c r="AN16" i="32"/>
  <c r="AO16" i="32"/>
  <c r="AP16" i="32"/>
  <c r="AG17" i="32"/>
  <c r="AH17" i="32"/>
  <c r="AI17" i="32"/>
  <c r="AJ17" i="32"/>
  <c r="AK17" i="32"/>
  <c r="AL17" i="32"/>
  <c r="AM17" i="32"/>
  <c r="AN17" i="32"/>
  <c r="AO17" i="32"/>
  <c r="AP17" i="32"/>
  <c r="AG18" i="32"/>
  <c r="AH18" i="32"/>
  <c r="AI18" i="32"/>
  <c r="AJ18" i="32"/>
  <c r="AK18" i="32"/>
  <c r="AL18" i="32"/>
  <c r="AM18" i="32"/>
  <c r="AN18" i="32"/>
  <c r="AO18" i="32"/>
  <c r="AP18" i="32"/>
  <c r="AG19" i="32"/>
  <c r="AH19" i="32"/>
  <c r="AI19" i="32"/>
  <c r="AJ19" i="32"/>
  <c r="AK19" i="32"/>
  <c r="AL19" i="32"/>
  <c r="AM19" i="32"/>
  <c r="AN19" i="32"/>
  <c r="AO19" i="32"/>
  <c r="AP19" i="32"/>
  <c r="AG20" i="32"/>
  <c r="AH20" i="32"/>
  <c r="AI20" i="32"/>
  <c r="AJ20" i="32"/>
  <c r="AK20" i="32"/>
  <c r="AL20" i="32"/>
  <c r="AM20" i="32"/>
  <c r="AN20" i="32"/>
  <c r="AO20" i="32"/>
  <c r="AP20" i="32"/>
  <c r="AG21" i="32"/>
  <c r="AH21" i="32"/>
  <c r="AI21" i="32"/>
  <c r="AJ21" i="32"/>
  <c r="AK21" i="32"/>
  <c r="AL21" i="32"/>
  <c r="AM21" i="32"/>
  <c r="AN21" i="32"/>
  <c r="AO21" i="32"/>
  <c r="AP21" i="32"/>
  <c r="AG22" i="32"/>
  <c r="AH22" i="32"/>
  <c r="AI22" i="32"/>
  <c r="AJ22" i="32"/>
  <c r="AK22" i="32"/>
  <c r="AL22" i="32"/>
  <c r="AM22" i="32"/>
  <c r="AN22" i="32"/>
  <c r="AO22" i="32"/>
  <c r="AP22" i="32"/>
  <c r="AG23" i="32"/>
  <c r="AH23" i="32"/>
  <c r="AI23" i="32"/>
  <c r="AJ23" i="32"/>
  <c r="AK23" i="32"/>
  <c r="AL23" i="32"/>
  <c r="AM23" i="32"/>
  <c r="AN23" i="32"/>
  <c r="AO23" i="32"/>
  <c r="AP23" i="32"/>
  <c r="AG24" i="32"/>
  <c r="AH24" i="32"/>
  <c r="AI24" i="32"/>
  <c r="AJ24" i="32"/>
  <c r="AK24" i="32"/>
  <c r="AL24" i="32"/>
  <c r="AM24" i="32"/>
  <c r="AN24" i="32"/>
  <c r="AO24" i="32"/>
  <c r="AP24" i="32"/>
  <c r="AG25" i="32"/>
  <c r="AH25" i="32"/>
  <c r="AI25" i="32"/>
  <c r="AJ25" i="32"/>
  <c r="AK25" i="32"/>
  <c r="AL25" i="32"/>
  <c r="AM25" i="32"/>
  <c r="AN25" i="32"/>
  <c r="AO25" i="32"/>
  <c r="AP25" i="32"/>
  <c r="AG26" i="32"/>
  <c r="AH26" i="32"/>
  <c r="AI26" i="32"/>
  <c r="AJ26" i="32"/>
  <c r="AK26" i="32"/>
  <c r="AL26" i="32"/>
  <c r="AM26" i="32"/>
  <c r="AN26" i="32"/>
  <c r="AO26" i="32"/>
  <c r="AP26" i="32"/>
  <c r="AG27" i="32"/>
  <c r="AH27" i="32"/>
  <c r="AI27" i="32"/>
  <c r="AJ27" i="32"/>
  <c r="AK27" i="32"/>
  <c r="AL27" i="32"/>
  <c r="AM27" i="32"/>
  <c r="AN27" i="32"/>
  <c r="AO27" i="32"/>
  <c r="AP27" i="32"/>
  <c r="AG28" i="32"/>
  <c r="AH28" i="32"/>
  <c r="AI28" i="32"/>
  <c r="AJ28" i="32"/>
  <c r="AK28" i="32"/>
  <c r="AL28" i="32"/>
  <c r="AM28" i="32"/>
  <c r="AN28" i="32"/>
  <c r="AO28" i="32"/>
  <c r="AP28" i="32"/>
  <c r="AG29" i="32"/>
  <c r="AH29" i="32"/>
  <c r="AI29" i="32"/>
  <c r="AJ29" i="32"/>
  <c r="AK29" i="32"/>
  <c r="AL29" i="32"/>
  <c r="AM29" i="32"/>
  <c r="AN29" i="32"/>
  <c r="AO29" i="32"/>
  <c r="AP29" i="32"/>
  <c r="AG30" i="32"/>
  <c r="AH30" i="32"/>
  <c r="AI30" i="32"/>
  <c r="AJ30" i="32"/>
  <c r="AK30" i="32"/>
  <c r="AL30" i="32"/>
  <c r="AM30" i="32"/>
  <c r="AN30" i="32"/>
  <c r="AO30" i="32"/>
  <c r="AP30" i="32"/>
  <c r="AG31" i="32"/>
  <c r="AH31" i="32"/>
  <c r="AI31" i="32"/>
  <c r="AJ31" i="32"/>
  <c r="AK31" i="32"/>
  <c r="AL31" i="32"/>
  <c r="AM31" i="32"/>
  <c r="AN31" i="32"/>
  <c r="AO31" i="32"/>
  <c r="AP31" i="32"/>
  <c r="AG32" i="32"/>
  <c r="AH32" i="32"/>
  <c r="AI32" i="32"/>
  <c r="AJ32" i="32"/>
  <c r="AK32" i="32"/>
  <c r="AL32" i="32"/>
  <c r="AM32" i="32"/>
  <c r="AN32" i="32"/>
  <c r="AO32" i="32"/>
  <c r="AP32" i="32"/>
  <c r="AG33" i="32"/>
  <c r="AH33" i="32"/>
  <c r="AI33" i="32"/>
  <c r="AJ33" i="32"/>
  <c r="AK33" i="32"/>
  <c r="AL33" i="32"/>
  <c r="AM33" i="32"/>
  <c r="AN33" i="32"/>
  <c r="AO33" i="32"/>
  <c r="AP33" i="32"/>
  <c r="AG34" i="32"/>
  <c r="AH34" i="32"/>
  <c r="AI34" i="32"/>
  <c r="AJ34" i="32"/>
  <c r="AK34" i="32"/>
  <c r="AL34" i="32"/>
  <c r="AM34" i="32"/>
  <c r="AN34" i="32"/>
  <c r="AO34" i="32"/>
  <c r="AP34" i="32"/>
  <c r="AG35" i="32"/>
  <c r="AH35" i="32"/>
  <c r="AI35" i="32"/>
  <c r="AJ35" i="32"/>
  <c r="AK35" i="32"/>
  <c r="AL35" i="32"/>
  <c r="AM35" i="32"/>
  <c r="AN35" i="32"/>
  <c r="AO35" i="32"/>
  <c r="AP35" i="32"/>
  <c r="AG36" i="32"/>
  <c r="AH36" i="32"/>
  <c r="AI36" i="32"/>
  <c r="AJ36" i="32"/>
  <c r="AK36" i="32"/>
  <c r="AL36" i="32"/>
  <c r="AM36" i="32"/>
  <c r="AN36" i="32"/>
  <c r="AO36" i="32"/>
  <c r="AP36" i="32"/>
  <c r="AG37" i="32"/>
  <c r="AH37" i="32"/>
  <c r="AI37" i="32"/>
  <c r="AJ37" i="32"/>
  <c r="AK37" i="32"/>
  <c r="AL37" i="32"/>
  <c r="AM37" i="32"/>
  <c r="AN37" i="32"/>
  <c r="AO37" i="32"/>
  <c r="AP37" i="32"/>
  <c r="AG38" i="32"/>
  <c r="AH38" i="32"/>
  <c r="AI38" i="32"/>
  <c r="AJ38" i="32"/>
  <c r="AK38" i="32"/>
  <c r="AL38" i="32"/>
  <c r="AM38" i="32"/>
  <c r="AN38" i="32"/>
  <c r="AO38" i="32"/>
  <c r="AP38" i="32"/>
  <c r="AG39" i="32"/>
  <c r="AH39" i="32"/>
  <c r="AI39" i="32"/>
  <c r="AJ39" i="32"/>
  <c r="AK39" i="32"/>
  <c r="AL39" i="32"/>
  <c r="AM39" i="32"/>
  <c r="AN39" i="32"/>
  <c r="AO39" i="32"/>
  <c r="AP39" i="32"/>
  <c r="AG40" i="32"/>
  <c r="AH40" i="32"/>
  <c r="AI40" i="32"/>
  <c r="AJ40" i="32"/>
  <c r="AK40" i="32"/>
  <c r="AL40" i="32"/>
  <c r="AM40" i="32"/>
  <c r="AN40" i="32"/>
  <c r="AO40" i="32"/>
  <c r="AP40" i="32"/>
  <c r="AG41" i="32"/>
  <c r="AH41" i="32"/>
  <c r="AI41" i="32"/>
  <c r="AJ41" i="32"/>
  <c r="AK41" i="32"/>
  <c r="AL41" i="32"/>
  <c r="AM41" i="32"/>
  <c r="AN41" i="32"/>
  <c r="AO41" i="32"/>
  <c r="AP41" i="32"/>
  <c r="AG42" i="32"/>
  <c r="AH42" i="32"/>
  <c r="AI42" i="32"/>
  <c r="AJ42" i="32"/>
  <c r="AK42" i="32"/>
  <c r="AL42" i="32"/>
  <c r="AM42" i="32"/>
  <c r="AN42" i="32"/>
  <c r="AO42" i="32"/>
  <c r="AP42" i="32"/>
  <c r="AG43" i="32"/>
  <c r="AH43" i="32"/>
  <c r="AI43" i="32"/>
  <c r="AJ43" i="32"/>
  <c r="AK43" i="32"/>
  <c r="AL43" i="32"/>
  <c r="AM43" i="32"/>
  <c r="AN43" i="32"/>
  <c r="AO43" i="32"/>
  <c r="AP43" i="32"/>
  <c r="AG44" i="32"/>
  <c r="AH44" i="32"/>
  <c r="AI44" i="32"/>
  <c r="AJ44" i="32"/>
  <c r="AK44" i="32"/>
  <c r="AL44" i="32"/>
  <c r="AM44" i="32"/>
  <c r="AN44" i="32"/>
  <c r="AO44" i="32"/>
  <c r="AP44" i="32"/>
  <c r="AG45" i="32"/>
  <c r="AH45" i="32"/>
  <c r="AI45" i="32"/>
  <c r="AJ45" i="32"/>
  <c r="AK45" i="32"/>
  <c r="AL45" i="32"/>
  <c r="AM45" i="32"/>
  <c r="AN45" i="32"/>
  <c r="AO45" i="32"/>
  <c r="AP45" i="32"/>
  <c r="AG46" i="32"/>
  <c r="AH46" i="32"/>
  <c r="AI46" i="32"/>
  <c r="AJ46" i="32"/>
  <c r="AK46" i="32"/>
  <c r="AL46" i="32"/>
  <c r="AM46" i="32"/>
  <c r="AN46" i="32"/>
  <c r="AO46" i="32"/>
  <c r="AP46" i="32"/>
  <c r="AG47" i="32"/>
  <c r="AH47" i="32"/>
  <c r="AI47" i="32"/>
  <c r="AJ47" i="32"/>
  <c r="AK47" i="32"/>
  <c r="AL47" i="32"/>
  <c r="AM47" i="32"/>
  <c r="AN47" i="32"/>
  <c r="AO47" i="32"/>
  <c r="AP47" i="32"/>
  <c r="AG48" i="32"/>
  <c r="AH48" i="32"/>
  <c r="AI48" i="32"/>
  <c r="AJ48" i="32"/>
  <c r="AK48" i="32"/>
  <c r="AL48" i="32"/>
  <c r="AM48" i="32"/>
  <c r="AN48" i="32"/>
  <c r="AO48" i="32"/>
  <c r="AP48" i="32"/>
  <c r="AG49" i="32"/>
  <c r="AH49" i="32"/>
  <c r="AI49" i="32"/>
  <c r="AJ49" i="32"/>
  <c r="AK49" i="32"/>
  <c r="AL49" i="32"/>
  <c r="AM49" i="32"/>
  <c r="AN49" i="32"/>
  <c r="AO49" i="32"/>
  <c r="AP49" i="32"/>
  <c r="AG50" i="32"/>
  <c r="AH50" i="32"/>
  <c r="AI50" i="32"/>
  <c r="AJ50" i="32"/>
  <c r="AK50" i="32"/>
  <c r="AL50" i="32"/>
  <c r="AM50" i="32"/>
  <c r="AN50" i="32"/>
  <c r="AO50" i="32"/>
  <c r="AP50" i="32"/>
  <c r="AG51" i="32"/>
  <c r="AH51" i="32"/>
  <c r="AI51" i="32"/>
  <c r="AJ51" i="32"/>
  <c r="AK51" i="32"/>
  <c r="AL51" i="32"/>
  <c r="AM51" i="32"/>
  <c r="AN51" i="32"/>
  <c r="AO51" i="32"/>
  <c r="AP51" i="32"/>
  <c r="AG52" i="32"/>
  <c r="AH52" i="32"/>
  <c r="AI52" i="32"/>
  <c r="AJ52" i="32"/>
  <c r="AK52" i="32"/>
  <c r="AL52" i="32"/>
  <c r="AM52" i="32"/>
  <c r="AN52" i="32"/>
  <c r="AO52" i="32"/>
  <c r="AP52" i="32"/>
  <c r="AG53" i="32"/>
  <c r="AH53" i="32"/>
  <c r="AI53" i="32"/>
  <c r="AJ53" i="32"/>
  <c r="AK53" i="32"/>
  <c r="AL53" i="32"/>
  <c r="AM53" i="32"/>
  <c r="AN53" i="32"/>
  <c r="AO53" i="32"/>
  <c r="AP53" i="32"/>
  <c r="AG54" i="32"/>
  <c r="AH54" i="32"/>
  <c r="AI54" i="32"/>
  <c r="AJ54" i="32"/>
  <c r="AK54" i="32"/>
  <c r="AL54" i="32"/>
  <c r="AM54" i="32"/>
  <c r="AN54" i="32"/>
  <c r="AO54" i="32"/>
  <c r="AP54" i="32"/>
  <c r="AQ6" i="32"/>
  <c r="AR6" i="32"/>
  <c r="AS6" i="32"/>
  <c r="AT6" i="32"/>
  <c r="AU6" i="32"/>
  <c r="AQ7" i="32"/>
  <c r="AR7" i="32"/>
  <c r="AS7" i="32"/>
  <c r="AT7" i="32"/>
  <c r="AU7" i="32"/>
  <c r="AQ8" i="32"/>
  <c r="AR8" i="32"/>
  <c r="AS8" i="32"/>
  <c r="AT8" i="32"/>
  <c r="AU8" i="32"/>
  <c r="AQ9" i="32"/>
  <c r="AR9" i="32"/>
  <c r="AS9" i="32"/>
  <c r="AT9" i="32"/>
  <c r="AU9" i="32"/>
  <c r="AQ10" i="32"/>
  <c r="AR10" i="32"/>
  <c r="AS10" i="32"/>
  <c r="AT10" i="32"/>
  <c r="AU10" i="32"/>
  <c r="AQ11" i="32"/>
  <c r="AR11" i="32"/>
  <c r="AS11" i="32"/>
  <c r="AT11" i="32"/>
  <c r="AU11" i="32"/>
  <c r="AQ12" i="32"/>
  <c r="AR12" i="32"/>
  <c r="AS12" i="32"/>
  <c r="AT12" i="32"/>
  <c r="AU12" i="32"/>
  <c r="AQ13" i="32"/>
  <c r="AR13" i="32"/>
  <c r="AS13" i="32"/>
  <c r="AT13" i="32"/>
  <c r="AU13" i="32"/>
  <c r="AQ14" i="32"/>
  <c r="AR14" i="32"/>
  <c r="AS14" i="32"/>
  <c r="AT14" i="32"/>
  <c r="AU14" i="32"/>
  <c r="AQ15" i="32"/>
  <c r="AR15" i="32"/>
  <c r="AS15" i="32"/>
  <c r="AT15" i="32"/>
  <c r="AU15" i="32"/>
  <c r="AQ16" i="32"/>
  <c r="AR16" i="32"/>
  <c r="AS16" i="32"/>
  <c r="AT16" i="32"/>
  <c r="AU16" i="32"/>
  <c r="AQ17" i="32"/>
  <c r="AR17" i="32"/>
  <c r="AS17" i="32"/>
  <c r="AT17" i="32"/>
  <c r="AU17" i="32"/>
  <c r="AQ18" i="32"/>
  <c r="AR18" i="32"/>
  <c r="AS18" i="32"/>
  <c r="AT18" i="32"/>
  <c r="AU18" i="32"/>
  <c r="AQ19" i="32"/>
  <c r="AR19" i="32"/>
  <c r="AS19" i="32"/>
  <c r="AT19" i="32"/>
  <c r="AU19" i="32"/>
  <c r="AQ20" i="32"/>
  <c r="AR20" i="32"/>
  <c r="AS20" i="32"/>
  <c r="AT20" i="32"/>
  <c r="AU20" i="32"/>
  <c r="AQ21" i="32"/>
  <c r="AR21" i="32"/>
  <c r="AS21" i="32"/>
  <c r="AT21" i="32"/>
  <c r="AU21" i="32"/>
  <c r="AQ22" i="32"/>
  <c r="AR22" i="32"/>
  <c r="AS22" i="32"/>
  <c r="AT22" i="32"/>
  <c r="AU22" i="32"/>
  <c r="AQ23" i="32"/>
  <c r="AR23" i="32"/>
  <c r="AS23" i="32"/>
  <c r="AT23" i="32"/>
  <c r="AU23" i="32"/>
  <c r="AQ24" i="32"/>
  <c r="AR24" i="32"/>
  <c r="AS24" i="32"/>
  <c r="AT24" i="32"/>
  <c r="AU24" i="32"/>
  <c r="AQ25" i="32"/>
  <c r="AR25" i="32"/>
  <c r="AS25" i="32"/>
  <c r="AT25" i="32"/>
  <c r="AU25" i="32"/>
  <c r="AQ26" i="32"/>
  <c r="AR26" i="32"/>
  <c r="AS26" i="32"/>
  <c r="AT26" i="32"/>
  <c r="AU26" i="32"/>
  <c r="AQ27" i="32"/>
  <c r="AR27" i="32"/>
  <c r="AS27" i="32"/>
  <c r="AT27" i="32"/>
  <c r="AU27" i="32"/>
  <c r="AQ28" i="32"/>
  <c r="AR28" i="32"/>
  <c r="AS28" i="32"/>
  <c r="AT28" i="32"/>
  <c r="AU28" i="32"/>
  <c r="AQ29" i="32"/>
  <c r="AR29" i="32"/>
  <c r="AS29" i="32"/>
  <c r="AT29" i="32"/>
  <c r="AU29" i="32"/>
  <c r="AQ30" i="32"/>
  <c r="AR30" i="32"/>
  <c r="AS30" i="32"/>
  <c r="AT30" i="32"/>
  <c r="AU30" i="32"/>
  <c r="AQ31" i="32"/>
  <c r="AR31" i="32"/>
  <c r="AS31" i="32"/>
  <c r="AT31" i="32"/>
  <c r="AU31" i="32"/>
  <c r="AQ32" i="32"/>
  <c r="AR32" i="32"/>
  <c r="AS32" i="32"/>
  <c r="AT32" i="32"/>
  <c r="AU32" i="32"/>
  <c r="AQ33" i="32"/>
  <c r="AR33" i="32"/>
  <c r="AS33" i="32"/>
  <c r="AT33" i="32"/>
  <c r="AU33" i="32"/>
  <c r="AQ34" i="32"/>
  <c r="AR34" i="32"/>
  <c r="AS34" i="32"/>
  <c r="AT34" i="32"/>
  <c r="AU34" i="32"/>
  <c r="AQ35" i="32"/>
  <c r="AR35" i="32"/>
  <c r="AS35" i="32"/>
  <c r="AT35" i="32"/>
  <c r="AU35" i="32"/>
  <c r="AQ36" i="32"/>
  <c r="AR36" i="32"/>
  <c r="AS36" i="32"/>
  <c r="AT36" i="32"/>
  <c r="AU36" i="32"/>
  <c r="AQ37" i="32"/>
  <c r="AR37" i="32"/>
  <c r="AS37" i="32"/>
  <c r="AT37" i="32"/>
  <c r="AU37" i="32"/>
  <c r="AQ38" i="32"/>
  <c r="AR38" i="32"/>
  <c r="AS38" i="32"/>
  <c r="AT38" i="32"/>
  <c r="AU38" i="32"/>
  <c r="AQ39" i="32"/>
  <c r="AR39" i="32"/>
  <c r="AS39" i="32"/>
  <c r="AT39" i="32"/>
  <c r="AU39" i="32"/>
  <c r="AQ40" i="32"/>
  <c r="AR40" i="32"/>
  <c r="AS40" i="32"/>
  <c r="AT40" i="32"/>
  <c r="AU40" i="32"/>
  <c r="AQ41" i="32"/>
  <c r="AR41" i="32"/>
  <c r="AS41" i="32"/>
  <c r="AT41" i="32"/>
  <c r="AU41" i="32"/>
  <c r="AQ42" i="32"/>
  <c r="AR42" i="32"/>
  <c r="AS42" i="32"/>
  <c r="AT42" i="32"/>
  <c r="AU42" i="32"/>
  <c r="AQ43" i="32"/>
  <c r="AR43" i="32"/>
  <c r="AS43" i="32"/>
  <c r="AT43" i="32"/>
  <c r="AU43" i="32"/>
  <c r="AQ44" i="32"/>
  <c r="AR44" i="32"/>
  <c r="AS44" i="32"/>
  <c r="AT44" i="32"/>
  <c r="AU44" i="32"/>
  <c r="AQ45" i="32"/>
  <c r="AR45" i="32"/>
  <c r="AS45" i="32"/>
  <c r="AT45" i="32"/>
  <c r="AU45" i="32"/>
  <c r="AQ46" i="32"/>
  <c r="AR46" i="32"/>
  <c r="AS46" i="32"/>
  <c r="AT46" i="32"/>
  <c r="AU46" i="32"/>
  <c r="AQ47" i="32"/>
  <c r="AR47" i="32"/>
  <c r="AS47" i="32"/>
  <c r="AT47" i="32"/>
  <c r="AU47" i="32"/>
  <c r="AQ48" i="32"/>
  <c r="AR48" i="32"/>
  <c r="AS48" i="32"/>
  <c r="AT48" i="32"/>
  <c r="AU48" i="32"/>
  <c r="AQ49" i="32"/>
  <c r="AR49" i="32"/>
  <c r="AS49" i="32"/>
  <c r="AT49" i="32"/>
  <c r="AU49" i="32"/>
  <c r="AQ50" i="32"/>
  <c r="AR50" i="32"/>
  <c r="AS50" i="32"/>
  <c r="AT50" i="32"/>
  <c r="AU50" i="32"/>
  <c r="AQ51" i="32"/>
  <c r="AR51" i="32"/>
  <c r="AS51" i="32"/>
  <c r="AT51" i="32"/>
  <c r="AU51" i="32"/>
  <c r="AQ52" i="32"/>
  <c r="AR52" i="32"/>
  <c r="AS52" i="32"/>
  <c r="AT52" i="32"/>
  <c r="AU52" i="32"/>
  <c r="AQ53" i="32"/>
  <c r="AR53" i="32"/>
  <c r="AS53" i="32"/>
  <c r="AT53" i="32"/>
  <c r="AU53" i="32"/>
  <c r="AQ54" i="32"/>
  <c r="AR54" i="32"/>
  <c r="AS54" i="32"/>
  <c r="AT54" i="32"/>
  <c r="AU54" i="32"/>
  <c r="AQ4" i="32"/>
  <c r="AR4" i="32"/>
  <c r="AS4" i="32"/>
  <c r="AT4" i="32"/>
  <c r="AU4" i="32"/>
  <c r="AQ5" i="32"/>
  <c r="AR5" i="32"/>
  <c r="AS5" i="32"/>
  <c r="AT5" i="32"/>
  <c r="AU5" i="32"/>
  <c r="AR3" i="32"/>
  <c r="AS3" i="32"/>
  <c r="AT3" i="32"/>
  <c r="AU3" i="32"/>
  <c r="AM3" i="32"/>
  <c r="AN3" i="32"/>
  <c r="AO3" i="32"/>
  <c r="AP3" i="32"/>
  <c r="AH3" i="32"/>
  <c r="AI3" i="32"/>
  <c r="AJ3" i="32"/>
  <c r="AK3" i="32"/>
  <c r="AQ3" i="32"/>
  <c r="AL3" i="32"/>
  <c r="AG3" i="32"/>
  <c r="AA4" i="32"/>
  <c r="AB4" i="32"/>
  <c r="AC4" i="32"/>
  <c r="AD4" i="32"/>
  <c r="AE4" i="32"/>
  <c r="AF4" i="32"/>
  <c r="AA5" i="32"/>
  <c r="AB5" i="32"/>
  <c r="AC5" i="32"/>
  <c r="AD5" i="32"/>
  <c r="AE5" i="32"/>
  <c r="AF5" i="32"/>
  <c r="AA6" i="32"/>
  <c r="AB6" i="32"/>
  <c r="AC6" i="32"/>
  <c r="AD6" i="32"/>
  <c r="AE6" i="32"/>
  <c r="AF6" i="32"/>
  <c r="AA7" i="32"/>
  <c r="AB7" i="32"/>
  <c r="AC7" i="32"/>
  <c r="AD7" i="32"/>
  <c r="AE7" i="32"/>
  <c r="AF7" i="32"/>
  <c r="AA8" i="32"/>
  <c r="AB8" i="32"/>
  <c r="AC8" i="32"/>
  <c r="AD8" i="32"/>
  <c r="AE8" i="32"/>
  <c r="AF8" i="32"/>
  <c r="AA9" i="32"/>
  <c r="AB9" i="32"/>
  <c r="AC9" i="32"/>
  <c r="AD9" i="32"/>
  <c r="AE9" i="32"/>
  <c r="AF9" i="32"/>
  <c r="AA10" i="32"/>
  <c r="AB10" i="32"/>
  <c r="AC10" i="32"/>
  <c r="AD10" i="32"/>
  <c r="AE10" i="32"/>
  <c r="AF10" i="32"/>
  <c r="AA11" i="32"/>
  <c r="AB11" i="32"/>
  <c r="AC11" i="32"/>
  <c r="AD11" i="32"/>
  <c r="AE11" i="32"/>
  <c r="AF11" i="32"/>
  <c r="AA12" i="32"/>
  <c r="AB12" i="32"/>
  <c r="AC12" i="32"/>
  <c r="AD12" i="32"/>
  <c r="AE12" i="32"/>
  <c r="AF12" i="32"/>
  <c r="AA13" i="32"/>
  <c r="AB13" i="32"/>
  <c r="AC13" i="32"/>
  <c r="AD13" i="32"/>
  <c r="AE13" i="32"/>
  <c r="AF13" i="32"/>
  <c r="AA14" i="32"/>
  <c r="AB14" i="32"/>
  <c r="AC14" i="32"/>
  <c r="AD14" i="32"/>
  <c r="AE14" i="32"/>
  <c r="AF14" i="32"/>
  <c r="AA15" i="32"/>
  <c r="AB15" i="32"/>
  <c r="AC15" i="32"/>
  <c r="AD15" i="32"/>
  <c r="AE15" i="32"/>
  <c r="AF15" i="32"/>
  <c r="AA16" i="32"/>
  <c r="AB16" i="32"/>
  <c r="AC16" i="32"/>
  <c r="AD16" i="32"/>
  <c r="AE16" i="32"/>
  <c r="AF16" i="32"/>
  <c r="AA17" i="32"/>
  <c r="AB17" i="32"/>
  <c r="AC17" i="32"/>
  <c r="AD17" i="32"/>
  <c r="AE17" i="32"/>
  <c r="AF17" i="32"/>
  <c r="AA18" i="32"/>
  <c r="AB18" i="32"/>
  <c r="AC18" i="32"/>
  <c r="AD18" i="32"/>
  <c r="AE18" i="32"/>
  <c r="AF18" i="32"/>
  <c r="AA19" i="32"/>
  <c r="AB19" i="32"/>
  <c r="AC19" i="32"/>
  <c r="AD19" i="32"/>
  <c r="AE19" i="32"/>
  <c r="AF19" i="32"/>
  <c r="AA20" i="32"/>
  <c r="AB20" i="32"/>
  <c r="AC20" i="32"/>
  <c r="AD20" i="32"/>
  <c r="AE20" i="32"/>
  <c r="AF20" i="32"/>
  <c r="AA21" i="32"/>
  <c r="AB21" i="32"/>
  <c r="AC21" i="32"/>
  <c r="AD21" i="32"/>
  <c r="AE21" i="32"/>
  <c r="AF21" i="32"/>
  <c r="AA22" i="32"/>
  <c r="AB22" i="32"/>
  <c r="AC22" i="32"/>
  <c r="AD22" i="32"/>
  <c r="AE22" i="32"/>
  <c r="AF22" i="32"/>
  <c r="AA23" i="32"/>
  <c r="AB23" i="32"/>
  <c r="AC23" i="32"/>
  <c r="AD23" i="32"/>
  <c r="AE23" i="32"/>
  <c r="AF23" i="32"/>
  <c r="AA24" i="32"/>
  <c r="AB24" i="32"/>
  <c r="AC24" i="32"/>
  <c r="AD24" i="32"/>
  <c r="AE24" i="32"/>
  <c r="AF24" i="32"/>
  <c r="AA25" i="32"/>
  <c r="AB25" i="32"/>
  <c r="AC25" i="32"/>
  <c r="AD25" i="32"/>
  <c r="AE25" i="32"/>
  <c r="AF25" i="32"/>
  <c r="AA26" i="32"/>
  <c r="AB26" i="32"/>
  <c r="AC26" i="32"/>
  <c r="AD26" i="32"/>
  <c r="AE26" i="32"/>
  <c r="AF26" i="32"/>
  <c r="AA27" i="32"/>
  <c r="AB27" i="32"/>
  <c r="AC27" i="32"/>
  <c r="AD27" i="32"/>
  <c r="AE27" i="32"/>
  <c r="AF27" i="32"/>
  <c r="AA28" i="32"/>
  <c r="AB28" i="32"/>
  <c r="AC28" i="32"/>
  <c r="AD28" i="32"/>
  <c r="AE28" i="32"/>
  <c r="AF28" i="32"/>
  <c r="AA29" i="32"/>
  <c r="AB29" i="32"/>
  <c r="AC29" i="32"/>
  <c r="AD29" i="32"/>
  <c r="AE29" i="32"/>
  <c r="AF29" i="32"/>
  <c r="AA30" i="32"/>
  <c r="AB30" i="32"/>
  <c r="AC30" i="32"/>
  <c r="AD30" i="32"/>
  <c r="AE30" i="32"/>
  <c r="AF30" i="32"/>
  <c r="AA31" i="32"/>
  <c r="AB31" i="32"/>
  <c r="AC31" i="32"/>
  <c r="AD31" i="32"/>
  <c r="AE31" i="32"/>
  <c r="AF31" i="32"/>
  <c r="AA32" i="32"/>
  <c r="AB32" i="32"/>
  <c r="AC32" i="32"/>
  <c r="AD32" i="32"/>
  <c r="AE32" i="32"/>
  <c r="AF32" i="32"/>
  <c r="AA33" i="32"/>
  <c r="AB33" i="32"/>
  <c r="AC33" i="32"/>
  <c r="AD33" i="32"/>
  <c r="AE33" i="32"/>
  <c r="AF33" i="32"/>
  <c r="AA34" i="32"/>
  <c r="AB34" i="32"/>
  <c r="AC34" i="32"/>
  <c r="AD34" i="32"/>
  <c r="AE34" i="32"/>
  <c r="AF34" i="32"/>
  <c r="AA35" i="32"/>
  <c r="AB35" i="32"/>
  <c r="AC35" i="32"/>
  <c r="AD35" i="32"/>
  <c r="AE35" i="32"/>
  <c r="AF35" i="32"/>
  <c r="AA36" i="32"/>
  <c r="AB36" i="32"/>
  <c r="AC36" i="32"/>
  <c r="AD36" i="32"/>
  <c r="AE36" i="32"/>
  <c r="AF36" i="32"/>
  <c r="AA37" i="32"/>
  <c r="AB37" i="32"/>
  <c r="AC37" i="32"/>
  <c r="AD37" i="32"/>
  <c r="AE37" i="32"/>
  <c r="AF37" i="32"/>
  <c r="AA38" i="32"/>
  <c r="AB38" i="32"/>
  <c r="AC38" i="32"/>
  <c r="AD38" i="32"/>
  <c r="AE38" i="32"/>
  <c r="AF38" i="32"/>
  <c r="AA39" i="32"/>
  <c r="AB39" i="32"/>
  <c r="AC39" i="32"/>
  <c r="AD39" i="32"/>
  <c r="AE39" i="32"/>
  <c r="AF39" i="32"/>
  <c r="AA40" i="32"/>
  <c r="AB40" i="32"/>
  <c r="AC40" i="32"/>
  <c r="AD40" i="32"/>
  <c r="AE40" i="32"/>
  <c r="AF40" i="32"/>
  <c r="AA41" i="32"/>
  <c r="AB41" i="32"/>
  <c r="AC41" i="32"/>
  <c r="AD41" i="32"/>
  <c r="AE41" i="32"/>
  <c r="AF41" i="32"/>
  <c r="AA42" i="32"/>
  <c r="AB42" i="32"/>
  <c r="AC42" i="32"/>
  <c r="AD42" i="32"/>
  <c r="AE42" i="32"/>
  <c r="AF42" i="32"/>
  <c r="AA43" i="32"/>
  <c r="AB43" i="32"/>
  <c r="AC43" i="32"/>
  <c r="AD43" i="32"/>
  <c r="AE43" i="32"/>
  <c r="AF43" i="32"/>
  <c r="AA44" i="32"/>
  <c r="AB44" i="32"/>
  <c r="AC44" i="32"/>
  <c r="AD44" i="32"/>
  <c r="AE44" i="32"/>
  <c r="AF44" i="32"/>
  <c r="AA45" i="32"/>
  <c r="AB45" i="32"/>
  <c r="AC45" i="32"/>
  <c r="AD45" i="32"/>
  <c r="AE45" i="32"/>
  <c r="AF45" i="32"/>
  <c r="AA46" i="32"/>
  <c r="AB46" i="32"/>
  <c r="AC46" i="32"/>
  <c r="AD46" i="32"/>
  <c r="AE46" i="32"/>
  <c r="AF46" i="32"/>
  <c r="AA47" i="32"/>
  <c r="AB47" i="32"/>
  <c r="AC47" i="32"/>
  <c r="AD47" i="32"/>
  <c r="AE47" i="32"/>
  <c r="AF47" i="32"/>
  <c r="AA48" i="32"/>
  <c r="AB48" i="32"/>
  <c r="AC48" i="32"/>
  <c r="AD48" i="32"/>
  <c r="AE48" i="32"/>
  <c r="AF48" i="32"/>
  <c r="AA49" i="32"/>
  <c r="AB49" i="32"/>
  <c r="AC49" i="32"/>
  <c r="AD49" i="32"/>
  <c r="AE49" i="32"/>
  <c r="AF49" i="32"/>
  <c r="AA50" i="32"/>
  <c r="AB50" i="32"/>
  <c r="AC50" i="32"/>
  <c r="AD50" i="32"/>
  <c r="AE50" i="32"/>
  <c r="AF50" i="32"/>
  <c r="AA51" i="32"/>
  <c r="AB51" i="32"/>
  <c r="AC51" i="32"/>
  <c r="AD51" i="32"/>
  <c r="AE51" i="32"/>
  <c r="AF51" i="32"/>
  <c r="AA52" i="32"/>
  <c r="AB52" i="32"/>
  <c r="AC52" i="32"/>
  <c r="AD52" i="32"/>
  <c r="AE52" i="32"/>
  <c r="AF52" i="32"/>
  <c r="AA53" i="32"/>
  <c r="AB53" i="32"/>
  <c r="AC53" i="32"/>
  <c r="AD53" i="32"/>
  <c r="AE53" i="32"/>
  <c r="AF53" i="32"/>
  <c r="AA54" i="32"/>
  <c r="AB54" i="32"/>
  <c r="AC54" i="32"/>
  <c r="AD54" i="32"/>
  <c r="AE54" i="32"/>
  <c r="AF54" i="32"/>
  <c r="AB3" i="32"/>
  <c r="AC3" i="32"/>
  <c r="AD3" i="32"/>
  <c r="AE3" i="32"/>
  <c r="AF3" i="32"/>
  <c r="AA3" i="32"/>
  <c r="W4" i="30"/>
  <c r="W3" i="30"/>
  <c r="V4" i="30"/>
  <c r="V3" i="30"/>
  <c r="U4" i="30"/>
  <c r="U3" i="30"/>
  <c r="T4" i="30"/>
  <c r="T3" i="30"/>
  <c r="Q4" i="30"/>
  <c r="Q3" i="30"/>
  <c r="AA53" i="27"/>
  <c r="Z53" i="27"/>
  <c r="Y53" i="27"/>
  <c r="X53" i="27"/>
  <c r="W53" i="27"/>
  <c r="V53" i="27"/>
  <c r="AC53" i="27" s="1"/>
  <c r="AB55" i="27"/>
  <c r="P4" i="30"/>
  <c r="O4" i="30"/>
  <c r="O3" i="30"/>
  <c r="N4" i="30"/>
  <c r="N3" i="30"/>
  <c r="V4" i="29"/>
  <c r="W4" i="29"/>
  <c r="X4" i="29"/>
  <c r="Y4" i="29"/>
  <c r="Z4" i="29"/>
  <c r="V5" i="29"/>
  <c r="W5" i="29"/>
  <c r="X5" i="29"/>
  <c r="Y5" i="29"/>
  <c r="Z5" i="29"/>
  <c r="V6" i="29"/>
  <c r="W6" i="29"/>
  <c r="W55" i="29" s="1"/>
  <c r="X6" i="29"/>
  <c r="Y6" i="29"/>
  <c r="Z6" i="29"/>
  <c r="V7" i="29"/>
  <c r="W7" i="29"/>
  <c r="X7" i="29"/>
  <c r="Y7" i="29"/>
  <c r="Z7" i="29"/>
  <c r="V8" i="29"/>
  <c r="W8" i="29"/>
  <c r="X8" i="29"/>
  <c r="Y8" i="29"/>
  <c r="Y55" i="29" s="1"/>
  <c r="Z8" i="29"/>
  <c r="V9" i="29"/>
  <c r="W9" i="29"/>
  <c r="X9" i="29"/>
  <c r="Y9" i="29"/>
  <c r="Z9" i="29"/>
  <c r="V10" i="29"/>
  <c r="W10" i="29"/>
  <c r="X10" i="29"/>
  <c r="Y10" i="29"/>
  <c r="Z10" i="29"/>
  <c r="V11" i="29"/>
  <c r="AA11" i="29" s="1"/>
  <c r="W11" i="29"/>
  <c r="X11" i="29"/>
  <c r="Y11" i="29"/>
  <c r="Z11" i="29"/>
  <c r="V12" i="29"/>
  <c r="W12" i="29"/>
  <c r="X12" i="29"/>
  <c r="Y12" i="29"/>
  <c r="Z12" i="29"/>
  <c r="V13" i="29"/>
  <c r="W13" i="29"/>
  <c r="X13" i="29"/>
  <c r="X55" i="29" s="1"/>
  <c r="Y13" i="29"/>
  <c r="Z13" i="29"/>
  <c r="V14" i="29"/>
  <c r="W14" i="29"/>
  <c r="X14" i="29"/>
  <c r="Y14" i="29"/>
  <c r="Z14" i="29"/>
  <c r="V15" i="29"/>
  <c r="W15" i="29"/>
  <c r="X15" i="29"/>
  <c r="Y15" i="29"/>
  <c r="Z15" i="29"/>
  <c r="Z53" i="29" s="1"/>
  <c r="V16" i="29"/>
  <c r="W16" i="29"/>
  <c r="X16" i="29"/>
  <c r="Y16" i="29"/>
  <c r="Z16" i="29"/>
  <c r="V17" i="29"/>
  <c r="W17" i="29"/>
  <c r="X17" i="29"/>
  <c r="Y17" i="29"/>
  <c r="Z17" i="29"/>
  <c r="V18" i="29"/>
  <c r="W18" i="29"/>
  <c r="AB18" i="29" s="1"/>
  <c r="X18" i="29"/>
  <c r="Y18" i="29"/>
  <c r="Z18" i="29"/>
  <c r="V19" i="29"/>
  <c r="W19" i="29"/>
  <c r="X19" i="29"/>
  <c r="Y19" i="29"/>
  <c r="Z19" i="29"/>
  <c r="V20" i="29"/>
  <c r="W20" i="29"/>
  <c r="X20" i="29"/>
  <c r="Y20" i="29"/>
  <c r="AB20" i="29" s="1"/>
  <c r="Z20" i="29"/>
  <c r="V21" i="29"/>
  <c r="W21" i="29"/>
  <c r="X21" i="29"/>
  <c r="Y21" i="29"/>
  <c r="Z21" i="29"/>
  <c r="V22" i="29"/>
  <c r="W22" i="29"/>
  <c r="X22" i="29"/>
  <c r="Y22" i="29"/>
  <c r="Z22" i="29"/>
  <c r="V23" i="29"/>
  <c r="AB23" i="29" s="1"/>
  <c r="W23" i="29"/>
  <c r="X23" i="29"/>
  <c r="Y23" i="29"/>
  <c r="Z23" i="29"/>
  <c r="V24" i="29"/>
  <c r="W24" i="29"/>
  <c r="X24" i="29"/>
  <c r="Y24" i="29"/>
  <c r="Z24" i="29"/>
  <c r="V25" i="29"/>
  <c r="W25" i="29"/>
  <c r="X25" i="29"/>
  <c r="AC25" i="29" s="1"/>
  <c r="Y25" i="29"/>
  <c r="Z25" i="29"/>
  <c r="V26" i="29"/>
  <c r="W26" i="29"/>
  <c r="X26" i="29"/>
  <c r="Y26" i="29"/>
  <c r="Z26" i="29"/>
  <c r="V27" i="29"/>
  <c r="W27" i="29"/>
  <c r="X27" i="29"/>
  <c r="Y27" i="29"/>
  <c r="Z27" i="29"/>
  <c r="AB27" i="29" s="1"/>
  <c r="V28" i="29"/>
  <c r="W28" i="29"/>
  <c r="X28" i="29"/>
  <c r="Y28" i="29"/>
  <c r="Z28" i="29"/>
  <c r="V29" i="29"/>
  <c r="W29" i="29"/>
  <c r="X29" i="29"/>
  <c r="Y29" i="29"/>
  <c r="Z29" i="29"/>
  <c r="V30" i="29"/>
  <c r="W30" i="29"/>
  <c r="AB30" i="29" s="1"/>
  <c r="X30" i="29"/>
  <c r="Y30" i="29"/>
  <c r="Z30" i="29"/>
  <c r="V31" i="29"/>
  <c r="W31" i="29"/>
  <c r="X31" i="29"/>
  <c r="Y31" i="29"/>
  <c r="Z31" i="29"/>
  <c r="V32" i="29"/>
  <c r="W32" i="29"/>
  <c r="X32" i="29"/>
  <c r="Y32" i="29"/>
  <c r="AA32" i="29" s="1"/>
  <c r="Z32" i="29"/>
  <c r="V33" i="29"/>
  <c r="W33" i="29"/>
  <c r="X33" i="29"/>
  <c r="Y33" i="29"/>
  <c r="Z33" i="29"/>
  <c r="V34" i="29"/>
  <c r="W34" i="29"/>
  <c r="X34" i="29"/>
  <c r="Y34" i="29"/>
  <c r="Z34" i="29"/>
  <c r="V35" i="29"/>
  <c r="AA35" i="29" s="1"/>
  <c r="W35" i="29"/>
  <c r="X35" i="29"/>
  <c r="Y35" i="29"/>
  <c r="Z35" i="29"/>
  <c r="V36" i="29"/>
  <c r="W36" i="29"/>
  <c r="X36" i="29"/>
  <c r="Y36" i="29"/>
  <c r="Z36" i="29"/>
  <c r="V37" i="29"/>
  <c r="W37" i="29"/>
  <c r="X37" i="29"/>
  <c r="AC37" i="29" s="1"/>
  <c r="Y37" i="29"/>
  <c r="Z37" i="29"/>
  <c r="V38" i="29"/>
  <c r="W38" i="29"/>
  <c r="AA38" i="29" s="1"/>
  <c r="X38" i="29"/>
  <c r="Y38" i="29"/>
  <c r="Z38" i="29"/>
  <c r="V39" i="29"/>
  <c r="W39" i="29"/>
  <c r="X39" i="29"/>
  <c r="Y39" i="29"/>
  <c r="Z39" i="29"/>
  <c r="AB39" i="29" s="1"/>
  <c r="V40" i="29"/>
  <c r="W40" i="29"/>
  <c r="X40" i="29"/>
  <c r="Y40" i="29"/>
  <c r="Z40" i="29"/>
  <c r="V41" i="29"/>
  <c r="W41" i="29"/>
  <c r="X41" i="29"/>
  <c r="Y41" i="29"/>
  <c r="Z41" i="29"/>
  <c r="V42" i="29"/>
  <c r="AB42" i="29" s="1"/>
  <c r="W42" i="29"/>
  <c r="AC42" i="29" s="1"/>
  <c r="X42" i="29"/>
  <c r="Y42" i="29"/>
  <c r="Z42" i="29"/>
  <c r="V43" i="29"/>
  <c r="AC43" i="29" s="1"/>
  <c r="W43" i="29"/>
  <c r="X43" i="29"/>
  <c r="Y43" i="29"/>
  <c r="Z43" i="29"/>
  <c r="V44" i="29"/>
  <c r="W44" i="29"/>
  <c r="X44" i="29"/>
  <c r="Y44" i="29"/>
  <c r="AA44" i="29" s="1"/>
  <c r="Z44" i="29"/>
  <c r="V45" i="29"/>
  <c r="AB45" i="29" s="1"/>
  <c r="W45" i="29"/>
  <c r="X45" i="29"/>
  <c r="Y45" i="29"/>
  <c r="Z45" i="29"/>
  <c r="V46" i="29"/>
  <c r="W46" i="29"/>
  <c r="X46" i="29"/>
  <c r="Y46" i="29"/>
  <c r="Z46" i="29"/>
  <c r="V47" i="29"/>
  <c r="AA47" i="29" s="1"/>
  <c r="W47" i="29"/>
  <c r="X47" i="29"/>
  <c r="Y47" i="29"/>
  <c r="Z47" i="29"/>
  <c r="V48" i="29"/>
  <c r="W48" i="29"/>
  <c r="X48" i="29"/>
  <c r="Y48" i="29"/>
  <c r="Z48" i="29"/>
  <c r="V49" i="29"/>
  <c r="W49" i="29"/>
  <c r="X49" i="29"/>
  <c r="AC49" i="29" s="1"/>
  <c r="Y49" i="29"/>
  <c r="Z49" i="29"/>
  <c r="V50" i="29"/>
  <c r="AA50" i="29" s="1"/>
  <c r="W50" i="29"/>
  <c r="X50" i="29"/>
  <c r="Y50" i="29"/>
  <c r="Z50" i="29"/>
  <c r="V51" i="29"/>
  <c r="W51" i="29"/>
  <c r="X51" i="29"/>
  <c r="Y51" i="29"/>
  <c r="Z51" i="29"/>
  <c r="AB51" i="29" s="1"/>
  <c r="V52" i="29"/>
  <c r="W52" i="29"/>
  <c r="X52" i="29"/>
  <c r="Y52" i="29"/>
  <c r="AC52" i="29" s="1"/>
  <c r="Z52" i="29"/>
  <c r="Z3" i="29"/>
  <c r="Y3" i="29"/>
  <c r="X3" i="29"/>
  <c r="W3" i="29"/>
  <c r="V3" i="29"/>
  <c r="AB3" i="29" s="1"/>
  <c r="AJ52" i="29"/>
  <c r="AK52" i="29" s="1"/>
  <c r="AI52" i="29"/>
  <c r="AH52" i="29"/>
  <c r="AG52" i="29"/>
  <c r="AF52" i="29"/>
  <c r="AM52" i="29" s="1"/>
  <c r="AK51" i="29"/>
  <c r="AJ51" i="29"/>
  <c r="AI51" i="29"/>
  <c r="AH51" i="29"/>
  <c r="AG51" i="29"/>
  <c r="AF51" i="29"/>
  <c r="AL51" i="29" s="1"/>
  <c r="AJ50" i="29"/>
  <c r="AI50" i="29"/>
  <c r="AH50" i="29"/>
  <c r="AG50" i="29"/>
  <c r="AF50" i="29"/>
  <c r="AM50" i="29" s="1"/>
  <c r="AJ49" i="29"/>
  <c r="AK49" i="29" s="1"/>
  <c r="AI49" i="29"/>
  <c r="AH49" i="29"/>
  <c r="AG49" i="29"/>
  <c r="AF49" i="29"/>
  <c r="AM49" i="29" s="1"/>
  <c r="AK48" i="29"/>
  <c r="AJ48" i="29"/>
  <c r="AI48" i="29"/>
  <c r="AH48" i="29"/>
  <c r="AG48" i="29"/>
  <c r="AF48" i="29"/>
  <c r="AM48" i="29" s="1"/>
  <c r="AJ47" i="29"/>
  <c r="AI47" i="29"/>
  <c r="AH47" i="29"/>
  <c r="AG47" i="29"/>
  <c r="AF47" i="29"/>
  <c r="AM47" i="29" s="1"/>
  <c r="AJ46" i="29"/>
  <c r="AK46" i="29" s="1"/>
  <c r="AI46" i="29"/>
  <c r="AH46" i="29"/>
  <c r="AG46" i="29"/>
  <c r="AF46" i="29"/>
  <c r="AM46" i="29" s="1"/>
  <c r="AK45" i="29"/>
  <c r="AJ45" i="29"/>
  <c r="AI45" i="29"/>
  <c r="AH45" i="29"/>
  <c r="AG45" i="29"/>
  <c r="AF45" i="29"/>
  <c r="AM45" i="29" s="1"/>
  <c r="AJ44" i="29"/>
  <c r="AI44" i="29"/>
  <c r="AH44" i="29"/>
  <c r="AG44" i="29"/>
  <c r="AF44" i="29"/>
  <c r="AM44" i="29" s="1"/>
  <c r="AJ43" i="29"/>
  <c r="AK43" i="29" s="1"/>
  <c r="AI43" i="29"/>
  <c r="AH43" i="29"/>
  <c r="AG43" i="29"/>
  <c r="AF43" i="29"/>
  <c r="AM43" i="29" s="1"/>
  <c r="AK42" i="29"/>
  <c r="AJ42" i="29"/>
  <c r="AI42" i="29"/>
  <c r="AH42" i="29"/>
  <c r="AG42" i="29"/>
  <c r="AF42" i="29"/>
  <c r="AM42" i="29" s="1"/>
  <c r="AJ41" i="29"/>
  <c r="AI41" i="29"/>
  <c r="AH41" i="29"/>
  <c r="AG41" i="29"/>
  <c r="AF41" i="29"/>
  <c r="AM41" i="29" s="1"/>
  <c r="AJ40" i="29"/>
  <c r="AK40" i="29" s="1"/>
  <c r="AI40" i="29"/>
  <c r="AH40" i="29"/>
  <c r="AG40" i="29"/>
  <c r="AF40" i="29"/>
  <c r="AM40" i="29" s="1"/>
  <c r="AK39" i="29"/>
  <c r="AJ39" i="29"/>
  <c r="AI39" i="29"/>
  <c r="AH39" i="29"/>
  <c r="AG39" i="29"/>
  <c r="AF39" i="29"/>
  <c r="AM39" i="29" s="1"/>
  <c r="AJ38" i="29"/>
  <c r="AI38" i="29"/>
  <c r="AH38" i="29"/>
  <c r="AG38" i="29"/>
  <c r="AF38" i="29"/>
  <c r="AM38" i="29" s="1"/>
  <c r="AJ37" i="29"/>
  <c r="AK37" i="29" s="1"/>
  <c r="AI37" i="29"/>
  <c r="AH37" i="29"/>
  <c r="AG37" i="29"/>
  <c r="AF37" i="29"/>
  <c r="AM37" i="29" s="1"/>
  <c r="AK36" i="29"/>
  <c r="AJ36" i="29"/>
  <c r="AI36" i="29"/>
  <c r="AH36" i="29"/>
  <c r="AG36" i="29"/>
  <c r="AF36" i="29"/>
  <c r="AM36" i="29" s="1"/>
  <c r="AJ35" i="29"/>
  <c r="AI35" i="29"/>
  <c r="AH35" i="29"/>
  <c r="AG35" i="29"/>
  <c r="AL35" i="29" s="1"/>
  <c r="AF35" i="29"/>
  <c r="AM35" i="29" s="1"/>
  <c r="AJ34" i="29"/>
  <c r="AK34" i="29" s="1"/>
  <c r="AI34" i="29"/>
  <c r="AH34" i="29"/>
  <c r="AG34" i="29"/>
  <c r="AF34" i="29"/>
  <c r="AM34" i="29" s="1"/>
  <c r="AK33" i="29"/>
  <c r="AJ33" i="29"/>
  <c r="AI33" i="29"/>
  <c r="AH33" i="29"/>
  <c r="AG33" i="29"/>
  <c r="AF33" i="29"/>
  <c r="AL33" i="29" s="1"/>
  <c r="AJ32" i="29"/>
  <c r="AI32" i="29"/>
  <c r="AH32" i="29"/>
  <c r="AG32" i="29"/>
  <c r="AL32" i="29" s="1"/>
  <c r="AF32" i="29"/>
  <c r="AM32" i="29" s="1"/>
  <c r="AJ31" i="29"/>
  <c r="AK31" i="29" s="1"/>
  <c r="AI31" i="29"/>
  <c r="AH31" i="29"/>
  <c r="AG31" i="29"/>
  <c r="AF31" i="29"/>
  <c r="AM31" i="29" s="1"/>
  <c r="AK30" i="29"/>
  <c r="AJ30" i="29"/>
  <c r="AI30" i="29"/>
  <c r="AH30" i="29"/>
  <c r="AG30" i="29"/>
  <c r="AF30" i="29"/>
  <c r="AM30" i="29" s="1"/>
  <c r="AJ29" i="29"/>
  <c r="AI29" i="29"/>
  <c r="AH29" i="29"/>
  <c r="AG29" i="29"/>
  <c r="AL29" i="29" s="1"/>
  <c r="AF29" i="29"/>
  <c r="AM29" i="29" s="1"/>
  <c r="AJ28" i="29"/>
  <c r="AK28" i="29" s="1"/>
  <c r="AI28" i="29"/>
  <c r="AH28" i="29"/>
  <c r="AG28" i="29"/>
  <c r="AF28" i="29"/>
  <c r="AM28" i="29" s="1"/>
  <c r="AK27" i="29"/>
  <c r="AJ27" i="29"/>
  <c r="AI27" i="29"/>
  <c r="AH27" i="29"/>
  <c r="AG27" i="29"/>
  <c r="AF27" i="29"/>
  <c r="AM27" i="29" s="1"/>
  <c r="AJ26" i="29"/>
  <c r="AI26" i="29"/>
  <c r="AH26" i="29"/>
  <c r="AG26" i="29"/>
  <c r="AL26" i="29" s="1"/>
  <c r="AF26" i="29"/>
  <c r="AM26" i="29" s="1"/>
  <c r="AJ25" i="29"/>
  <c r="AK25" i="29" s="1"/>
  <c r="AI25" i="29"/>
  <c r="AH25" i="29"/>
  <c r="AG25" i="29"/>
  <c r="AF25" i="29"/>
  <c r="AM25" i="29" s="1"/>
  <c r="AK24" i="29"/>
  <c r="AJ24" i="29"/>
  <c r="AI24" i="29"/>
  <c r="AH24" i="29"/>
  <c r="AG24" i="29"/>
  <c r="AF24" i="29"/>
  <c r="AL24" i="29" s="1"/>
  <c r="AJ23" i="29"/>
  <c r="AI23" i="29"/>
  <c r="AH23" i="29"/>
  <c r="AG23" i="29"/>
  <c r="AL23" i="29" s="1"/>
  <c r="AF23" i="29"/>
  <c r="AM23" i="29" s="1"/>
  <c r="AJ22" i="29"/>
  <c r="AK22" i="29" s="1"/>
  <c r="AI22" i="29"/>
  <c r="AH22" i="29"/>
  <c r="AG22" i="29"/>
  <c r="AF22" i="29"/>
  <c r="AM22" i="29" s="1"/>
  <c r="AK21" i="29"/>
  <c r="AJ21" i="29"/>
  <c r="AI21" i="29"/>
  <c r="AH21" i="29"/>
  <c r="AG21" i="29"/>
  <c r="AF21" i="29"/>
  <c r="AM21" i="29" s="1"/>
  <c r="AJ20" i="29"/>
  <c r="AI20" i="29"/>
  <c r="AH20" i="29"/>
  <c r="AG20" i="29"/>
  <c r="AL20" i="29" s="1"/>
  <c r="AF20" i="29"/>
  <c r="AM20" i="29" s="1"/>
  <c r="AJ19" i="29"/>
  <c r="AK19" i="29" s="1"/>
  <c r="AI19" i="29"/>
  <c r="AH19" i="29"/>
  <c r="AG19" i="29"/>
  <c r="AF19" i="29"/>
  <c r="AM19" i="29" s="1"/>
  <c r="AK18" i="29"/>
  <c r="AJ18" i="29"/>
  <c r="AI18" i="29"/>
  <c r="AH18" i="29"/>
  <c r="AG18" i="29"/>
  <c r="AF18" i="29"/>
  <c r="AM18" i="29" s="1"/>
  <c r="AJ17" i="29"/>
  <c r="AI17" i="29"/>
  <c r="AH17" i="29"/>
  <c r="AG17" i="29"/>
  <c r="AL17" i="29" s="1"/>
  <c r="AF17" i="29"/>
  <c r="AM17" i="29" s="1"/>
  <c r="AJ16" i="29"/>
  <c r="AK16" i="29" s="1"/>
  <c r="AI16" i="29"/>
  <c r="AH16" i="29"/>
  <c r="AG16" i="29"/>
  <c r="AF16" i="29"/>
  <c r="AM16" i="29" s="1"/>
  <c r="AK15" i="29"/>
  <c r="AJ15" i="29"/>
  <c r="AI15" i="29"/>
  <c r="AH15" i="29"/>
  <c r="AG15" i="29"/>
  <c r="AF15" i="29"/>
  <c r="AM15" i="29" s="1"/>
  <c r="AJ14" i="29"/>
  <c r="AI14" i="29"/>
  <c r="AH14" i="29"/>
  <c r="AG14" i="29"/>
  <c r="AL14" i="29" s="1"/>
  <c r="AF14" i="29"/>
  <c r="AM14" i="29" s="1"/>
  <c r="AJ13" i="29"/>
  <c r="AK13" i="29" s="1"/>
  <c r="AI13" i="29"/>
  <c r="AH13" i="29"/>
  <c r="AG13" i="29"/>
  <c r="AF13" i="29"/>
  <c r="AM13" i="29" s="1"/>
  <c r="AK12" i="29"/>
  <c r="AJ12" i="29"/>
  <c r="AI12" i="29"/>
  <c r="AH12" i="29"/>
  <c r="AG12" i="29"/>
  <c r="AF12" i="29"/>
  <c r="AL12" i="29" s="1"/>
  <c r="AJ11" i="29"/>
  <c r="AI11" i="29"/>
  <c r="AH11" i="29"/>
  <c r="AG11" i="29"/>
  <c r="AL11" i="29" s="1"/>
  <c r="AF11" i="29"/>
  <c r="AM11" i="29" s="1"/>
  <c r="AJ10" i="29"/>
  <c r="AK10" i="29" s="1"/>
  <c r="AI10" i="29"/>
  <c r="AH10" i="29"/>
  <c r="AG10" i="29"/>
  <c r="AF10" i="29"/>
  <c r="AM10" i="29" s="1"/>
  <c r="AK9" i="29"/>
  <c r="AJ9" i="29"/>
  <c r="AI9" i="29"/>
  <c r="AH9" i="29"/>
  <c r="AG9" i="29"/>
  <c r="AF9" i="29"/>
  <c r="AM9" i="29" s="1"/>
  <c r="AJ8" i="29"/>
  <c r="AI8" i="29"/>
  <c r="AH8" i="29"/>
  <c r="AG8" i="29"/>
  <c r="AL8" i="29" s="1"/>
  <c r="AF8" i="29"/>
  <c r="AM8" i="29" s="1"/>
  <c r="AJ7" i="29"/>
  <c r="AK7" i="29" s="1"/>
  <c r="AI7" i="29"/>
  <c r="AH7" i="29"/>
  <c r="AG7" i="29"/>
  <c r="AF7" i="29"/>
  <c r="AM7" i="29" s="1"/>
  <c r="AK6" i="29"/>
  <c r="AJ6" i="29"/>
  <c r="AI6" i="29"/>
  <c r="AH6" i="29"/>
  <c r="AG6" i="29"/>
  <c r="AF6" i="29"/>
  <c r="AM6" i="29" s="1"/>
  <c r="AJ5" i="29"/>
  <c r="AI5" i="29"/>
  <c r="AH5" i="29"/>
  <c r="AG5" i="29"/>
  <c r="AL5" i="29" s="1"/>
  <c r="AF5" i="29"/>
  <c r="AM5" i="29" s="1"/>
  <c r="AJ4" i="29"/>
  <c r="AK4" i="29" s="1"/>
  <c r="AI4" i="29"/>
  <c r="AH4" i="29"/>
  <c r="AH53" i="29" s="1"/>
  <c r="AG4" i="29"/>
  <c r="AF4" i="29"/>
  <c r="AM4" i="29" s="1"/>
  <c r="AK3" i="29"/>
  <c r="AJ3" i="29"/>
  <c r="AI3" i="29"/>
  <c r="AH3" i="29"/>
  <c r="AG3" i="29"/>
  <c r="AG55" i="29" s="1"/>
  <c r="AF3" i="29"/>
  <c r="AL3" i="29" s="1"/>
  <c r="AB48" i="29"/>
  <c r="AC48" i="29"/>
  <c r="AC46" i="29"/>
  <c r="AC45" i="29"/>
  <c r="AA41" i="29"/>
  <c r="AC41" i="29"/>
  <c r="AC40" i="29"/>
  <c r="AC39" i="29"/>
  <c r="AC38" i="29"/>
  <c r="AB36" i="29"/>
  <c r="AC36" i="29"/>
  <c r="AC34" i="29"/>
  <c r="AB33" i="29"/>
  <c r="AC33" i="29"/>
  <c r="AC32" i="29"/>
  <c r="AC31" i="29"/>
  <c r="AB29" i="29"/>
  <c r="AC29" i="29"/>
  <c r="AC28" i="29"/>
  <c r="AB26" i="29"/>
  <c r="AC26" i="29"/>
  <c r="AB24" i="29"/>
  <c r="AC24" i="29"/>
  <c r="AC22" i="29"/>
  <c r="AB21" i="29"/>
  <c r="AC21" i="29"/>
  <c r="AC19" i="29"/>
  <c r="AB17" i="29"/>
  <c r="AC17" i="29"/>
  <c r="AC16" i="29"/>
  <c r="AA14" i="29"/>
  <c r="AC14" i="29"/>
  <c r="AB12" i="29"/>
  <c r="AC12" i="29"/>
  <c r="AC10" i="29"/>
  <c r="AB9" i="29"/>
  <c r="AC9" i="29"/>
  <c r="AC7" i="29"/>
  <c r="AI53" i="29"/>
  <c r="AB5" i="29"/>
  <c r="AC5" i="29"/>
  <c r="AC4" i="29"/>
  <c r="AI55" i="29"/>
  <c r="V4" i="3"/>
  <c r="W4" i="3"/>
  <c r="X4" i="3"/>
  <c r="Y4" i="3"/>
  <c r="Z4" i="3"/>
  <c r="V5" i="3"/>
  <c r="W5" i="3"/>
  <c r="X5" i="3"/>
  <c r="Y5" i="3"/>
  <c r="Z5" i="3"/>
  <c r="V6" i="3"/>
  <c r="W6" i="3"/>
  <c r="AA6" i="3" s="1"/>
  <c r="X6" i="3"/>
  <c r="Y6" i="3"/>
  <c r="Z6" i="3"/>
  <c r="V7" i="3"/>
  <c r="W7" i="3"/>
  <c r="X7" i="3"/>
  <c r="Y7" i="3"/>
  <c r="Z7" i="3"/>
  <c r="V8" i="3"/>
  <c r="W8" i="3"/>
  <c r="X8" i="3"/>
  <c r="Y8" i="3"/>
  <c r="AB8" i="3" s="1"/>
  <c r="Z8" i="3"/>
  <c r="V9" i="3"/>
  <c r="W9" i="3"/>
  <c r="X9" i="3"/>
  <c r="Y9" i="3"/>
  <c r="Z9" i="3"/>
  <c r="V10" i="3"/>
  <c r="W10" i="3"/>
  <c r="X10" i="3"/>
  <c r="Y10" i="3"/>
  <c r="Z10" i="3"/>
  <c r="V11" i="3"/>
  <c r="AB11" i="3" s="1"/>
  <c r="W11" i="3"/>
  <c r="X11" i="3"/>
  <c r="Y11" i="3"/>
  <c r="Z11" i="3"/>
  <c r="V12" i="3"/>
  <c r="W12" i="3"/>
  <c r="X12" i="3"/>
  <c r="Y12" i="3"/>
  <c r="Z12" i="3"/>
  <c r="V13" i="3"/>
  <c r="W13" i="3"/>
  <c r="X13" i="3"/>
  <c r="X53" i="3" s="1"/>
  <c r="Y13" i="3"/>
  <c r="Z13" i="3"/>
  <c r="V14" i="3"/>
  <c r="W14" i="3"/>
  <c r="X14" i="3"/>
  <c r="Y14" i="3"/>
  <c r="Z14" i="3"/>
  <c r="V15" i="3"/>
  <c r="W15" i="3"/>
  <c r="X15" i="3"/>
  <c r="Y15" i="3"/>
  <c r="Z15" i="3"/>
  <c r="AA15" i="3" s="1"/>
  <c r="V16" i="3"/>
  <c r="W16" i="3"/>
  <c r="X16" i="3"/>
  <c r="Y16" i="3"/>
  <c r="Z16" i="3"/>
  <c r="V17" i="3"/>
  <c r="W17" i="3"/>
  <c r="X17" i="3"/>
  <c r="Y17" i="3"/>
  <c r="Z17" i="3"/>
  <c r="V18" i="3"/>
  <c r="W18" i="3"/>
  <c r="AB18" i="3" s="1"/>
  <c r="X18" i="3"/>
  <c r="Y18" i="3"/>
  <c r="Z18" i="3"/>
  <c r="V19" i="3"/>
  <c r="W19" i="3"/>
  <c r="X19" i="3"/>
  <c r="Y19" i="3"/>
  <c r="Z19" i="3"/>
  <c r="V20" i="3"/>
  <c r="W20" i="3"/>
  <c r="X20" i="3"/>
  <c r="Y20" i="3"/>
  <c r="AB20" i="3" s="1"/>
  <c r="Z20" i="3"/>
  <c r="V21" i="3"/>
  <c r="W21" i="3"/>
  <c r="X21" i="3"/>
  <c r="Y21" i="3"/>
  <c r="Z21" i="3"/>
  <c r="V22" i="3"/>
  <c r="W22" i="3"/>
  <c r="X22" i="3"/>
  <c r="Y22" i="3"/>
  <c r="Z22" i="3"/>
  <c r="V23" i="3"/>
  <c r="AB23" i="3" s="1"/>
  <c r="W23" i="3"/>
  <c r="X23" i="3"/>
  <c r="Y23" i="3"/>
  <c r="Z23" i="3"/>
  <c r="V24" i="3"/>
  <c r="W24" i="3"/>
  <c r="X24" i="3"/>
  <c r="Y24" i="3"/>
  <c r="Z24" i="3"/>
  <c r="V25" i="3"/>
  <c r="W25" i="3"/>
  <c r="X25" i="3"/>
  <c r="AC25" i="3" s="1"/>
  <c r="Y25" i="3"/>
  <c r="Z25" i="3"/>
  <c r="V26" i="3"/>
  <c r="W26" i="3"/>
  <c r="X26" i="3"/>
  <c r="Y26" i="3"/>
  <c r="Z26" i="3"/>
  <c r="V27" i="3"/>
  <c r="W27" i="3"/>
  <c r="X27" i="3"/>
  <c r="Y27" i="3"/>
  <c r="Z27" i="3"/>
  <c r="AB27" i="3" s="1"/>
  <c r="V28" i="3"/>
  <c r="W28" i="3"/>
  <c r="X28" i="3"/>
  <c r="Y28" i="3"/>
  <c r="Z28" i="3"/>
  <c r="V29" i="3"/>
  <c r="W29" i="3"/>
  <c r="X29" i="3"/>
  <c r="Y29" i="3"/>
  <c r="Z29" i="3"/>
  <c r="V30" i="3"/>
  <c r="W30" i="3"/>
  <c r="AB30" i="3" s="1"/>
  <c r="X30" i="3"/>
  <c r="Y30" i="3"/>
  <c r="Z30" i="3"/>
  <c r="V31" i="3"/>
  <c r="W31" i="3"/>
  <c r="X31" i="3"/>
  <c r="Y31" i="3"/>
  <c r="Z31" i="3"/>
  <c r="V32" i="3"/>
  <c r="W32" i="3"/>
  <c r="X32" i="3"/>
  <c r="Y32" i="3"/>
  <c r="AB32" i="3" s="1"/>
  <c r="Z32" i="3"/>
  <c r="V33" i="3"/>
  <c r="W33" i="3"/>
  <c r="X33" i="3"/>
  <c r="Y33" i="3"/>
  <c r="Z33" i="3"/>
  <c r="V34" i="3"/>
  <c r="W34" i="3"/>
  <c r="X34" i="3"/>
  <c r="Y34" i="3"/>
  <c r="Z34" i="3"/>
  <c r="V35" i="3"/>
  <c r="AB35" i="3" s="1"/>
  <c r="W35" i="3"/>
  <c r="X35" i="3"/>
  <c r="Y35" i="3"/>
  <c r="Z35" i="3"/>
  <c r="V36" i="3"/>
  <c r="W36" i="3"/>
  <c r="X36" i="3"/>
  <c r="Y36" i="3"/>
  <c r="Z36" i="3"/>
  <c r="V37" i="3"/>
  <c r="W37" i="3"/>
  <c r="X37" i="3"/>
  <c r="Y37" i="3"/>
  <c r="Z37" i="3"/>
  <c r="V38" i="3"/>
  <c r="W38" i="3"/>
  <c r="X38" i="3"/>
  <c r="Y38" i="3"/>
  <c r="Z38" i="3"/>
  <c r="V39" i="3"/>
  <c r="W39" i="3"/>
  <c r="X39" i="3"/>
  <c r="Y39" i="3"/>
  <c r="Z39" i="3"/>
  <c r="AB39" i="3" s="1"/>
  <c r="V40" i="3"/>
  <c r="W40" i="3"/>
  <c r="X40" i="3"/>
  <c r="Y40" i="3"/>
  <c r="AC40" i="3" s="1"/>
  <c r="Z40" i="3"/>
  <c r="V41" i="3"/>
  <c r="W41" i="3"/>
  <c r="X41" i="3"/>
  <c r="Y41" i="3"/>
  <c r="Z41" i="3"/>
  <c r="AC41" i="3" s="1"/>
  <c r="V42" i="3"/>
  <c r="W42" i="3"/>
  <c r="AB42" i="3" s="1"/>
  <c r="X42" i="3"/>
  <c r="Y42" i="3"/>
  <c r="Z42" i="3"/>
  <c r="V43" i="3"/>
  <c r="W43" i="3"/>
  <c r="X43" i="3"/>
  <c r="Y43" i="3"/>
  <c r="Z43" i="3"/>
  <c r="V44" i="3"/>
  <c r="W44" i="3"/>
  <c r="X44" i="3"/>
  <c r="Y44" i="3"/>
  <c r="AA44" i="3" s="1"/>
  <c r="Z44" i="3"/>
  <c r="V45" i="3"/>
  <c r="W45" i="3"/>
  <c r="X45" i="3"/>
  <c r="Y45" i="3"/>
  <c r="Z45" i="3"/>
  <c r="V46" i="3"/>
  <c r="W46" i="3"/>
  <c r="X46" i="3"/>
  <c r="Y46" i="3"/>
  <c r="AC46" i="3" s="1"/>
  <c r="Z46" i="3"/>
  <c r="V47" i="3"/>
  <c r="AB47" i="3" s="1"/>
  <c r="W47" i="3"/>
  <c r="X47" i="3"/>
  <c r="Y47" i="3"/>
  <c r="Z47" i="3"/>
  <c r="V48" i="3"/>
  <c r="W48" i="3"/>
  <c r="X48" i="3"/>
  <c r="Y48" i="3"/>
  <c r="Z48" i="3"/>
  <c r="V49" i="3"/>
  <c r="AC49" i="3" s="1"/>
  <c r="W49" i="3"/>
  <c r="X49" i="3"/>
  <c r="Y49" i="3"/>
  <c r="Z49" i="3"/>
  <c r="V50" i="3"/>
  <c r="W50" i="3"/>
  <c r="X50" i="3"/>
  <c r="Y50" i="3"/>
  <c r="Z50" i="3"/>
  <c r="V51" i="3"/>
  <c r="W51" i="3"/>
  <c r="X51" i="3"/>
  <c r="Y51" i="3"/>
  <c r="Z51" i="3"/>
  <c r="AA51" i="3" s="1"/>
  <c r="V52" i="3"/>
  <c r="W52" i="3"/>
  <c r="X52" i="3"/>
  <c r="Y52" i="3"/>
  <c r="Z52" i="3"/>
  <c r="Z3" i="3"/>
  <c r="Y3" i="3"/>
  <c r="X3" i="3"/>
  <c r="W3" i="3"/>
  <c r="V3" i="3"/>
  <c r="AG55" i="3"/>
  <c r="AJ55" i="3"/>
  <c r="AG53" i="3"/>
  <c r="AJ53" i="3"/>
  <c r="AJ52" i="3"/>
  <c r="AI52" i="3"/>
  <c r="AM52" i="3" s="1"/>
  <c r="AH52" i="3"/>
  <c r="AG52" i="3"/>
  <c r="AF52" i="3"/>
  <c r="AK52" i="3" s="1"/>
  <c r="AJ51" i="3"/>
  <c r="AI51" i="3"/>
  <c r="AH51" i="3"/>
  <c r="AG51" i="3"/>
  <c r="AF51" i="3"/>
  <c r="AK51" i="3" s="1"/>
  <c r="AJ50" i="3"/>
  <c r="AI50" i="3"/>
  <c r="AM50" i="3" s="1"/>
  <c r="AH50" i="3"/>
  <c r="AG50" i="3"/>
  <c r="AF50" i="3"/>
  <c r="AK50" i="3" s="1"/>
  <c r="AJ49" i="3"/>
  <c r="AI49" i="3"/>
  <c r="AH49" i="3"/>
  <c r="AG49" i="3"/>
  <c r="AM49" i="3" s="1"/>
  <c r="AF49" i="3"/>
  <c r="AK49" i="3" s="1"/>
  <c r="AJ48" i="3"/>
  <c r="AI48" i="3"/>
  <c r="AM48" i="3" s="1"/>
  <c r="AH48" i="3"/>
  <c r="AG48" i="3"/>
  <c r="AF48" i="3"/>
  <c r="AK48" i="3" s="1"/>
  <c r="AJ47" i="3"/>
  <c r="AI47" i="3"/>
  <c r="AH47" i="3"/>
  <c r="AG47" i="3"/>
  <c r="AL47" i="3" s="1"/>
  <c r="AF47" i="3"/>
  <c r="AK47" i="3" s="1"/>
  <c r="AJ46" i="3"/>
  <c r="AI46" i="3"/>
  <c r="AM46" i="3" s="1"/>
  <c r="AH46" i="3"/>
  <c r="AG46" i="3"/>
  <c r="AF46" i="3"/>
  <c r="AK46" i="3" s="1"/>
  <c r="AJ45" i="3"/>
  <c r="AI45" i="3"/>
  <c r="AH45" i="3"/>
  <c r="AG45" i="3"/>
  <c r="AF45" i="3"/>
  <c r="AK45" i="3" s="1"/>
  <c r="AJ44" i="3"/>
  <c r="AI44" i="3"/>
  <c r="AH44" i="3"/>
  <c r="AG44" i="3"/>
  <c r="AF44" i="3"/>
  <c r="AK44" i="3" s="1"/>
  <c r="AJ43" i="3"/>
  <c r="AI43" i="3"/>
  <c r="AH43" i="3"/>
  <c r="AG43" i="3"/>
  <c r="AF43" i="3"/>
  <c r="AK43" i="3" s="1"/>
  <c r="AJ42" i="3"/>
  <c r="AI42" i="3"/>
  <c r="AM42" i="3" s="1"/>
  <c r="AH42" i="3"/>
  <c r="AG42" i="3"/>
  <c r="AF42" i="3"/>
  <c r="AK42" i="3" s="1"/>
  <c r="AJ41" i="3"/>
  <c r="AI41" i="3"/>
  <c r="AH41" i="3"/>
  <c r="AG41" i="3"/>
  <c r="AF41" i="3"/>
  <c r="AL41" i="3" s="1"/>
  <c r="AJ40" i="3"/>
  <c r="AI40" i="3"/>
  <c r="AM40" i="3" s="1"/>
  <c r="AH40" i="3"/>
  <c r="AG40" i="3"/>
  <c r="AF40" i="3"/>
  <c r="AK40" i="3" s="1"/>
  <c r="AJ39" i="3"/>
  <c r="AI39" i="3"/>
  <c r="AM39" i="3" s="1"/>
  <c r="AH39" i="3"/>
  <c r="AG39" i="3"/>
  <c r="AF39" i="3"/>
  <c r="AK39" i="3" s="1"/>
  <c r="AJ38" i="3"/>
  <c r="AI38" i="3"/>
  <c r="AH38" i="3"/>
  <c r="AG38" i="3"/>
  <c r="AF38" i="3"/>
  <c r="AK38" i="3" s="1"/>
  <c r="AJ37" i="3"/>
  <c r="AI37" i="3"/>
  <c r="AM37" i="3" s="1"/>
  <c r="AH37" i="3"/>
  <c r="AG37" i="3"/>
  <c r="AF37" i="3"/>
  <c r="AK37" i="3" s="1"/>
  <c r="AJ36" i="3"/>
  <c r="AI36" i="3"/>
  <c r="AM36" i="3" s="1"/>
  <c r="AH36" i="3"/>
  <c r="AG36" i="3"/>
  <c r="AF36" i="3"/>
  <c r="AK36" i="3" s="1"/>
  <c r="AJ35" i="3"/>
  <c r="AI35" i="3"/>
  <c r="AM35" i="3" s="1"/>
  <c r="AH35" i="3"/>
  <c r="AG35" i="3"/>
  <c r="AF35" i="3"/>
  <c r="AK35" i="3" s="1"/>
  <c r="AJ34" i="3"/>
  <c r="AI34" i="3"/>
  <c r="AM34" i="3" s="1"/>
  <c r="AH34" i="3"/>
  <c r="AG34" i="3"/>
  <c r="AF34" i="3"/>
  <c r="AK34" i="3" s="1"/>
  <c r="AJ33" i="3"/>
  <c r="AI33" i="3"/>
  <c r="AH33" i="3"/>
  <c r="AG33" i="3"/>
  <c r="AM33" i="3" s="1"/>
  <c r="AF33" i="3"/>
  <c r="AK33" i="3" s="1"/>
  <c r="AJ32" i="3"/>
  <c r="AI32" i="3"/>
  <c r="AM32" i="3" s="1"/>
  <c r="AH32" i="3"/>
  <c r="AG32" i="3"/>
  <c r="AF32" i="3"/>
  <c r="AK32" i="3" s="1"/>
  <c r="AJ31" i="3"/>
  <c r="AI31" i="3"/>
  <c r="AH31" i="3"/>
  <c r="AG31" i="3"/>
  <c r="AF31" i="3"/>
  <c r="AK31" i="3" s="1"/>
  <c r="AJ30" i="3"/>
  <c r="AI30" i="3"/>
  <c r="AL30" i="3" s="1"/>
  <c r="AH30" i="3"/>
  <c r="AG30" i="3"/>
  <c r="AF30" i="3"/>
  <c r="AK30" i="3" s="1"/>
  <c r="AJ29" i="3"/>
  <c r="AI29" i="3"/>
  <c r="AH29" i="3"/>
  <c r="AG29" i="3"/>
  <c r="AL29" i="3" s="1"/>
  <c r="AF29" i="3"/>
  <c r="AK29" i="3" s="1"/>
  <c r="AJ28" i="3"/>
  <c r="AI28" i="3"/>
  <c r="AM28" i="3" s="1"/>
  <c r="AH28" i="3"/>
  <c r="AG28" i="3"/>
  <c r="AF28" i="3"/>
  <c r="AK28" i="3" s="1"/>
  <c r="AJ27" i="3"/>
  <c r="AI27" i="3"/>
  <c r="AH27" i="3"/>
  <c r="AG27" i="3"/>
  <c r="AM27" i="3" s="1"/>
  <c r="AF27" i="3"/>
  <c r="AK27" i="3" s="1"/>
  <c r="AJ26" i="3"/>
  <c r="AI26" i="3"/>
  <c r="AH26" i="3"/>
  <c r="AG26" i="3"/>
  <c r="AF26" i="3"/>
  <c r="AK26" i="3" s="1"/>
  <c r="AJ25" i="3"/>
  <c r="AI25" i="3"/>
  <c r="AH25" i="3"/>
  <c r="AG25" i="3"/>
  <c r="AM25" i="3" s="1"/>
  <c r="AF25" i="3"/>
  <c r="AK25" i="3" s="1"/>
  <c r="AJ24" i="3"/>
  <c r="AI24" i="3"/>
  <c r="AH24" i="3"/>
  <c r="AG24" i="3"/>
  <c r="AF24" i="3"/>
  <c r="AK24" i="3" s="1"/>
  <c r="AJ23" i="3"/>
  <c r="AI23" i="3"/>
  <c r="AH23" i="3"/>
  <c r="AG23" i="3"/>
  <c r="AF23" i="3"/>
  <c r="AL23" i="3" s="1"/>
  <c r="AJ22" i="3"/>
  <c r="AI22" i="3"/>
  <c r="AM22" i="3" s="1"/>
  <c r="AH22" i="3"/>
  <c r="AG22" i="3"/>
  <c r="AF22" i="3"/>
  <c r="AK22" i="3" s="1"/>
  <c r="AJ21" i="3"/>
  <c r="AI21" i="3"/>
  <c r="AL21" i="3" s="1"/>
  <c r="AH21" i="3"/>
  <c r="AG21" i="3"/>
  <c r="AF21" i="3"/>
  <c r="AK21" i="3" s="1"/>
  <c r="AJ20" i="3"/>
  <c r="AI20" i="3"/>
  <c r="AL20" i="3" s="1"/>
  <c r="AH20" i="3"/>
  <c r="AG20" i="3"/>
  <c r="AF20" i="3"/>
  <c r="AK20" i="3" s="1"/>
  <c r="AJ19" i="3"/>
  <c r="AI19" i="3"/>
  <c r="AH19" i="3"/>
  <c r="AG19" i="3"/>
  <c r="AF19" i="3"/>
  <c r="AK19" i="3" s="1"/>
  <c r="AJ18" i="3"/>
  <c r="AI18" i="3"/>
  <c r="AH18" i="3"/>
  <c r="AG18" i="3"/>
  <c r="AF18" i="3"/>
  <c r="AK18" i="3" s="1"/>
  <c r="AJ17" i="3"/>
  <c r="AI17" i="3"/>
  <c r="AH17" i="3"/>
  <c r="AG17" i="3"/>
  <c r="AM17" i="3" s="1"/>
  <c r="AF17" i="3"/>
  <c r="AK17" i="3" s="1"/>
  <c r="AJ16" i="3"/>
  <c r="AI16" i="3"/>
  <c r="AH16" i="3"/>
  <c r="AG16" i="3"/>
  <c r="AF16" i="3"/>
  <c r="AK16" i="3" s="1"/>
  <c r="AJ15" i="3"/>
  <c r="AI15" i="3"/>
  <c r="AH15" i="3"/>
  <c r="AG15" i="3"/>
  <c r="AF15" i="3"/>
  <c r="AK15" i="3" s="1"/>
  <c r="AJ14" i="3"/>
  <c r="AI14" i="3"/>
  <c r="AH14" i="3"/>
  <c r="AG14" i="3"/>
  <c r="AF14" i="3"/>
  <c r="AK14" i="3" s="1"/>
  <c r="AJ13" i="3"/>
  <c r="AI13" i="3"/>
  <c r="AH13" i="3"/>
  <c r="AG13" i="3"/>
  <c r="AF13" i="3"/>
  <c r="AK13" i="3" s="1"/>
  <c r="AJ12" i="3"/>
  <c r="AI12" i="3"/>
  <c r="AL12" i="3" s="1"/>
  <c r="AH12" i="3"/>
  <c r="AG12" i="3"/>
  <c r="AF12" i="3"/>
  <c r="AK12" i="3" s="1"/>
  <c r="AJ11" i="3"/>
  <c r="AI11" i="3"/>
  <c r="AH11" i="3"/>
  <c r="AG11" i="3"/>
  <c r="AL11" i="3" s="1"/>
  <c r="AF11" i="3"/>
  <c r="AK11" i="3" s="1"/>
  <c r="AJ10" i="3"/>
  <c r="AI10" i="3"/>
  <c r="AH10" i="3"/>
  <c r="AG10" i="3"/>
  <c r="AF10" i="3"/>
  <c r="AK10" i="3" s="1"/>
  <c r="AJ9" i="3"/>
  <c r="AI9" i="3"/>
  <c r="AH9" i="3"/>
  <c r="AG9" i="3"/>
  <c r="AM9" i="3" s="1"/>
  <c r="AF9" i="3"/>
  <c r="AK9" i="3" s="1"/>
  <c r="AJ8" i="3"/>
  <c r="AI8" i="3"/>
  <c r="AH8" i="3"/>
  <c r="AG8" i="3"/>
  <c r="AF8" i="3"/>
  <c r="AK8" i="3" s="1"/>
  <c r="AJ7" i="3"/>
  <c r="AI7" i="3"/>
  <c r="AH7" i="3"/>
  <c r="AG7" i="3"/>
  <c r="AF7" i="3"/>
  <c r="AM7" i="3" s="1"/>
  <c r="AJ6" i="3"/>
  <c r="AI6" i="3"/>
  <c r="AH6" i="3"/>
  <c r="AG6" i="3"/>
  <c r="AF6" i="3"/>
  <c r="AK6" i="3" s="1"/>
  <c r="AJ5" i="3"/>
  <c r="AI5" i="3"/>
  <c r="AH5" i="3"/>
  <c r="AG5" i="3"/>
  <c r="AL5" i="3" s="1"/>
  <c r="AF5" i="3"/>
  <c r="AK5" i="3" s="1"/>
  <c r="AJ4" i="3"/>
  <c r="AI4" i="3"/>
  <c r="AH4" i="3"/>
  <c r="AG4" i="3"/>
  <c r="AF4" i="3"/>
  <c r="AK4" i="3" s="1"/>
  <c r="AJ3" i="3"/>
  <c r="AI3" i="3"/>
  <c r="AI53" i="3" s="1"/>
  <c r="AH3" i="3"/>
  <c r="AG3" i="3"/>
  <c r="AF3" i="3"/>
  <c r="AK3" i="3" s="1"/>
  <c r="AM6" i="3"/>
  <c r="AL18" i="3"/>
  <c r="AL26" i="3"/>
  <c r="AM44" i="3"/>
  <c r="AM51" i="3"/>
  <c r="AM19" i="3"/>
  <c r="AF53" i="3"/>
  <c r="AC52" i="3"/>
  <c r="AA50" i="3"/>
  <c r="AC50" i="3"/>
  <c r="AB48" i="3"/>
  <c r="AC48" i="3"/>
  <c r="AB45" i="3"/>
  <c r="AC45" i="3"/>
  <c r="AC43" i="3"/>
  <c r="AB41" i="3"/>
  <c r="AA41" i="3"/>
  <c r="AB38" i="3"/>
  <c r="AA38" i="3"/>
  <c r="AC38" i="3"/>
  <c r="AC37" i="3"/>
  <c r="AB36" i="3"/>
  <c r="AC36" i="3"/>
  <c r="AC34" i="3"/>
  <c r="AB33" i="3"/>
  <c r="AC33" i="3"/>
  <c r="AC31" i="3"/>
  <c r="AB29" i="3"/>
  <c r="AA29" i="3"/>
  <c r="AC29" i="3"/>
  <c r="AC28" i="3"/>
  <c r="AB26" i="3"/>
  <c r="AA26" i="3"/>
  <c r="AC26" i="3"/>
  <c r="AA24" i="3"/>
  <c r="AC24" i="3"/>
  <c r="AC22" i="3"/>
  <c r="AB21" i="3"/>
  <c r="AC21" i="3"/>
  <c r="AC19" i="3"/>
  <c r="AB17" i="3"/>
  <c r="AA17" i="3"/>
  <c r="AC17" i="3"/>
  <c r="AC16" i="3"/>
  <c r="AB14" i="3"/>
  <c r="AA14" i="3"/>
  <c r="AC14" i="3"/>
  <c r="AB12" i="3"/>
  <c r="AC12" i="3"/>
  <c r="AC10" i="3"/>
  <c r="AB9" i="3"/>
  <c r="AC9" i="3"/>
  <c r="AC7" i="3"/>
  <c r="AB5" i="3"/>
  <c r="AA5" i="3"/>
  <c r="AC5" i="3"/>
  <c r="AC4" i="3"/>
  <c r="AB3" i="3"/>
  <c r="AC3" i="3"/>
  <c r="AF16" i="27"/>
  <c r="AG16" i="27"/>
  <c r="AH16" i="27"/>
  <c r="AI16" i="27"/>
  <c r="AJ16" i="27"/>
  <c r="AF17" i="27"/>
  <c r="AG17" i="27"/>
  <c r="AH17" i="27"/>
  <c r="AI17" i="27"/>
  <c r="AJ17" i="27"/>
  <c r="AF18" i="27"/>
  <c r="AK18" i="27" s="1"/>
  <c r="AG18" i="27"/>
  <c r="AH18" i="27"/>
  <c r="AI18" i="27"/>
  <c r="AJ18" i="27"/>
  <c r="AF19" i="27"/>
  <c r="AG19" i="27"/>
  <c r="AH19" i="27"/>
  <c r="AI19" i="27"/>
  <c r="AJ19" i="27"/>
  <c r="AF20" i="27"/>
  <c r="AG20" i="27"/>
  <c r="AH20" i="27"/>
  <c r="AK20" i="27" s="1"/>
  <c r="AI20" i="27"/>
  <c r="AJ20" i="27"/>
  <c r="AF21" i="27"/>
  <c r="AG21" i="27"/>
  <c r="AH21" i="27"/>
  <c r="AI21" i="27"/>
  <c r="AJ21" i="27"/>
  <c r="AF22" i="27"/>
  <c r="AG22" i="27"/>
  <c r="AH22" i="27"/>
  <c r="AI22" i="27"/>
  <c r="AJ22" i="27"/>
  <c r="AM22" i="27" s="1"/>
  <c r="AF23" i="27"/>
  <c r="AG23" i="27"/>
  <c r="AH23" i="27"/>
  <c r="AI23" i="27"/>
  <c r="AJ23" i="27"/>
  <c r="AF24" i="27"/>
  <c r="AG24" i="27"/>
  <c r="AH24" i="27"/>
  <c r="AI24" i="27"/>
  <c r="AJ24" i="27"/>
  <c r="AF25" i="27"/>
  <c r="AG25" i="27"/>
  <c r="AM25" i="27" s="1"/>
  <c r="AH25" i="27"/>
  <c r="AI25" i="27"/>
  <c r="AJ25" i="27"/>
  <c r="AF26" i="27"/>
  <c r="AG26" i="27"/>
  <c r="AH26" i="27"/>
  <c r="AI26" i="27"/>
  <c r="AJ26" i="27"/>
  <c r="AF27" i="27"/>
  <c r="AG27" i="27"/>
  <c r="AH27" i="27"/>
  <c r="AI27" i="27"/>
  <c r="AI53" i="27" s="1"/>
  <c r="AJ27" i="27"/>
  <c r="AF28" i="27"/>
  <c r="AG28" i="27"/>
  <c r="AH28" i="27"/>
  <c r="AI28" i="27"/>
  <c r="AM28" i="27" s="1"/>
  <c r="AJ28" i="27"/>
  <c r="AF29" i="27"/>
  <c r="AG29" i="27"/>
  <c r="AH29" i="27"/>
  <c r="AI29" i="27"/>
  <c r="AJ29" i="27"/>
  <c r="AK29" i="27" s="1"/>
  <c r="AF30" i="27"/>
  <c r="AK30" i="27" s="1"/>
  <c r="AG30" i="27"/>
  <c r="AH30" i="27"/>
  <c r="AI30" i="27"/>
  <c r="AJ30" i="27"/>
  <c r="AF31" i="27"/>
  <c r="AG31" i="27"/>
  <c r="AH31" i="27"/>
  <c r="AI31" i="27"/>
  <c r="AJ31" i="27"/>
  <c r="AF32" i="27"/>
  <c r="AM32" i="27" s="1"/>
  <c r="AG32" i="27"/>
  <c r="AH32" i="27"/>
  <c r="AK32" i="27" s="1"/>
  <c r="AI32" i="27"/>
  <c r="AJ32" i="27"/>
  <c r="AF33" i="27"/>
  <c r="AG33" i="27"/>
  <c r="AH33" i="27"/>
  <c r="AI33" i="27"/>
  <c r="AJ33" i="27"/>
  <c r="AF34" i="27"/>
  <c r="AG34" i="27"/>
  <c r="AH34" i="27"/>
  <c r="AI34" i="27"/>
  <c r="AJ34" i="27"/>
  <c r="AM34" i="27" s="1"/>
  <c r="AF35" i="27"/>
  <c r="AG35" i="27"/>
  <c r="AH35" i="27"/>
  <c r="AI35" i="27"/>
  <c r="AK35" i="27" s="1"/>
  <c r="AJ35" i="27"/>
  <c r="AF36" i="27"/>
  <c r="AG36" i="27"/>
  <c r="AH36" i="27"/>
  <c r="AI36" i="27"/>
  <c r="AK36" i="27" s="1"/>
  <c r="AJ36" i="27"/>
  <c r="AM36" i="27" s="1"/>
  <c r="AF37" i="27"/>
  <c r="AG37" i="27"/>
  <c r="AM37" i="27" s="1"/>
  <c r="AH37" i="27"/>
  <c r="AI37" i="27"/>
  <c r="AJ37" i="27"/>
  <c r="AF38" i="27"/>
  <c r="AG38" i="27"/>
  <c r="AH38" i="27"/>
  <c r="AI38" i="27"/>
  <c r="AJ38" i="27"/>
  <c r="AF39" i="27"/>
  <c r="AM39" i="27" s="1"/>
  <c r="AG39" i="27"/>
  <c r="AH39" i="27"/>
  <c r="AK39" i="27" s="1"/>
  <c r="AI39" i="27"/>
  <c r="AJ39" i="27"/>
  <c r="AF40" i="27"/>
  <c r="AG40" i="27"/>
  <c r="AH40" i="27"/>
  <c r="AI40" i="27"/>
  <c r="AJ40" i="27"/>
  <c r="AF41" i="27"/>
  <c r="AG41" i="27"/>
  <c r="AH41" i="27"/>
  <c r="AI41" i="27"/>
  <c r="AJ41" i="27"/>
  <c r="AF42" i="27"/>
  <c r="AK42" i="27" s="1"/>
  <c r="AG42" i="27"/>
  <c r="AH42" i="27"/>
  <c r="AI42" i="27"/>
  <c r="AJ42" i="27"/>
  <c r="AF43" i="27"/>
  <c r="AM43" i="27" s="1"/>
  <c r="AG43" i="27"/>
  <c r="AH43" i="27"/>
  <c r="AI43" i="27"/>
  <c r="AJ43" i="27"/>
  <c r="AF44" i="27"/>
  <c r="AM44" i="27" s="1"/>
  <c r="AG44" i="27"/>
  <c r="AH44" i="27"/>
  <c r="AK44" i="27" s="1"/>
  <c r="AI44" i="27"/>
  <c r="AJ44" i="27"/>
  <c r="AF45" i="27"/>
  <c r="AG45" i="27"/>
  <c r="AH45" i="27"/>
  <c r="AK45" i="27" s="1"/>
  <c r="AI45" i="27"/>
  <c r="AJ45" i="27"/>
  <c r="AF46" i="27"/>
  <c r="AG46" i="27"/>
  <c r="AM46" i="27" s="1"/>
  <c r="AH46" i="27"/>
  <c r="AI46" i="27"/>
  <c r="AJ46" i="27"/>
  <c r="AF47" i="27"/>
  <c r="AG47" i="27"/>
  <c r="AH47" i="27"/>
  <c r="AI47" i="27"/>
  <c r="AM47" i="27" s="1"/>
  <c r="AJ47" i="27"/>
  <c r="AF48" i="27"/>
  <c r="AG48" i="27"/>
  <c r="AH48" i="27"/>
  <c r="AI48" i="27"/>
  <c r="AJ48" i="27"/>
  <c r="AF49" i="27"/>
  <c r="AG49" i="27"/>
  <c r="AM49" i="27" s="1"/>
  <c r="AH49" i="27"/>
  <c r="AI49" i="27"/>
  <c r="AJ49" i="27"/>
  <c r="AF50" i="27"/>
  <c r="AK50" i="27" s="1"/>
  <c r="AG50" i="27"/>
  <c r="AH50" i="27"/>
  <c r="AI50" i="27"/>
  <c r="AJ50" i="27"/>
  <c r="AF51" i="27"/>
  <c r="AM51" i="27" s="1"/>
  <c r="AG51" i="27"/>
  <c r="AH51" i="27"/>
  <c r="AI51" i="27"/>
  <c r="AK51" i="27" s="1"/>
  <c r="AJ51" i="27"/>
  <c r="AF52" i="27"/>
  <c r="AG52" i="27"/>
  <c r="AH52" i="27"/>
  <c r="AI52" i="27"/>
  <c r="AM52" i="27" s="1"/>
  <c r="AJ52" i="27"/>
  <c r="AJ15" i="27"/>
  <c r="AI15" i="27"/>
  <c r="AH15" i="27"/>
  <c r="AG15" i="27"/>
  <c r="AF15" i="27"/>
  <c r="AM15" i="27" s="1"/>
  <c r="AK14" i="27"/>
  <c r="AJ14" i="27"/>
  <c r="AI14" i="27"/>
  <c r="AH14" i="27"/>
  <c r="AG14" i="27"/>
  <c r="AF14" i="27"/>
  <c r="AM14" i="27" s="1"/>
  <c r="AJ13" i="27"/>
  <c r="AI13" i="27"/>
  <c r="AH13" i="27"/>
  <c r="AG13" i="27"/>
  <c r="AF13" i="27"/>
  <c r="AM13" i="27" s="1"/>
  <c r="AJ12" i="27"/>
  <c r="AI12" i="27"/>
  <c r="AH12" i="27"/>
  <c r="AG12" i="27"/>
  <c r="AF12" i="27"/>
  <c r="AM12" i="27" s="1"/>
  <c r="AK11" i="27"/>
  <c r="AJ11" i="27"/>
  <c r="AI11" i="27"/>
  <c r="AH11" i="27"/>
  <c r="AG11" i="27"/>
  <c r="AF11" i="27"/>
  <c r="AM11" i="27" s="1"/>
  <c r="AJ10" i="27"/>
  <c r="AI10" i="27"/>
  <c r="AH10" i="27"/>
  <c r="AG10" i="27"/>
  <c r="AF10" i="27"/>
  <c r="AM10" i="27" s="1"/>
  <c r="AJ9" i="27"/>
  <c r="AI9" i="27"/>
  <c r="AH9" i="27"/>
  <c r="AG9" i="27"/>
  <c r="AF9" i="27"/>
  <c r="AM9" i="27" s="1"/>
  <c r="AK8" i="27"/>
  <c r="AJ8" i="27"/>
  <c r="AI8" i="27"/>
  <c r="AH8" i="27"/>
  <c r="AG8" i="27"/>
  <c r="AF8" i="27"/>
  <c r="AM8" i="27" s="1"/>
  <c r="AJ7" i="27"/>
  <c r="AI7" i="27"/>
  <c r="AH7" i="27"/>
  <c r="AG7" i="27"/>
  <c r="AF7" i="27"/>
  <c r="AM7" i="27" s="1"/>
  <c r="AJ6" i="27"/>
  <c r="AI6" i="27"/>
  <c r="AH6" i="27"/>
  <c r="AG6" i="27"/>
  <c r="AF6" i="27"/>
  <c r="AM6" i="27" s="1"/>
  <c r="AK5" i="27"/>
  <c r="AJ5" i="27"/>
  <c r="AI5" i="27"/>
  <c r="AH5" i="27"/>
  <c r="AG5" i="27"/>
  <c r="AF5" i="27"/>
  <c r="AM5" i="27" s="1"/>
  <c r="AJ4" i="27"/>
  <c r="AI4" i="27"/>
  <c r="AH4" i="27"/>
  <c r="AG4" i="27"/>
  <c r="AF4" i="27"/>
  <c r="AM4" i="27" s="1"/>
  <c r="AJ3" i="27"/>
  <c r="AI3" i="27"/>
  <c r="AH3" i="27"/>
  <c r="AG3" i="27"/>
  <c r="AF3" i="27"/>
  <c r="AM3" i="27" s="1"/>
  <c r="AK48" i="27"/>
  <c r="AM48" i="27"/>
  <c r="AK47" i="27"/>
  <c r="AM45" i="27"/>
  <c r="AK41" i="27"/>
  <c r="AM41" i="27"/>
  <c r="AM40" i="27"/>
  <c r="AK38" i="27"/>
  <c r="AM38" i="27"/>
  <c r="AM35" i="27"/>
  <c r="AK33" i="27"/>
  <c r="AM33" i="27"/>
  <c r="AM31" i="27"/>
  <c r="AK26" i="27"/>
  <c r="AM26" i="27"/>
  <c r="AK24" i="27"/>
  <c r="AM24" i="27"/>
  <c r="AK23" i="27"/>
  <c r="AM23" i="27"/>
  <c r="AK21" i="27"/>
  <c r="AM21" i="27"/>
  <c r="AM19" i="27"/>
  <c r="AK17" i="27"/>
  <c r="AM17" i="27"/>
  <c r="AM16" i="27"/>
  <c r="V4" i="27"/>
  <c r="W4" i="27"/>
  <c r="X4" i="27"/>
  <c r="Y4" i="27"/>
  <c r="Z4" i="27"/>
  <c r="V5" i="27"/>
  <c r="W5" i="27"/>
  <c r="X5" i="27"/>
  <c r="Y5" i="27"/>
  <c r="Z5" i="27"/>
  <c r="AB5" i="27" s="1"/>
  <c r="V6" i="27"/>
  <c r="AA6" i="27" s="1"/>
  <c r="W6" i="27"/>
  <c r="X6" i="27"/>
  <c r="Y6" i="27"/>
  <c r="Z6" i="27"/>
  <c r="V7" i="27"/>
  <c r="W7" i="27"/>
  <c r="X7" i="27"/>
  <c r="Y7" i="27"/>
  <c r="Z7" i="27"/>
  <c r="V8" i="27"/>
  <c r="W8" i="27"/>
  <c r="AB8" i="27" s="1"/>
  <c r="X8" i="27"/>
  <c r="AC8" i="27" s="1"/>
  <c r="Y8" i="27"/>
  <c r="Z8" i="27"/>
  <c r="V9" i="27"/>
  <c r="W9" i="27"/>
  <c r="X9" i="27"/>
  <c r="Y9" i="27"/>
  <c r="Z9" i="27"/>
  <c r="V10" i="27"/>
  <c r="W10" i="27"/>
  <c r="X10" i="27"/>
  <c r="Y10" i="27"/>
  <c r="AC10" i="27" s="1"/>
  <c r="Z10" i="27"/>
  <c r="V11" i="27"/>
  <c r="W11" i="27"/>
  <c r="X11" i="27"/>
  <c r="Y11" i="27"/>
  <c r="Z11" i="27"/>
  <c r="V12" i="27"/>
  <c r="W12" i="27"/>
  <c r="X12" i="27"/>
  <c r="Y12" i="27"/>
  <c r="Z12" i="27"/>
  <c r="V13" i="27"/>
  <c r="AC13" i="27" s="1"/>
  <c r="W13" i="27"/>
  <c r="X13" i="27"/>
  <c r="Y13" i="27"/>
  <c r="Z13" i="27"/>
  <c r="V14" i="27"/>
  <c r="W14" i="27"/>
  <c r="X14" i="27"/>
  <c r="Y14" i="27"/>
  <c r="Z14" i="27"/>
  <c r="V15" i="27"/>
  <c r="W15" i="27"/>
  <c r="X15" i="27"/>
  <c r="AA15" i="27" s="1"/>
  <c r="Y15" i="27"/>
  <c r="Z15" i="27"/>
  <c r="V16" i="27"/>
  <c r="W16" i="27"/>
  <c r="X16" i="27"/>
  <c r="Y16" i="27"/>
  <c r="Z16" i="27"/>
  <c r="V17" i="27"/>
  <c r="W17" i="27"/>
  <c r="X17" i="27"/>
  <c r="Y17" i="27"/>
  <c r="Z17" i="27"/>
  <c r="AB17" i="27" s="1"/>
  <c r="V18" i="27"/>
  <c r="AA18" i="27" s="1"/>
  <c r="W18" i="27"/>
  <c r="X18" i="27"/>
  <c r="Y18" i="27"/>
  <c r="Z18" i="27"/>
  <c r="V19" i="27"/>
  <c r="W19" i="27"/>
  <c r="X19" i="27"/>
  <c r="Y19" i="27"/>
  <c r="Z19" i="27"/>
  <c r="V20" i="27"/>
  <c r="AC20" i="27" s="1"/>
  <c r="W20" i="27"/>
  <c r="AB20" i="27" s="1"/>
  <c r="X20" i="27"/>
  <c r="Y20" i="27"/>
  <c r="Z20" i="27"/>
  <c r="V21" i="27"/>
  <c r="W21" i="27"/>
  <c r="X21" i="27"/>
  <c r="Y21" i="27"/>
  <c r="Z21" i="27"/>
  <c r="V22" i="27"/>
  <c r="W22" i="27"/>
  <c r="X22" i="27"/>
  <c r="Y22" i="27"/>
  <c r="AC22" i="27" s="1"/>
  <c r="Z22" i="27"/>
  <c r="V23" i="27"/>
  <c r="W23" i="27"/>
  <c r="X23" i="27"/>
  <c r="Y23" i="27"/>
  <c r="Z23" i="27"/>
  <c r="V24" i="27"/>
  <c r="W24" i="27"/>
  <c r="X24" i="27"/>
  <c r="Y24" i="27"/>
  <c r="Z24" i="27"/>
  <c r="V25" i="27"/>
  <c r="AC25" i="27" s="1"/>
  <c r="W25" i="27"/>
  <c r="X25" i="27"/>
  <c r="Y25" i="27"/>
  <c r="Z25" i="27"/>
  <c r="V26" i="27"/>
  <c r="W26" i="27"/>
  <c r="X26" i="27"/>
  <c r="Y26" i="27"/>
  <c r="Z26" i="27"/>
  <c r="V27" i="27"/>
  <c r="W27" i="27"/>
  <c r="X27" i="27"/>
  <c r="AA27" i="27" s="1"/>
  <c r="Y27" i="27"/>
  <c r="AB27" i="27" s="1"/>
  <c r="Z27" i="27"/>
  <c r="V28" i="27"/>
  <c r="W28" i="27"/>
  <c r="X28" i="27"/>
  <c r="Y28" i="27"/>
  <c r="Z28" i="27"/>
  <c r="V29" i="27"/>
  <c r="W29" i="27"/>
  <c r="X29" i="27"/>
  <c r="Y29" i="27"/>
  <c r="AB29" i="27" s="1"/>
  <c r="Z29" i="27"/>
  <c r="AA29" i="27" s="1"/>
  <c r="V30" i="27"/>
  <c r="AC30" i="27" s="1"/>
  <c r="W30" i="27"/>
  <c r="X30" i="27"/>
  <c r="Y30" i="27"/>
  <c r="Z30" i="27"/>
  <c r="V31" i="27"/>
  <c r="W31" i="27"/>
  <c r="X31" i="27"/>
  <c r="Y31" i="27"/>
  <c r="Z31" i="27"/>
  <c r="V32" i="27"/>
  <c r="AB32" i="27" s="1"/>
  <c r="W32" i="27"/>
  <c r="AA32" i="27" s="1"/>
  <c r="X32" i="27"/>
  <c r="Y32" i="27"/>
  <c r="Z32" i="27"/>
  <c r="V33" i="27"/>
  <c r="W33" i="27"/>
  <c r="X33" i="27"/>
  <c r="Y33" i="27"/>
  <c r="Z33" i="27"/>
  <c r="V34" i="27"/>
  <c r="W34" i="27"/>
  <c r="X34" i="27"/>
  <c r="AC34" i="27" s="1"/>
  <c r="Y34" i="27"/>
  <c r="Z34" i="27"/>
  <c r="V35" i="27"/>
  <c r="W35" i="27"/>
  <c r="X35" i="27"/>
  <c r="Y35" i="27"/>
  <c r="Z35" i="27"/>
  <c r="V36" i="27"/>
  <c r="W36" i="27"/>
  <c r="X36" i="27"/>
  <c r="Y36" i="27"/>
  <c r="Z36" i="27"/>
  <c r="V37" i="27"/>
  <c r="AC37" i="27" s="1"/>
  <c r="W37" i="27"/>
  <c r="X37" i="27"/>
  <c r="Y37" i="27"/>
  <c r="Z37" i="27"/>
  <c r="V38" i="27"/>
  <c r="W38" i="27"/>
  <c r="X38" i="27"/>
  <c r="Y38" i="27"/>
  <c r="Z38" i="27"/>
  <c r="V39" i="27"/>
  <c r="W39" i="27"/>
  <c r="AC39" i="27" s="1"/>
  <c r="X39" i="27"/>
  <c r="Y39" i="27"/>
  <c r="Z39" i="27"/>
  <c r="V40" i="27"/>
  <c r="W40" i="27"/>
  <c r="X40" i="27"/>
  <c r="Y40" i="27"/>
  <c r="Z40" i="27"/>
  <c r="V41" i="27"/>
  <c r="W41" i="27"/>
  <c r="X41" i="27"/>
  <c r="Y41" i="27"/>
  <c r="AB41" i="27" s="1"/>
  <c r="Z41" i="27"/>
  <c r="AA41" i="27" s="1"/>
  <c r="V42" i="27"/>
  <c r="AA42" i="27" s="1"/>
  <c r="W42" i="27"/>
  <c r="X42" i="27"/>
  <c r="Y42" i="27"/>
  <c r="Z42" i="27"/>
  <c r="V43" i="27"/>
  <c r="W43" i="27"/>
  <c r="X43" i="27"/>
  <c r="Y43" i="27"/>
  <c r="Z43" i="27"/>
  <c r="V44" i="27"/>
  <c r="AC44" i="27" s="1"/>
  <c r="W44" i="27"/>
  <c r="X44" i="27"/>
  <c r="Y44" i="27"/>
  <c r="Z44" i="27"/>
  <c r="V45" i="27"/>
  <c r="W45" i="27"/>
  <c r="X45" i="27"/>
  <c r="Y45" i="27"/>
  <c r="Z45" i="27"/>
  <c r="V46" i="27"/>
  <c r="W46" i="27"/>
  <c r="AC46" i="27" s="1"/>
  <c r="X46" i="27"/>
  <c r="AB46" i="27" s="1"/>
  <c r="Y46" i="27"/>
  <c r="Z46" i="27"/>
  <c r="V47" i="27"/>
  <c r="W47" i="27"/>
  <c r="X47" i="27"/>
  <c r="Y47" i="27"/>
  <c r="Z47" i="27"/>
  <c r="V48" i="27"/>
  <c r="W48" i="27"/>
  <c r="X48" i="27"/>
  <c r="Y48" i="27"/>
  <c r="AA48" i="27" s="1"/>
  <c r="Z48" i="27"/>
  <c r="V49" i="27"/>
  <c r="AB49" i="27" s="1"/>
  <c r="W49" i="27"/>
  <c r="X49" i="27"/>
  <c r="Y49" i="27"/>
  <c r="Z49" i="27"/>
  <c r="V50" i="27"/>
  <c r="W50" i="27"/>
  <c r="X50" i="27"/>
  <c r="Y50" i="27"/>
  <c r="Z50" i="27"/>
  <c r="V51" i="27"/>
  <c r="AA51" i="27" s="1"/>
  <c r="W51" i="27"/>
  <c r="AB51" i="27" s="1"/>
  <c r="X51" i="27"/>
  <c r="Y51" i="27"/>
  <c r="Z51" i="27"/>
  <c r="V52" i="27"/>
  <c r="AC52" i="27" s="1"/>
  <c r="W52" i="27"/>
  <c r="X52" i="27"/>
  <c r="Y52" i="27"/>
  <c r="Z52" i="27"/>
  <c r="Z3" i="27"/>
  <c r="Y3" i="27"/>
  <c r="X3" i="27"/>
  <c r="W3" i="27"/>
  <c r="V3" i="27"/>
  <c r="AB52" i="27"/>
  <c r="AC50" i="27"/>
  <c r="AB50" i="27"/>
  <c r="AA50" i="27"/>
  <c r="AA47" i="27"/>
  <c r="AC47" i="27"/>
  <c r="AA45" i="27"/>
  <c r="AC45" i="27"/>
  <c r="AB45" i="27"/>
  <c r="AC43" i="27"/>
  <c r="AB43" i="27"/>
  <c r="AC40" i="27"/>
  <c r="AB40" i="27"/>
  <c r="AB38" i="27"/>
  <c r="AA38" i="27"/>
  <c r="AC38" i="27"/>
  <c r="AA36" i="27"/>
  <c r="AC36" i="27"/>
  <c r="AB36" i="27"/>
  <c r="AB35" i="27"/>
  <c r="AA35" i="27"/>
  <c r="AC35" i="27"/>
  <c r="AA33" i="27"/>
  <c r="AC33" i="27"/>
  <c r="AB33" i="27"/>
  <c r="AC31" i="27"/>
  <c r="AB31" i="27"/>
  <c r="AC28" i="27"/>
  <c r="AB28" i="27"/>
  <c r="AB26" i="27"/>
  <c r="AA26" i="27"/>
  <c r="AC26" i="27"/>
  <c r="AA24" i="27"/>
  <c r="AC24" i="27"/>
  <c r="AB24" i="27"/>
  <c r="AA23" i="27"/>
  <c r="AA21" i="27"/>
  <c r="AC21" i="27"/>
  <c r="AB21" i="27"/>
  <c r="AC19" i="27"/>
  <c r="AB19" i="27"/>
  <c r="AA17" i="27"/>
  <c r="AC17" i="27"/>
  <c r="AC16" i="27"/>
  <c r="AB16" i="27"/>
  <c r="AB14" i="27"/>
  <c r="AA14" i="27"/>
  <c r="AC14" i="27"/>
  <c r="AA12" i="27"/>
  <c r="AC12" i="27"/>
  <c r="AB12" i="27"/>
  <c r="AB11" i="27"/>
  <c r="AA11" i="27"/>
  <c r="AC11" i="27"/>
  <c r="AA9" i="27"/>
  <c r="AC9" i="27"/>
  <c r="AB9" i="27"/>
  <c r="AC7" i="27"/>
  <c r="AB7" i="27"/>
  <c r="AB4" i="27"/>
  <c r="AC3" i="27"/>
  <c r="AB3" i="27"/>
  <c r="AF10" i="28"/>
  <c r="AG10" i="28"/>
  <c r="AH10" i="28"/>
  <c r="AH53" i="28" s="1"/>
  <c r="AI10" i="28"/>
  <c r="AJ10" i="28"/>
  <c r="AF11" i="28"/>
  <c r="AG11" i="28"/>
  <c r="AH11" i="28"/>
  <c r="AI11" i="28"/>
  <c r="AM11" i="28" s="1"/>
  <c r="AJ11" i="28"/>
  <c r="AL11" i="28" s="1"/>
  <c r="AF12" i="28"/>
  <c r="AK12" i="28" s="1"/>
  <c r="AG12" i="28"/>
  <c r="AH12" i="28"/>
  <c r="AI12" i="28"/>
  <c r="AJ12" i="28"/>
  <c r="AF13" i="28"/>
  <c r="AG13" i="28"/>
  <c r="AH13" i="28"/>
  <c r="AI13" i="28"/>
  <c r="AJ13" i="28"/>
  <c r="AF14" i="28"/>
  <c r="AM14" i="28" s="1"/>
  <c r="AG14" i="28"/>
  <c r="AL14" i="28" s="1"/>
  <c r="AH14" i="28"/>
  <c r="AI14" i="28"/>
  <c r="AJ14" i="28"/>
  <c r="AF15" i="28"/>
  <c r="AG15" i="28"/>
  <c r="AM15" i="28" s="1"/>
  <c r="AH15" i="28"/>
  <c r="AI15" i="28"/>
  <c r="AJ15" i="28"/>
  <c r="AF16" i="28"/>
  <c r="AG16" i="28"/>
  <c r="AH16" i="28"/>
  <c r="AI16" i="28"/>
  <c r="AM16" i="28" s="1"/>
  <c r="AJ16" i="28"/>
  <c r="AF17" i="28"/>
  <c r="AG17" i="28"/>
  <c r="AH17" i="28"/>
  <c r="AI17" i="28"/>
  <c r="AM17" i="28" s="1"/>
  <c r="AJ17" i="28"/>
  <c r="AL17" i="28" s="1"/>
  <c r="AF18" i="28"/>
  <c r="AG18" i="28"/>
  <c r="AH18" i="28"/>
  <c r="AI18" i="28"/>
  <c r="AJ18" i="28"/>
  <c r="AK18" i="28" s="1"/>
  <c r="AF19" i="28"/>
  <c r="AM19" i="28" s="1"/>
  <c r="AG19" i="28"/>
  <c r="AH19" i="28"/>
  <c r="AI19" i="28"/>
  <c r="AJ19" i="28"/>
  <c r="AF20" i="28"/>
  <c r="AM20" i="28" s="1"/>
  <c r="AG20" i="28"/>
  <c r="AL20" i="28" s="1"/>
  <c r="AH20" i="28"/>
  <c r="AI20" i="28"/>
  <c r="AJ20" i="28"/>
  <c r="AF21" i="28"/>
  <c r="AG21" i="28"/>
  <c r="AM21" i="28" s="1"/>
  <c r="AH21" i="28"/>
  <c r="AI21" i="28"/>
  <c r="AK21" i="28" s="1"/>
  <c r="AJ21" i="28"/>
  <c r="AF22" i="28"/>
  <c r="AG22" i="28"/>
  <c r="AH22" i="28"/>
  <c r="AI22" i="28"/>
  <c r="AJ22" i="28"/>
  <c r="AF23" i="28"/>
  <c r="AG23" i="28"/>
  <c r="AH23" i="28"/>
  <c r="AI23" i="28"/>
  <c r="AM23" i="28" s="1"/>
  <c r="AJ23" i="28"/>
  <c r="AL23" i="28" s="1"/>
  <c r="AF24" i="28"/>
  <c r="AK24" i="28" s="1"/>
  <c r="AG24" i="28"/>
  <c r="AH24" i="28"/>
  <c r="AI24" i="28"/>
  <c r="AJ24" i="28"/>
  <c r="AF25" i="28"/>
  <c r="AG25" i="28"/>
  <c r="AH25" i="28"/>
  <c r="AI25" i="28"/>
  <c r="AJ25" i="28"/>
  <c r="AF26" i="28"/>
  <c r="AM26" i="28" s="1"/>
  <c r="AG26" i="28"/>
  <c r="AL26" i="28" s="1"/>
  <c r="AH26" i="28"/>
  <c r="AI26" i="28"/>
  <c r="AJ26" i="28"/>
  <c r="AF27" i="28"/>
  <c r="AG27" i="28"/>
  <c r="AM27" i="28" s="1"/>
  <c r="AH27" i="28"/>
  <c r="AI27" i="28"/>
  <c r="AJ27" i="28"/>
  <c r="AF28" i="28"/>
  <c r="AG28" i="28"/>
  <c r="AH28" i="28"/>
  <c r="AI28" i="28"/>
  <c r="AJ28" i="28"/>
  <c r="AM28" i="28" s="1"/>
  <c r="AF29" i="28"/>
  <c r="AM29" i="28" s="1"/>
  <c r="AG29" i="28"/>
  <c r="AH29" i="28"/>
  <c r="AI29" i="28"/>
  <c r="AK29" i="28" s="1"/>
  <c r="AJ29" i="28"/>
  <c r="AL29" i="28" s="1"/>
  <c r="AF30" i="28"/>
  <c r="AG30" i="28"/>
  <c r="AH30" i="28"/>
  <c r="AI30" i="28"/>
  <c r="AJ30" i="28"/>
  <c r="AK30" i="28" s="1"/>
  <c r="AF31" i="28"/>
  <c r="AG31" i="28"/>
  <c r="AM31" i="28" s="1"/>
  <c r="AH31" i="28"/>
  <c r="AI31" i="28"/>
  <c r="AJ31" i="28"/>
  <c r="AF32" i="28"/>
  <c r="AM32" i="28" s="1"/>
  <c r="AG32" i="28"/>
  <c r="AL32" i="28" s="1"/>
  <c r="AH32" i="28"/>
  <c r="AI32" i="28"/>
  <c r="AJ32" i="28"/>
  <c r="AF33" i="28"/>
  <c r="AG33" i="28"/>
  <c r="AM33" i="28" s="1"/>
  <c r="AH33" i="28"/>
  <c r="AI33" i="28"/>
  <c r="AJ33" i="28"/>
  <c r="AF34" i="28"/>
  <c r="AG34" i="28"/>
  <c r="AH34" i="28"/>
  <c r="AI34" i="28"/>
  <c r="AJ34" i="28"/>
  <c r="AF35" i="28"/>
  <c r="AG35" i="28"/>
  <c r="AH35" i="28"/>
  <c r="AM35" i="28" s="1"/>
  <c r="AI35" i="28"/>
  <c r="AK35" i="28" s="1"/>
  <c r="AJ35" i="28"/>
  <c r="AL35" i="28" s="1"/>
  <c r="AF36" i="28"/>
  <c r="AK36" i="28" s="1"/>
  <c r="AG36" i="28"/>
  <c r="AH36" i="28"/>
  <c r="AI36" i="28"/>
  <c r="AJ36" i="28"/>
  <c r="AF37" i="28"/>
  <c r="AG37" i="28"/>
  <c r="AH37" i="28"/>
  <c r="AI37" i="28"/>
  <c r="AJ37" i="28"/>
  <c r="AF38" i="28"/>
  <c r="AK38" i="28" s="1"/>
  <c r="AG38" i="28"/>
  <c r="AM38" i="28" s="1"/>
  <c r="AH38" i="28"/>
  <c r="AI38" i="28"/>
  <c r="AJ38" i="28"/>
  <c r="AF39" i="28"/>
  <c r="AM39" i="28" s="1"/>
  <c r="AG39" i="28"/>
  <c r="AK39" i="28" s="1"/>
  <c r="AH39" i="28"/>
  <c r="AI39" i="28"/>
  <c r="AJ39" i="28"/>
  <c r="AF40" i="28"/>
  <c r="AG40" i="28"/>
  <c r="AH40" i="28"/>
  <c r="AI40" i="28"/>
  <c r="AJ40" i="28"/>
  <c r="AF41" i="28"/>
  <c r="AG41" i="28"/>
  <c r="AH41" i="28"/>
  <c r="AI41" i="28"/>
  <c r="AK41" i="28" s="1"/>
  <c r="AJ41" i="28"/>
  <c r="AM41" i="28" s="1"/>
  <c r="AF42" i="28"/>
  <c r="AG42" i="28"/>
  <c r="AH42" i="28"/>
  <c r="AI42" i="28"/>
  <c r="AK42" i="28" s="1"/>
  <c r="AJ42" i="28"/>
  <c r="AF43" i="28"/>
  <c r="AM43" i="28" s="1"/>
  <c r="AG43" i="28"/>
  <c r="AH43" i="28"/>
  <c r="AI43" i="28"/>
  <c r="AJ43" i="28"/>
  <c r="AF44" i="28"/>
  <c r="AK44" i="28" s="1"/>
  <c r="AG44" i="28"/>
  <c r="AM44" i="28" s="1"/>
  <c r="AH44" i="28"/>
  <c r="AI44" i="28"/>
  <c r="AJ44" i="28"/>
  <c r="AF45" i="28"/>
  <c r="AM45" i="28" s="1"/>
  <c r="AG45" i="28"/>
  <c r="AK45" i="28" s="1"/>
  <c r="AH45" i="28"/>
  <c r="AI45" i="28"/>
  <c r="AJ45" i="28"/>
  <c r="AF46" i="28"/>
  <c r="AG46" i="28"/>
  <c r="AH46" i="28"/>
  <c r="AI46" i="28"/>
  <c r="AJ46" i="28"/>
  <c r="AF47" i="28"/>
  <c r="AG47" i="28"/>
  <c r="AH47" i="28"/>
  <c r="AI47" i="28"/>
  <c r="AK47" i="28" s="1"/>
  <c r="AJ47" i="28"/>
  <c r="AM47" i="28" s="1"/>
  <c r="AF48" i="28"/>
  <c r="AK48" i="28" s="1"/>
  <c r="AG48" i="28"/>
  <c r="AH48" i="28"/>
  <c r="AI48" i="28"/>
  <c r="AJ48" i="28"/>
  <c r="AF49" i="28"/>
  <c r="AM49" i="28" s="1"/>
  <c r="AG49" i="28"/>
  <c r="AH49" i="28"/>
  <c r="AI49" i="28"/>
  <c r="AJ49" i="28"/>
  <c r="AF50" i="28"/>
  <c r="AK50" i="28" s="1"/>
  <c r="AG50" i="28"/>
  <c r="AM50" i="28" s="1"/>
  <c r="AH50" i="28"/>
  <c r="AL50" i="28" s="1"/>
  <c r="AI50" i="28"/>
  <c r="AJ50" i="28"/>
  <c r="AF51" i="28"/>
  <c r="AM51" i="28" s="1"/>
  <c r="AG51" i="28"/>
  <c r="AK51" i="28" s="1"/>
  <c r="AH51" i="28"/>
  <c r="AI51" i="28"/>
  <c r="AJ51" i="28"/>
  <c r="AF52" i="28"/>
  <c r="AG52" i="28"/>
  <c r="AH52" i="28"/>
  <c r="AI52" i="28"/>
  <c r="AJ52" i="28"/>
  <c r="AG3" i="28"/>
  <c r="AH3" i="28"/>
  <c r="AI3" i="28"/>
  <c r="AM3" i="28" s="1"/>
  <c r="AJ3" i="28"/>
  <c r="AK3" i="28" s="1"/>
  <c r="AG4" i="28"/>
  <c r="AH4" i="28"/>
  <c r="AI4" i="28"/>
  <c r="AJ4" i="28"/>
  <c r="AG5" i="28"/>
  <c r="AM5" i="28" s="1"/>
  <c r="AH5" i="28"/>
  <c r="AI5" i="28"/>
  <c r="AJ5" i="28"/>
  <c r="AG6" i="28"/>
  <c r="AH6" i="28"/>
  <c r="AI6" i="28"/>
  <c r="AM6" i="28" s="1"/>
  <c r="AJ6" i="28"/>
  <c r="AG7" i="28"/>
  <c r="AH7" i="28"/>
  <c r="AI7" i="28"/>
  <c r="AJ7" i="28"/>
  <c r="AG8" i="28"/>
  <c r="AM8" i="28" s="1"/>
  <c r="AH8" i="28"/>
  <c r="AI8" i="28"/>
  <c r="AJ8" i="28"/>
  <c r="AG9" i="28"/>
  <c r="AH9" i="28"/>
  <c r="AI9" i="28"/>
  <c r="AJ9" i="28"/>
  <c r="AM9" i="28" s="1"/>
  <c r="AF9" i="28"/>
  <c r="AF8" i="28"/>
  <c r="AF7" i="28"/>
  <c r="AF6" i="28"/>
  <c r="AF5" i="28"/>
  <c r="AF4" i="28"/>
  <c r="AM4" i="28" s="1"/>
  <c r="AF3" i="28"/>
  <c r="AM52" i="28"/>
  <c r="AL47" i="28"/>
  <c r="AM46" i="28"/>
  <c r="AL44" i="28"/>
  <c r="AL41" i="28"/>
  <c r="AM40" i="28"/>
  <c r="AM37" i="28"/>
  <c r="AM34" i="28"/>
  <c r="AK33" i="28"/>
  <c r="AK27" i="28"/>
  <c r="AM25" i="28"/>
  <c r="AM22" i="28"/>
  <c r="AK15" i="28"/>
  <c r="AM13" i="28"/>
  <c r="AM10" i="28"/>
  <c r="AK9" i="28"/>
  <c r="AM7" i="28"/>
  <c r="AK6" i="28"/>
  <c r="V55" i="28"/>
  <c r="Z55" i="28"/>
  <c r="Y55" i="28"/>
  <c r="X55" i="28"/>
  <c r="W55" i="28"/>
  <c r="V4" i="28"/>
  <c r="W4" i="28"/>
  <c r="X4" i="28"/>
  <c r="AC4" i="28" s="1"/>
  <c r="Y4" i="28"/>
  <c r="Z4" i="28"/>
  <c r="V5" i="28"/>
  <c r="W5" i="28"/>
  <c r="X5" i="28"/>
  <c r="Y5" i="28"/>
  <c r="AC5" i="28" s="1"/>
  <c r="Z5" i="28"/>
  <c r="Z53" i="28" s="1"/>
  <c r="V6" i="28"/>
  <c r="AC6" i="28" s="1"/>
  <c r="W6" i="28"/>
  <c r="X6" i="28"/>
  <c r="Y6" i="28"/>
  <c r="Z6" i="28"/>
  <c r="V7" i="28"/>
  <c r="AC7" i="28" s="1"/>
  <c r="W7" i="28"/>
  <c r="X7" i="28"/>
  <c r="Y7" i="28"/>
  <c r="Z7" i="28"/>
  <c r="V8" i="28"/>
  <c r="W8" i="28"/>
  <c r="W53" i="28" s="1"/>
  <c r="X8" i="28"/>
  <c r="AA8" i="28" s="1"/>
  <c r="Y8" i="28"/>
  <c r="Z8" i="28"/>
  <c r="V9" i="28"/>
  <c r="W9" i="28"/>
  <c r="AC9" i="28" s="1"/>
  <c r="X9" i="28"/>
  <c r="AA9" i="28" s="1"/>
  <c r="Y9" i="28"/>
  <c r="Z9" i="28"/>
  <c r="V10" i="28"/>
  <c r="W10" i="28"/>
  <c r="X10" i="28"/>
  <c r="AC10" i="28" s="1"/>
  <c r="Y10" i="28"/>
  <c r="Y53" i="28" s="1"/>
  <c r="Z10" i="28"/>
  <c r="V11" i="28"/>
  <c r="W11" i="28"/>
  <c r="X11" i="28"/>
  <c r="Y11" i="28"/>
  <c r="AC11" i="28" s="1"/>
  <c r="Z11" i="28"/>
  <c r="V12" i="28"/>
  <c r="W12" i="28"/>
  <c r="X12" i="28"/>
  <c r="Y12" i="28"/>
  <c r="Z12" i="28"/>
  <c r="AC12" i="28" s="1"/>
  <c r="V13" i="28"/>
  <c r="AC13" i="28" s="1"/>
  <c r="W13" i="28"/>
  <c r="X13" i="28"/>
  <c r="Y13" i="28"/>
  <c r="Z13" i="28"/>
  <c r="V14" i="28"/>
  <c r="W14" i="28"/>
  <c r="X14" i="28"/>
  <c r="Y14" i="28"/>
  <c r="Z14" i="28"/>
  <c r="V15" i="28"/>
  <c r="W15" i="28"/>
  <c r="AC15" i="28" s="1"/>
  <c r="X15" i="28"/>
  <c r="AA15" i="28" s="1"/>
  <c r="Y15" i="28"/>
  <c r="Z15" i="28"/>
  <c r="V16" i="28"/>
  <c r="W16" i="28"/>
  <c r="X16" i="28"/>
  <c r="AC16" i="28" s="1"/>
  <c r="Y16" i="28"/>
  <c r="Z16" i="28"/>
  <c r="V17" i="28"/>
  <c r="W17" i="28"/>
  <c r="X17" i="28"/>
  <c r="Y17" i="28"/>
  <c r="AC17" i="28" s="1"/>
  <c r="Z17" i="28"/>
  <c r="V18" i="28"/>
  <c r="AC18" i="28" s="1"/>
  <c r="W18" i="28"/>
  <c r="X18" i="28"/>
  <c r="Y18" i="28"/>
  <c r="Z18" i="28"/>
  <c r="V19" i="28"/>
  <c r="AC19" i="28" s="1"/>
  <c r="W19" i="28"/>
  <c r="X19" i="28"/>
  <c r="Y19" i="28"/>
  <c r="Z19" i="28"/>
  <c r="V20" i="28"/>
  <c r="W20" i="28"/>
  <c r="X20" i="28"/>
  <c r="X53" i="28" s="1"/>
  <c r="Y20" i="28"/>
  <c r="Z20" i="28"/>
  <c r="V21" i="28"/>
  <c r="W21" i="28"/>
  <c r="AC21" i="28" s="1"/>
  <c r="X21" i="28"/>
  <c r="AA21" i="28" s="1"/>
  <c r="Y21" i="28"/>
  <c r="Z21" i="28"/>
  <c r="V22" i="28"/>
  <c r="W22" i="28"/>
  <c r="X22" i="28"/>
  <c r="AC22" i="28" s="1"/>
  <c r="Y22" i="28"/>
  <c r="Z22" i="28"/>
  <c r="V23" i="28"/>
  <c r="W23" i="28"/>
  <c r="X23" i="28"/>
  <c r="Y23" i="28"/>
  <c r="AC23" i="28" s="1"/>
  <c r="Z23" i="28"/>
  <c r="V24" i="28"/>
  <c r="W24" i="28"/>
  <c r="X24" i="28"/>
  <c r="Y24" i="28"/>
  <c r="Z24" i="28"/>
  <c r="AC24" i="28" s="1"/>
  <c r="V25" i="28"/>
  <c r="AC25" i="28" s="1"/>
  <c r="W25" i="28"/>
  <c r="X25" i="28"/>
  <c r="Y25" i="28"/>
  <c r="Z25" i="28"/>
  <c r="V26" i="28"/>
  <c r="W26" i="28"/>
  <c r="X26" i="28"/>
  <c r="Y26" i="28"/>
  <c r="Z26" i="28"/>
  <c r="V27" i="28"/>
  <c r="W27" i="28"/>
  <c r="AB27" i="28" s="1"/>
  <c r="X27" i="28"/>
  <c r="AC27" i="28" s="1"/>
  <c r="Y27" i="28"/>
  <c r="Z27" i="28"/>
  <c r="V28" i="28"/>
  <c r="W28" i="28"/>
  <c r="X28" i="28"/>
  <c r="AC28" i="28" s="1"/>
  <c r="Y28" i="28"/>
  <c r="Z28" i="28"/>
  <c r="V29" i="28"/>
  <c r="W29" i="28"/>
  <c r="X29" i="28"/>
  <c r="Y29" i="28"/>
  <c r="AB29" i="28" s="1"/>
  <c r="Z29" i="28"/>
  <c r="V30" i="28"/>
  <c r="AC30" i="28" s="1"/>
  <c r="W30" i="28"/>
  <c r="X30" i="28"/>
  <c r="Y30" i="28"/>
  <c r="Z30" i="28"/>
  <c r="V31" i="28"/>
  <c r="AB31" i="28" s="1"/>
  <c r="W31" i="28"/>
  <c r="X31" i="28"/>
  <c r="Y31" i="28"/>
  <c r="Z31" i="28"/>
  <c r="V32" i="28"/>
  <c r="W32" i="28"/>
  <c r="X32" i="28"/>
  <c r="Y32" i="28"/>
  <c r="Z32" i="28"/>
  <c r="V33" i="28"/>
  <c r="W33" i="28"/>
  <c r="AC33" i="28" s="1"/>
  <c r="X33" i="28"/>
  <c r="AB33" i="28" s="1"/>
  <c r="Y33" i="28"/>
  <c r="Z33" i="28"/>
  <c r="V34" i="28"/>
  <c r="W34" i="28"/>
  <c r="X34" i="28"/>
  <c r="AC34" i="28" s="1"/>
  <c r="Y34" i="28"/>
  <c r="Z34" i="28"/>
  <c r="V35" i="28"/>
  <c r="AB35" i="28" s="1"/>
  <c r="W35" i="28"/>
  <c r="X35" i="28"/>
  <c r="Y35" i="28"/>
  <c r="AA35" i="28" s="1"/>
  <c r="Z35" i="28"/>
  <c r="V36" i="28"/>
  <c r="W36" i="28"/>
  <c r="X36" i="28"/>
  <c r="Y36" i="28"/>
  <c r="Z36" i="28"/>
  <c r="V37" i="28"/>
  <c r="AB37" i="28" s="1"/>
  <c r="W37" i="28"/>
  <c r="X37" i="28"/>
  <c r="Y37" i="28"/>
  <c r="Z37" i="28"/>
  <c r="V38" i="28"/>
  <c r="W38" i="28"/>
  <c r="X38" i="28"/>
  <c r="Y38" i="28"/>
  <c r="Z38" i="28"/>
  <c r="V39" i="28"/>
  <c r="W39" i="28"/>
  <c r="X39" i="28"/>
  <c r="AC39" i="28" s="1"/>
  <c r="Y39" i="28"/>
  <c r="AB39" i="28" s="1"/>
  <c r="Z39" i="28"/>
  <c r="V40" i="28"/>
  <c r="W40" i="28"/>
  <c r="X40" i="28"/>
  <c r="AA40" i="28" s="1"/>
  <c r="Y40" i="28"/>
  <c r="Z40" i="28"/>
  <c r="V41" i="28"/>
  <c r="W41" i="28"/>
  <c r="X41" i="28"/>
  <c r="Y41" i="28"/>
  <c r="AB41" i="28" s="1"/>
  <c r="Z41" i="28"/>
  <c r="V42" i="28"/>
  <c r="AC42" i="28" s="1"/>
  <c r="W42" i="28"/>
  <c r="X42" i="28"/>
  <c r="Y42" i="28"/>
  <c r="Z42" i="28"/>
  <c r="V43" i="28"/>
  <c r="AC43" i="28" s="1"/>
  <c r="W43" i="28"/>
  <c r="X43" i="28"/>
  <c r="Y43" i="28"/>
  <c r="Z43" i="28"/>
  <c r="V44" i="28"/>
  <c r="AC44" i="28" s="1"/>
  <c r="W44" i="28"/>
  <c r="X44" i="28"/>
  <c r="Y44" i="28"/>
  <c r="Z44" i="28"/>
  <c r="V45" i="28"/>
  <c r="W45" i="28"/>
  <c r="X45" i="28"/>
  <c r="Y45" i="28"/>
  <c r="Z45" i="28"/>
  <c r="V46" i="28"/>
  <c r="W46" i="28"/>
  <c r="X46" i="28"/>
  <c r="Y46" i="28"/>
  <c r="Z46" i="28"/>
  <c r="AC46" i="28" s="1"/>
  <c r="V47" i="28"/>
  <c r="AC47" i="28" s="1"/>
  <c r="W47" i="28"/>
  <c r="X47" i="28"/>
  <c r="Y47" i="28"/>
  <c r="Z47" i="28"/>
  <c r="AA47" i="28" s="1"/>
  <c r="V48" i="28"/>
  <c r="W48" i="28"/>
  <c r="X48" i="28"/>
  <c r="Y48" i="28"/>
  <c r="Z48" i="28"/>
  <c r="AC48" i="28" s="1"/>
  <c r="V49" i="28"/>
  <c r="AA49" i="28" s="1"/>
  <c r="W49" i="28"/>
  <c r="AB49" i="28" s="1"/>
  <c r="X49" i="28"/>
  <c r="Y49" i="28"/>
  <c r="Z49" i="28"/>
  <c r="V50" i="28"/>
  <c r="AA50" i="28" s="1"/>
  <c r="W50" i="28"/>
  <c r="X50" i="28"/>
  <c r="Y50" i="28"/>
  <c r="Z50" i="28"/>
  <c r="V51" i="28"/>
  <c r="AB51" i="28" s="1"/>
  <c r="W51" i="28"/>
  <c r="AC51" i="28" s="1"/>
  <c r="X51" i="28"/>
  <c r="Y51" i="28"/>
  <c r="Z51" i="28"/>
  <c r="V52" i="28"/>
  <c r="W52" i="28"/>
  <c r="X52" i="28"/>
  <c r="Y52" i="28"/>
  <c r="Z52" i="28"/>
  <c r="Z3" i="28"/>
  <c r="Y3" i="28"/>
  <c r="X3" i="28"/>
  <c r="W3" i="28"/>
  <c r="V3" i="28"/>
  <c r="AB52" i="28"/>
  <c r="AB45" i="28"/>
  <c r="AA38" i="28"/>
  <c r="AC36" i="28"/>
  <c r="AC35" i="28"/>
  <c r="AA33" i="28"/>
  <c r="AC32" i="28"/>
  <c r="AC29" i="28"/>
  <c r="AB26" i="28"/>
  <c r="AC26" i="28"/>
  <c r="AA24" i="28"/>
  <c r="AA23" i="28"/>
  <c r="AA17" i="28"/>
  <c r="AA14" i="28"/>
  <c r="AC14" i="28"/>
  <c r="AA12" i="28"/>
  <c r="AA11" i="28"/>
  <c r="AC8" i="28"/>
  <c r="AA5" i="28"/>
  <c r="AC3" i="28"/>
  <c r="AB3" i="28"/>
  <c r="AA3" i="28"/>
  <c r="B5" i="33"/>
  <c r="Y5" i="33" s="1"/>
  <c r="C5" i="33"/>
  <c r="D5" i="33"/>
  <c r="E5" i="33"/>
  <c r="W5" i="33" s="1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B6" i="33"/>
  <c r="X6" i="33" s="1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R6" i="33"/>
  <c r="S6" i="33"/>
  <c r="T6" i="33"/>
  <c r="U6" i="33"/>
  <c r="B7" i="33"/>
  <c r="W7" i="33" s="1"/>
  <c r="C7" i="33"/>
  <c r="D7" i="33"/>
  <c r="E7" i="33"/>
  <c r="F7" i="33"/>
  <c r="G7" i="33"/>
  <c r="H7" i="33"/>
  <c r="I7" i="33"/>
  <c r="J7" i="33"/>
  <c r="K7" i="33"/>
  <c r="L7" i="33"/>
  <c r="M7" i="33"/>
  <c r="N7" i="33"/>
  <c r="O7" i="33"/>
  <c r="P7" i="33"/>
  <c r="Q7" i="33"/>
  <c r="R7" i="33"/>
  <c r="S7" i="33"/>
  <c r="T7" i="33"/>
  <c r="U7" i="33"/>
  <c r="B8" i="33"/>
  <c r="C8" i="33"/>
  <c r="D8" i="33"/>
  <c r="E8" i="33"/>
  <c r="W8" i="33" s="1"/>
  <c r="F8" i="33"/>
  <c r="G8" i="33"/>
  <c r="H8" i="33"/>
  <c r="I8" i="33"/>
  <c r="J8" i="33"/>
  <c r="K8" i="33"/>
  <c r="L8" i="33"/>
  <c r="M8" i="33"/>
  <c r="N8" i="33"/>
  <c r="O8" i="33"/>
  <c r="P8" i="33"/>
  <c r="Q8" i="33"/>
  <c r="R8" i="33"/>
  <c r="S8" i="33"/>
  <c r="T8" i="33"/>
  <c r="U8" i="33"/>
  <c r="B9" i="33"/>
  <c r="W9" i="33" s="1"/>
  <c r="C9" i="33"/>
  <c r="D9" i="33"/>
  <c r="E9" i="33"/>
  <c r="F9" i="33"/>
  <c r="G9" i="33"/>
  <c r="H9" i="33"/>
  <c r="I9" i="33"/>
  <c r="J9" i="33"/>
  <c r="K9" i="33"/>
  <c r="L9" i="33"/>
  <c r="M9" i="33"/>
  <c r="N9" i="33"/>
  <c r="O9" i="33"/>
  <c r="P9" i="33"/>
  <c r="Q9" i="33"/>
  <c r="R9" i="33"/>
  <c r="S9" i="33"/>
  <c r="T9" i="33"/>
  <c r="U9" i="33"/>
  <c r="B10" i="33"/>
  <c r="X10" i="33" s="1"/>
  <c r="C10" i="33"/>
  <c r="D10" i="33"/>
  <c r="E10" i="33"/>
  <c r="F10" i="33"/>
  <c r="G10" i="33"/>
  <c r="H10" i="33"/>
  <c r="I10" i="33"/>
  <c r="J10" i="33"/>
  <c r="K10" i="33"/>
  <c r="L10" i="33"/>
  <c r="M10" i="33"/>
  <c r="N10" i="33"/>
  <c r="O10" i="33"/>
  <c r="P10" i="33"/>
  <c r="Q10" i="33"/>
  <c r="R10" i="33"/>
  <c r="S10" i="33"/>
  <c r="T10" i="33"/>
  <c r="U10" i="33"/>
  <c r="B11" i="33"/>
  <c r="W11" i="33" s="1"/>
  <c r="C11" i="33"/>
  <c r="D11" i="33"/>
  <c r="E11" i="33"/>
  <c r="F11" i="33"/>
  <c r="G11" i="33"/>
  <c r="H11" i="33"/>
  <c r="I11" i="33"/>
  <c r="J11" i="33"/>
  <c r="K11" i="33"/>
  <c r="L11" i="33"/>
  <c r="M11" i="33"/>
  <c r="N11" i="33"/>
  <c r="O11" i="33"/>
  <c r="P11" i="33"/>
  <c r="Q11" i="33"/>
  <c r="R11" i="33"/>
  <c r="S11" i="33"/>
  <c r="T11" i="33"/>
  <c r="U11" i="33"/>
  <c r="B12" i="33"/>
  <c r="C12" i="33"/>
  <c r="D12" i="33"/>
  <c r="E12" i="33"/>
  <c r="F12" i="33"/>
  <c r="G12" i="33"/>
  <c r="H12" i="33"/>
  <c r="I12" i="33"/>
  <c r="W12" i="33" s="1"/>
  <c r="J12" i="33"/>
  <c r="K12" i="33"/>
  <c r="L12" i="33"/>
  <c r="M12" i="33"/>
  <c r="N12" i="33"/>
  <c r="O12" i="33"/>
  <c r="P12" i="33"/>
  <c r="Q12" i="33"/>
  <c r="R12" i="33"/>
  <c r="S12" i="33"/>
  <c r="T12" i="33"/>
  <c r="U12" i="33"/>
  <c r="B13" i="33"/>
  <c r="W13" i="33" s="1"/>
  <c r="C13" i="33"/>
  <c r="D13" i="33"/>
  <c r="E13" i="33"/>
  <c r="F13" i="33"/>
  <c r="G13" i="33"/>
  <c r="H13" i="33"/>
  <c r="I13" i="33"/>
  <c r="J13" i="33"/>
  <c r="K13" i="33"/>
  <c r="L13" i="33"/>
  <c r="M13" i="33"/>
  <c r="N13" i="33"/>
  <c r="O13" i="33"/>
  <c r="P13" i="33"/>
  <c r="Q13" i="33"/>
  <c r="R13" i="33"/>
  <c r="S13" i="33"/>
  <c r="T13" i="33"/>
  <c r="U13" i="33"/>
  <c r="B14" i="33"/>
  <c r="X14" i="33" s="1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R14" i="33"/>
  <c r="S14" i="33"/>
  <c r="T14" i="33"/>
  <c r="U14" i="33"/>
  <c r="B15" i="33"/>
  <c r="W15" i="33" s="1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R15" i="33"/>
  <c r="S15" i="33"/>
  <c r="T15" i="33"/>
  <c r="U15" i="33"/>
  <c r="B16" i="33"/>
  <c r="X16" i="33" s="1"/>
  <c r="C16" i="33"/>
  <c r="D16" i="33"/>
  <c r="E16" i="33"/>
  <c r="F16" i="33"/>
  <c r="G16" i="33"/>
  <c r="H16" i="33"/>
  <c r="I16" i="33"/>
  <c r="J16" i="33"/>
  <c r="K16" i="33"/>
  <c r="L16" i="33"/>
  <c r="M16" i="33"/>
  <c r="W16" i="33" s="1"/>
  <c r="N16" i="33"/>
  <c r="O16" i="33"/>
  <c r="P16" i="33"/>
  <c r="Q16" i="33"/>
  <c r="R16" i="33"/>
  <c r="S16" i="33"/>
  <c r="T16" i="33"/>
  <c r="U16" i="33"/>
  <c r="B17" i="33"/>
  <c r="X17" i="33" s="1"/>
  <c r="C17" i="33"/>
  <c r="D17" i="33"/>
  <c r="E17" i="33"/>
  <c r="W17" i="33" s="1"/>
  <c r="F17" i="33"/>
  <c r="G17" i="33"/>
  <c r="H17" i="33"/>
  <c r="I17" i="33"/>
  <c r="J17" i="33"/>
  <c r="K17" i="33"/>
  <c r="L17" i="33"/>
  <c r="M17" i="33"/>
  <c r="N17" i="33"/>
  <c r="O17" i="33"/>
  <c r="P17" i="33"/>
  <c r="Q17" i="33"/>
  <c r="R17" i="33"/>
  <c r="S17" i="33"/>
  <c r="T17" i="33"/>
  <c r="U17" i="33"/>
  <c r="B18" i="33"/>
  <c r="X18" i="33" s="1"/>
  <c r="C18" i="33"/>
  <c r="D18" i="33"/>
  <c r="E18" i="33"/>
  <c r="F18" i="33"/>
  <c r="G18" i="33"/>
  <c r="H18" i="33"/>
  <c r="I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B19" i="33"/>
  <c r="W19" i="33" s="1"/>
  <c r="C19" i="33"/>
  <c r="D19" i="33"/>
  <c r="E19" i="33"/>
  <c r="F19" i="33"/>
  <c r="G19" i="33"/>
  <c r="H19" i="33"/>
  <c r="I19" i="33"/>
  <c r="J19" i="33"/>
  <c r="K19" i="33"/>
  <c r="L19" i="33"/>
  <c r="M19" i="33"/>
  <c r="N19" i="33"/>
  <c r="O19" i="33"/>
  <c r="P19" i="33"/>
  <c r="Q19" i="33"/>
  <c r="R19" i="33"/>
  <c r="S19" i="33"/>
  <c r="T19" i="33"/>
  <c r="U19" i="33"/>
  <c r="B20" i="33"/>
  <c r="C20" i="33"/>
  <c r="D20" i="33"/>
  <c r="E20" i="33"/>
  <c r="X20" i="33" s="1"/>
  <c r="F20" i="33"/>
  <c r="G20" i="33"/>
  <c r="H20" i="33"/>
  <c r="I20" i="33"/>
  <c r="J20" i="33"/>
  <c r="K20" i="33"/>
  <c r="L20" i="33"/>
  <c r="M20" i="33"/>
  <c r="N20" i="33"/>
  <c r="O20" i="33"/>
  <c r="P20" i="33"/>
  <c r="Q20" i="33"/>
  <c r="R20" i="33"/>
  <c r="S20" i="33"/>
  <c r="T20" i="33"/>
  <c r="U20" i="33"/>
  <c r="B21" i="33"/>
  <c r="W21" i="33" s="1"/>
  <c r="C21" i="33"/>
  <c r="D21" i="33"/>
  <c r="E21" i="33"/>
  <c r="F21" i="33"/>
  <c r="G21" i="33"/>
  <c r="H21" i="33"/>
  <c r="I21" i="33"/>
  <c r="J21" i="33"/>
  <c r="K21" i="33"/>
  <c r="L21" i="33"/>
  <c r="M21" i="33"/>
  <c r="N21" i="33"/>
  <c r="O21" i="33"/>
  <c r="P21" i="33"/>
  <c r="Q21" i="33"/>
  <c r="R21" i="33"/>
  <c r="S21" i="33"/>
  <c r="T21" i="33"/>
  <c r="U21" i="33"/>
  <c r="B22" i="33"/>
  <c r="X22" i="33" s="1"/>
  <c r="C22" i="33"/>
  <c r="D22" i="33"/>
  <c r="E22" i="33"/>
  <c r="F22" i="33"/>
  <c r="G22" i="33"/>
  <c r="H22" i="33"/>
  <c r="I22" i="33"/>
  <c r="J22" i="33"/>
  <c r="K22" i="33"/>
  <c r="L22" i="33"/>
  <c r="M22" i="33"/>
  <c r="N22" i="33"/>
  <c r="O22" i="33"/>
  <c r="P22" i="33"/>
  <c r="Q22" i="33"/>
  <c r="R22" i="33"/>
  <c r="S22" i="33"/>
  <c r="T22" i="33"/>
  <c r="U22" i="33"/>
  <c r="B23" i="33"/>
  <c r="W23" i="33" s="1"/>
  <c r="C23" i="33"/>
  <c r="D23" i="33"/>
  <c r="E23" i="33"/>
  <c r="F23" i="33"/>
  <c r="G23" i="33"/>
  <c r="H23" i="33"/>
  <c r="I23" i="33"/>
  <c r="J23" i="33"/>
  <c r="K23" i="33"/>
  <c r="L23" i="33"/>
  <c r="M23" i="33"/>
  <c r="N23" i="33"/>
  <c r="O23" i="33"/>
  <c r="P23" i="33"/>
  <c r="Q23" i="33"/>
  <c r="R23" i="33"/>
  <c r="S23" i="33"/>
  <c r="T23" i="33"/>
  <c r="U23" i="33"/>
  <c r="B24" i="33"/>
  <c r="Y24" i="33" s="1"/>
  <c r="C24" i="33"/>
  <c r="D24" i="33"/>
  <c r="E24" i="33"/>
  <c r="F24" i="33"/>
  <c r="G24" i="33"/>
  <c r="H24" i="33"/>
  <c r="I24" i="33"/>
  <c r="X24" i="33" s="1"/>
  <c r="J24" i="33"/>
  <c r="K24" i="33"/>
  <c r="L24" i="33"/>
  <c r="M24" i="33"/>
  <c r="N24" i="33"/>
  <c r="O24" i="33"/>
  <c r="P24" i="33"/>
  <c r="Q24" i="33"/>
  <c r="R24" i="33"/>
  <c r="S24" i="33"/>
  <c r="T24" i="33"/>
  <c r="U24" i="33"/>
  <c r="B25" i="33"/>
  <c r="W25" i="33" s="1"/>
  <c r="C25" i="33"/>
  <c r="D25" i="33"/>
  <c r="E25" i="33"/>
  <c r="F25" i="33"/>
  <c r="G25" i="33"/>
  <c r="H25" i="33"/>
  <c r="I25" i="33"/>
  <c r="J25" i="33"/>
  <c r="K25" i="33"/>
  <c r="L25" i="33"/>
  <c r="M25" i="33"/>
  <c r="N25" i="33"/>
  <c r="O25" i="33"/>
  <c r="P25" i="33"/>
  <c r="Q25" i="33"/>
  <c r="R25" i="33"/>
  <c r="S25" i="33"/>
  <c r="T25" i="33"/>
  <c r="U25" i="33"/>
  <c r="B26" i="33"/>
  <c r="X26" i="33" s="1"/>
  <c r="C26" i="33"/>
  <c r="D26" i="33"/>
  <c r="E26" i="33"/>
  <c r="F26" i="33"/>
  <c r="G26" i="33"/>
  <c r="H26" i="33"/>
  <c r="I26" i="33"/>
  <c r="J26" i="33"/>
  <c r="K26" i="33"/>
  <c r="L26" i="33"/>
  <c r="M26" i="33"/>
  <c r="N26" i="33"/>
  <c r="O26" i="33"/>
  <c r="P26" i="33"/>
  <c r="Q26" i="33"/>
  <c r="R26" i="33"/>
  <c r="S26" i="33"/>
  <c r="T26" i="33"/>
  <c r="U26" i="33"/>
  <c r="B27" i="33"/>
  <c r="W27" i="33" s="1"/>
  <c r="C27" i="33"/>
  <c r="D27" i="33"/>
  <c r="E27" i="33"/>
  <c r="F27" i="33"/>
  <c r="G27" i="33"/>
  <c r="H27" i="33"/>
  <c r="I27" i="33"/>
  <c r="J27" i="33"/>
  <c r="K27" i="33"/>
  <c r="L27" i="33"/>
  <c r="M27" i="33"/>
  <c r="N27" i="33"/>
  <c r="O27" i="33"/>
  <c r="P27" i="33"/>
  <c r="Q27" i="33"/>
  <c r="R27" i="33"/>
  <c r="S27" i="33"/>
  <c r="T27" i="33"/>
  <c r="U27" i="33"/>
  <c r="B28" i="33"/>
  <c r="X28" i="33" s="1"/>
  <c r="C28" i="33"/>
  <c r="D28" i="33"/>
  <c r="E28" i="33"/>
  <c r="F28" i="33"/>
  <c r="G28" i="33"/>
  <c r="H28" i="33"/>
  <c r="I28" i="33"/>
  <c r="J28" i="33"/>
  <c r="K28" i="33"/>
  <c r="L28" i="33"/>
  <c r="M28" i="33"/>
  <c r="W28" i="33" s="1"/>
  <c r="N28" i="33"/>
  <c r="O28" i="33"/>
  <c r="P28" i="33"/>
  <c r="Q28" i="33"/>
  <c r="R28" i="33"/>
  <c r="S28" i="33"/>
  <c r="T28" i="33"/>
  <c r="U28" i="33"/>
  <c r="B29" i="33"/>
  <c r="W29" i="33" s="1"/>
  <c r="C29" i="33"/>
  <c r="D29" i="33"/>
  <c r="E29" i="33"/>
  <c r="F29" i="33"/>
  <c r="G29" i="33"/>
  <c r="H29" i="33"/>
  <c r="I29" i="33"/>
  <c r="J29" i="33"/>
  <c r="K29" i="33"/>
  <c r="L29" i="33"/>
  <c r="M29" i="33"/>
  <c r="N29" i="33"/>
  <c r="O29" i="33"/>
  <c r="P29" i="33"/>
  <c r="Q29" i="33"/>
  <c r="R29" i="33"/>
  <c r="S29" i="33"/>
  <c r="T29" i="33"/>
  <c r="U29" i="33"/>
  <c r="B30" i="33"/>
  <c r="X30" i="33" s="1"/>
  <c r="C30" i="33"/>
  <c r="D30" i="33"/>
  <c r="E30" i="33"/>
  <c r="F30" i="33"/>
  <c r="G30" i="33"/>
  <c r="H30" i="33"/>
  <c r="I30" i="33"/>
  <c r="J30" i="33"/>
  <c r="K30" i="33"/>
  <c r="L30" i="33"/>
  <c r="M30" i="33"/>
  <c r="N30" i="33"/>
  <c r="O30" i="33"/>
  <c r="P30" i="33"/>
  <c r="Q30" i="33"/>
  <c r="R30" i="33"/>
  <c r="S30" i="33"/>
  <c r="T30" i="33"/>
  <c r="U30" i="33"/>
  <c r="B31" i="33"/>
  <c r="W31" i="33" s="1"/>
  <c r="C31" i="33"/>
  <c r="D31" i="33"/>
  <c r="E31" i="33"/>
  <c r="F31" i="33"/>
  <c r="G31" i="33"/>
  <c r="H31" i="33"/>
  <c r="I31" i="33"/>
  <c r="J31" i="33"/>
  <c r="K31" i="33"/>
  <c r="L31" i="33"/>
  <c r="M31" i="33"/>
  <c r="N31" i="33"/>
  <c r="O31" i="33"/>
  <c r="P31" i="33"/>
  <c r="Q31" i="33"/>
  <c r="R31" i="33"/>
  <c r="S31" i="33"/>
  <c r="T31" i="33"/>
  <c r="U31" i="33"/>
  <c r="B32" i="33"/>
  <c r="Y32" i="33" s="1"/>
  <c r="C32" i="33"/>
  <c r="D32" i="33"/>
  <c r="E32" i="33"/>
  <c r="W32" i="33" s="1"/>
  <c r="F32" i="33"/>
  <c r="G32" i="33"/>
  <c r="H32" i="33"/>
  <c r="I32" i="33"/>
  <c r="J32" i="33"/>
  <c r="K32" i="33"/>
  <c r="L32" i="33"/>
  <c r="M32" i="33"/>
  <c r="N32" i="33"/>
  <c r="O32" i="33"/>
  <c r="P32" i="33"/>
  <c r="Q32" i="33"/>
  <c r="R32" i="33"/>
  <c r="S32" i="33"/>
  <c r="T32" i="33"/>
  <c r="U32" i="33"/>
  <c r="B33" i="33"/>
  <c r="W33" i="33" s="1"/>
  <c r="C33" i="33"/>
  <c r="D33" i="33"/>
  <c r="E33" i="33"/>
  <c r="F33" i="33"/>
  <c r="G33" i="33"/>
  <c r="H33" i="33"/>
  <c r="I33" i="33"/>
  <c r="J33" i="33"/>
  <c r="K33" i="33"/>
  <c r="L33" i="33"/>
  <c r="M33" i="33"/>
  <c r="N33" i="33"/>
  <c r="O33" i="33"/>
  <c r="P33" i="33"/>
  <c r="Q33" i="33"/>
  <c r="R33" i="33"/>
  <c r="S33" i="33"/>
  <c r="T33" i="33"/>
  <c r="U33" i="33"/>
  <c r="B34" i="33"/>
  <c r="X34" i="33" s="1"/>
  <c r="C34" i="33"/>
  <c r="D34" i="33"/>
  <c r="E34" i="33"/>
  <c r="F34" i="33"/>
  <c r="G34" i="33"/>
  <c r="H34" i="33"/>
  <c r="I34" i="33"/>
  <c r="J34" i="33"/>
  <c r="K34" i="33"/>
  <c r="L34" i="33"/>
  <c r="M34" i="33"/>
  <c r="N34" i="33"/>
  <c r="O34" i="33"/>
  <c r="P34" i="33"/>
  <c r="Q34" i="33"/>
  <c r="R34" i="33"/>
  <c r="S34" i="33"/>
  <c r="T34" i="33"/>
  <c r="U34" i="33"/>
  <c r="B35" i="33"/>
  <c r="W35" i="33" s="1"/>
  <c r="C35" i="33"/>
  <c r="D35" i="33"/>
  <c r="E35" i="33"/>
  <c r="F35" i="33"/>
  <c r="G35" i="33"/>
  <c r="H35" i="33"/>
  <c r="I35" i="33"/>
  <c r="J35" i="33"/>
  <c r="K35" i="33"/>
  <c r="L35" i="33"/>
  <c r="M35" i="33"/>
  <c r="N35" i="33"/>
  <c r="O35" i="33"/>
  <c r="P35" i="33"/>
  <c r="Q35" i="33"/>
  <c r="R35" i="33"/>
  <c r="S35" i="33"/>
  <c r="T35" i="33"/>
  <c r="U35" i="33"/>
  <c r="B36" i="33"/>
  <c r="Y36" i="33" s="1"/>
  <c r="C36" i="33"/>
  <c r="D36" i="33"/>
  <c r="E36" i="33"/>
  <c r="F36" i="33"/>
  <c r="G36" i="33"/>
  <c r="H36" i="33"/>
  <c r="I36" i="33"/>
  <c r="W36" i="33" s="1"/>
  <c r="J36" i="33"/>
  <c r="K36" i="33"/>
  <c r="L36" i="33"/>
  <c r="M36" i="33"/>
  <c r="N36" i="33"/>
  <c r="O36" i="33"/>
  <c r="P36" i="33"/>
  <c r="Q36" i="33"/>
  <c r="R36" i="33"/>
  <c r="S36" i="33"/>
  <c r="T36" i="33"/>
  <c r="U36" i="33"/>
  <c r="B37" i="33"/>
  <c r="W37" i="33" s="1"/>
  <c r="C37" i="33"/>
  <c r="D37" i="33"/>
  <c r="E37" i="33"/>
  <c r="F37" i="33"/>
  <c r="G37" i="33"/>
  <c r="H37" i="33"/>
  <c r="I37" i="33"/>
  <c r="J37" i="33"/>
  <c r="K37" i="33"/>
  <c r="L37" i="33"/>
  <c r="M37" i="33"/>
  <c r="N37" i="33"/>
  <c r="O37" i="33"/>
  <c r="P37" i="33"/>
  <c r="Q37" i="33"/>
  <c r="R37" i="33"/>
  <c r="S37" i="33"/>
  <c r="T37" i="33"/>
  <c r="U37" i="33"/>
  <c r="B38" i="33"/>
  <c r="X38" i="33" s="1"/>
  <c r="C38" i="33"/>
  <c r="D38" i="33"/>
  <c r="E38" i="33"/>
  <c r="F38" i="33"/>
  <c r="G38" i="33"/>
  <c r="H38" i="33"/>
  <c r="I38" i="33"/>
  <c r="J38" i="33"/>
  <c r="K38" i="33"/>
  <c r="L38" i="33"/>
  <c r="M38" i="33"/>
  <c r="N38" i="33"/>
  <c r="O38" i="33"/>
  <c r="P38" i="33"/>
  <c r="Q38" i="33"/>
  <c r="R38" i="33"/>
  <c r="S38" i="33"/>
  <c r="T38" i="33"/>
  <c r="U38" i="33"/>
  <c r="B39" i="33"/>
  <c r="W39" i="33" s="1"/>
  <c r="C39" i="33"/>
  <c r="D39" i="33"/>
  <c r="E39" i="33"/>
  <c r="F39" i="33"/>
  <c r="G39" i="33"/>
  <c r="H39" i="33"/>
  <c r="I39" i="33"/>
  <c r="J39" i="33"/>
  <c r="K39" i="33"/>
  <c r="L39" i="33"/>
  <c r="M39" i="33"/>
  <c r="N39" i="33"/>
  <c r="O39" i="33"/>
  <c r="P39" i="33"/>
  <c r="Q39" i="33"/>
  <c r="R39" i="33"/>
  <c r="S39" i="33"/>
  <c r="T39" i="33"/>
  <c r="U39" i="33"/>
  <c r="B40" i="33"/>
  <c r="X40" i="33" s="1"/>
  <c r="C40" i="33"/>
  <c r="D40" i="33"/>
  <c r="E40" i="33"/>
  <c r="F40" i="33"/>
  <c r="G40" i="33"/>
  <c r="H40" i="33"/>
  <c r="I40" i="33"/>
  <c r="J40" i="33"/>
  <c r="K40" i="33"/>
  <c r="L40" i="33"/>
  <c r="M40" i="33"/>
  <c r="W40" i="33" s="1"/>
  <c r="N40" i="33"/>
  <c r="O40" i="33"/>
  <c r="P40" i="33"/>
  <c r="Q40" i="33"/>
  <c r="R40" i="33"/>
  <c r="S40" i="33"/>
  <c r="T40" i="33"/>
  <c r="U40" i="33"/>
  <c r="B41" i="33"/>
  <c r="W41" i="33" s="1"/>
  <c r="C41" i="33"/>
  <c r="D41" i="33"/>
  <c r="E41" i="33"/>
  <c r="F41" i="33"/>
  <c r="G41" i="33"/>
  <c r="H41" i="33"/>
  <c r="I41" i="33"/>
  <c r="J41" i="33"/>
  <c r="K41" i="33"/>
  <c r="L41" i="33"/>
  <c r="M41" i="33"/>
  <c r="N41" i="33"/>
  <c r="O41" i="33"/>
  <c r="P41" i="33"/>
  <c r="Q41" i="33"/>
  <c r="R41" i="33"/>
  <c r="S41" i="33"/>
  <c r="T41" i="33"/>
  <c r="U41" i="33"/>
  <c r="B42" i="33"/>
  <c r="X42" i="33" s="1"/>
  <c r="C42" i="33"/>
  <c r="D42" i="33"/>
  <c r="E42" i="33"/>
  <c r="F42" i="33"/>
  <c r="G42" i="33"/>
  <c r="H42" i="33"/>
  <c r="I42" i="33"/>
  <c r="J42" i="33"/>
  <c r="K42" i="33"/>
  <c r="L42" i="33"/>
  <c r="M42" i="33"/>
  <c r="N42" i="33"/>
  <c r="O42" i="33"/>
  <c r="P42" i="33"/>
  <c r="Q42" i="33"/>
  <c r="R42" i="33"/>
  <c r="S42" i="33"/>
  <c r="T42" i="33"/>
  <c r="U42" i="33"/>
  <c r="B43" i="33"/>
  <c r="W43" i="33" s="1"/>
  <c r="C43" i="33"/>
  <c r="D43" i="33"/>
  <c r="E43" i="33"/>
  <c r="F43" i="33"/>
  <c r="G43" i="33"/>
  <c r="H43" i="33"/>
  <c r="I43" i="33"/>
  <c r="J43" i="33"/>
  <c r="K43" i="33"/>
  <c r="L43" i="33"/>
  <c r="M43" i="33"/>
  <c r="N43" i="33"/>
  <c r="O43" i="33"/>
  <c r="P43" i="33"/>
  <c r="Q43" i="33"/>
  <c r="R43" i="33"/>
  <c r="S43" i="33"/>
  <c r="T43" i="33"/>
  <c r="U43" i="33"/>
  <c r="B44" i="33"/>
  <c r="Y44" i="33" s="1"/>
  <c r="C44" i="33"/>
  <c r="D44" i="33"/>
  <c r="E44" i="33"/>
  <c r="X44" i="33" s="1"/>
  <c r="F44" i="33"/>
  <c r="G44" i="33"/>
  <c r="H44" i="33"/>
  <c r="I44" i="33"/>
  <c r="J44" i="33"/>
  <c r="K44" i="33"/>
  <c r="L44" i="33"/>
  <c r="M44" i="33"/>
  <c r="N44" i="33"/>
  <c r="O44" i="33"/>
  <c r="P44" i="33"/>
  <c r="Q44" i="33"/>
  <c r="R44" i="33"/>
  <c r="S44" i="33"/>
  <c r="T44" i="33"/>
  <c r="U44" i="33"/>
  <c r="B45" i="33"/>
  <c r="W45" i="33" s="1"/>
  <c r="C45" i="33"/>
  <c r="D45" i="33"/>
  <c r="E45" i="33"/>
  <c r="F45" i="33"/>
  <c r="G45" i="33"/>
  <c r="H45" i="33"/>
  <c r="I45" i="33"/>
  <c r="J45" i="33"/>
  <c r="K45" i="33"/>
  <c r="L45" i="33"/>
  <c r="M45" i="33"/>
  <c r="N45" i="33"/>
  <c r="O45" i="33"/>
  <c r="P45" i="33"/>
  <c r="Q45" i="33"/>
  <c r="R45" i="33"/>
  <c r="S45" i="33"/>
  <c r="T45" i="33"/>
  <c r="U45" i="33"/>
  <c r="B46" i="33"/>
  <c r="X46" i="33" s="1"/>
  <c r="C46" i="33"/>
  <c r="D46" i="33"/>
  <c r="E46" i="33"/>
  <c r="F46" i="33"/>
  <c r="G46" i="33"/>
  <c r="H46" i="33"/>
  <c r="I46" i="33"/>
  <c r="J46" i="33"/>
  <c r="K46" i="33"/>
  <c r="L46" i="33"/>
  <c r="M46" i="33"/>
  <c r="N46" i="33"/>
  <c r="O46" i="33"/>
  <c r="P46" i="33"/>
  <c r="Q46" i="33"/>
  <c r="R46" i="33"/>
  <c r="S46" i="33"/>
  <c r="T46" i="33"/>
  <c r="U46" i="33"/>
  <c r="B47" i="33"/>
  <c r="W47" i="33" s="1"/>
  <c r="C47" i="33"/>
  <c r="D47" i="33"/>
  <c r="E47" i="33"/>
  <c r="F47" i="33"/>
  <c r="G47" i="33"/>
  <c r="H47" i="33"/>
  <c r="I47" i="33"/>
  <c r="J47" i="33"/>
  <c r="K47" i="33"/>
  <c r="L47" i="33"/>
  <c r="M47" i="33"/>
  <c r="N47" i="33"/>
  <c r="O47" i="33"/>
  <c r="P47" i="33"/>
  <c r="Q47" i="33"/>
  <c r="R47" i="33"/>
  <c r="S47" i="33"/>
  <c r="T47" i="33"/>
  <c r="U47" i="33"/>
  <c r="B48" i="33"/>
  <c r="X48" i="33" s="1"/>
  <c r="C48" i="33"/>
  <c r="D48" i="33"/>
  <c r="E48" i="33"/>
  <c r="F48" i="33"/>
  <c r="G48" i="33"/>
  <c r="H48" i="33"/>
  <c r="I48" i="33"/>
  <c r="W48" i="33" s="1"/>
  <c r="J48" i="33"/>
  <c r="K48" i="33"/>
  <c r="L48" i="33"/>
  <c r="M48" i="33"/>
  <c r="N48" i="33"/>
  <c r="O48" i="33"/>
  <c r="P48" i="33"/>
  <c r="Q48" i="33"/>
  <c r="R48" i="33"/>
  <c r="S48" i="33"/>
  <c r="T48" i="33"/>
  <c r="U48" i="33"/>
  <c r="B49" i="33"/>
  <c r="W49" i="33" s="1"/>
  <c r="C49" i="33"/>
  <c r="D49" i="33"/>
  <c r="E49" i="33"/>
  <c r="F49" i="33"/>
  <c r="G49" i="33"/>
  <c r="H49" i="33"/>
  <c r="I49" i="33"/>
  <c r="J49" i="33"/>
  <c r="K49" i="33"/>
  <c r="L49" i="33"/>
  <c r="M49" i="33"/>
  <c r="N49" i="33"/>
  <c r="O49" i="33"/>
  <c r="P49" i="33"/>
  <c r="Q49" i="33"/>
  <c r="R49" i="33"/>
  <c r="S49" i="33"/>
  <c r="T49" i="33"/>
  <c r="U49" i="33"/>
  <c r="B50" i="33"/>
  <c r="X50" i="33" s="1"/>
  <c r="C50" i="33"/>
  <c r="D50" i="33"/>
  <c r="E50" i="33"/>
  <c r="F50" i="33"/>
  <c r="G50" i="33"/>
  <c r="H50" i="33"/>
  <c r="I50" i="33"/>
  <c r="J50" i="33"/>
  <c r="K50" i="33"/>
  <c r="L50" i="33"/>
  <c r="M50" i="33"/>
  <c r="N50" i="33"/>
  <c r="O50" i="33"/>
  <c r="P50" i="33"/>
  <c r="Q50" i="33"/>
  <c r="R50" i="33"/>
  <c r="S50" i="33"/>
  <c r="T50" i="33"/>
  <c r="U50" i="33"/>
  <c r="B51" i="33"/>
  <c r="W51" i="33" s="1"/>
  <c r="C51" i="33"/>
  <c r="D51" i="33"/>
  <c r="E51" i="33"/>
  <c r="F51" i="33"/>
  <c r="G51" i="33"/>
  <c r="H51" i="33"/>
  <c r="I51" i="33"/>
  <c r="J51" i="33"/>
  <c r="K51" i="33"/>
  <c r="L51" i="33"/>
  <c r="M51" i="33"/>
  <c r="N51" i="33"/>
  <c r="O51" i="33"/>
  <c r="P51" i="33"/>
  <c r="Q51" i="33"/>
  <c r="R51" i="33"/>
  <c r="S51" i="33"/>
  <c r="T51" i="33"/>
  <c r="U51" i="33"/>
  <c r="B52" i="33"/>
  <c r="X52" i="33" s="1"/>
  <c r="C52" i="33"/>
  <c r="D52" i="33"/>
  <c r="E52" i="33"/>
  <c r="F52" i="33"/>
  <c r="G52" i="33"/>
  <c r="H52" i="33"/>
  <c r="I52" i="33"/>
  <c r="J52" i="33"/>
  <c r="K52" i="33"/>
  <c r="L52" i="33"/>
  <c r="M52" i="33"/>
  <c r="W52" i="33" s="1"/>
  <c r="N52" i="33"/>
  <c r="O52" i="33"/>
  <c r="P52" i="33"/>
  <c r="Q52" i="33"/>
  <c r="R52" i="33"/>
  <c r="S52" i="33"/>
  <c r="T52" i="33"/>
  <c r="U52" i="33"/>
  <c r="B53" i="33"/>
  <c r="W53" i="33" s="1"/>
  <c r="C53" i="33"/>
  <c r="D53" i="33"/>
  <c r="E53" i="33"/>
  <c r="F53" i="33"/>
  <c r="G53" i="33"/>
  <c r="H53" i="33"/>
  <c r="I53" i="33"/>
  <c r="J53" i="33"/>
  <c r="K53" i="33"/>
  <c r="L53" i="33"/>
  <c r="M53" i="33"/>
  <c r="N53" i="33"/>
  <c r="O53" i="33"/>
  <c r="P53" i="33"/>
  <c r="Q53" i="33"/>
  <c r="R53" i="33"/>
  <c r="S53" i="33"/>
  <c r="T53" i="33"/>
  <c r="U53" i="33"/>
  <c r="B54" i="33"/>
  <c r="X54" i="33" s="1"/>
  <c r="C54" i="33"/>
  <c r="D54" i="33"/>
  <c r="E54" i="33"/>
  <c r="F54" i="33"/>
  <c r="G54" i="33"/>
  <c r="H54" i="33"/>
  <c r="I54" i="33"/>
  <c r="J54" i="33"/>
  <c r="K54" i="33"/>
  <c r="L54" i="33"/>
  <c r="M54" i="33"/>
  <c r="N54" i="33"/>
  <c r="O54" i="33"/>
  <c r="P54" i="33"/>
  <c r="Q54" i="33"/>
  <c r="R54" i="33"/>
  <c r="S54" i="33"/>
  <c r="T54" i="33"/>
  <c r="U54" i="33"/>
  <c r="R4" i="33"/>
  <c r="S4" i="33"/>
  <c r="T4" i="33"/>
  <c r="U4" i="33"/>
  <c r="Q4" i="33"/>
  <c r="M4" i="33"/>
  <c r="N4" i="33"/>
  <c r="O4" i="33"/>
  <c r="P4" i="33"/>
  <c r="L4" i="33"/>
  <c r="H4" i="33"/>
  <c r="I4" i="33"/>
  <c r="J4" i="33"/>
  <c r="K4" i="33"/>
  <c r="G4" i="33"/>
  <c r="C4" i="33"/>
  <c r="D4" i="33"/>
  <c r="E4" i="33"/>
  <c r="F4" i="33"/>
  <c r="B4" i="33"/>
  <c r="Y4" i="33" s="1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3" i="33"/>
  <c r="Q4" i="32"/>
  <c r="R4" i="32"/>
  <c r="S4" i="32"/>
  <c r="T4" i="32"/>
  <c r="U4" i="32"/>
  <c r="Q5" i="32"/>
  <c r="R5" i="32"/>
  <c r="S5" i="32"/>
  <c r="T5" i="32"/>
  <c r="U5" i="32"/>
  <c r="Q6" i="32"/>
  <c r="R6" i="32"/>
  <c r="S6" i="32"/>
  <c r="T6" i="32"/>
  <c r="U6" i="32"/>
  <c r="Q7" i="32"/>
  <c r="R7" i="32"/>
  <c r="S7" i="32"/>
  <c r="T7" i="32"/>
  <c r="U7" i="32"/>
  <c r="Q8" i="32"/>
  <c r="R8" i="32"/>
  <c r="S8" i="32"/>
  <c r="T8" i="32"/>
  <c r="U8" i="32"/>
  <c r="Q9" i="32"/>
  <c r="R9" i="32"/>
  <c r="S9" i="32"/>
  <c r="T9" i="32"/>
  <c r="U9" i="32"/>
  <c r="Q10" i="32"/>
  <c r="R10" i="32"/>
  <c r="S10" i="32"/>
  <c r="T10" i="32"/>
  <c r="U10" i="32"/>
  <c r="Q11" i="32"/>
  <c r="R11" i="32"/>
  <c r="S11" i="32"/>
  <c r="T11" i="32"/>
  <c r="U11" i="32"/>
  <c r="Q12" i="32"/>
  <c r="R12" i="32"/>
  <c r="S12" i="32"/>
  <c r="T12" i="32"/>
  <c r="U12" i="32"/>
  <c r="Q13" i="32"/>
  <c r="R13" i="32"/>
  <c r="S13" i="32"/>
  <c r="T13" i="32"/>
  <c r="U13" i="32"/>
  <c r="Q14" i="32"/>
  <c r="R14" i="32"/>
  <c r="S14" i="32"/>
  <c r="T14" i="32"/>
  <c r="U14" i="32"/>
  <c r="Q15" i="32"/>
  <c r="R15" i="32"/>
  <c r="S15" i="32"/>
  <c r="T15" i="32"/>
  <c r="U15" i="32"/>
  <c r="Q16" i="32"/>
  <c r="R16" i="32"/>
  <c r="S16" i="32"/>
  <c r="T16" i="32"/>
  <c r="U16" i="32"/>
  <c r="Q17" i="32"/>
  <c r="R17" i="32"/>
  <c r="S17" i="32"/>
  <c r="T17" i="32"/>
  <c r="U17" i="32"/>
  <c r="Q18" i="32"/>
  <c r="R18" i="32"/>
  <c r="S18" i="32"/>
  <c r="T18" i="32"/>
  <c r="U18" i="32"/>
  <c r="Q19" i="32"/>
  <c r="R19" i="32"/>
  <c r="S19" i="32"/>
  <c r="T19" i="32"/>
  <c r="U19" i="32"/>
  <c r="Q20" i="32"/>
  <c r="R20" i="32"/>
  <c r="S20" i="32"/>
  <c r="T20" i="32"/>
  <c r="U20" i="32"/>
  <c r="Q21" i="32"/>
  <c r="R21" i="32"/>
  <c r="S21" i="32"/>
  <c r="T21" i="32"/>
  <c r="U21" i="32"/>
  <c r="Q22" i="32"/>
  <c r="R22" i="32"/>
  <c r="S22" i="32"/>
  <c r="T22" i="32"/>
  <c r="U22" i="32"/>
  <c r="Q23" i="32"/>
  <c r="R23" i="32"/>
  <c r="S23" i="32"/>
  <c r="T23" i="32"/>
  <c r="U23" i="32"/>
  <c r="Q24" i="32"/>
  <c r="R24" i="32"/>
  <c r="S24" i="32"/>
  <c r="T24" i="32"/>
  <c r="U24" i="32"/>
  <c r="Q25" i="32"/>
  <c r="R25" i="32"/>
  <c r="S25" i="32"/>
  <c r="T25" i="32"/>
  <c r="U25" i="32"/>
  <c r="Q26" i="32"/>
  <c r="R26" i="32"/>
  <c r="S26" i="32"/>
  <c r="T26" i="32"/>
  <c r="U26" i="32"/>
  <c r="Q27" i="32"/>
  <c r="R27" i="32"/>
  <c r="S27" i="32"/>
  <c r="T27" i="32"/>
  <c r="U27" i="32"/>
  <c r="Q28" i="32"/>
  <c r="R28" i="32"/>
  <c r="S28" i="32"/>
  <c r="T28" i="32"/>
  <c r="U28" i="32"/>
  <c r="Q29" i="32"/>
  <c r="R29" i="32"/>
  <c r="S29" i="32"/>
  <c r="T29" i="32"/>
  <c r="U29" i="32"/>
  <c r="Q30" i="32"/>
  <c r="R30" i="32"/>
  <c r="S30" i="32"/>
  <c r="T30" i="32"/>
  <c r="U30" i="32"/>
  <c r="Q31" i="32"/>
  <c r="R31" i="32"/>
  <c r="S31" i="32"/>
  <c r="T31" i="32"/>
  <c r="U31" i="32"/>
  <c r="Q32" i="32"/>
  <c r="R32" i="32"/>
  <c r="S32" i="32"/>
  <c r="T32" i="32"/>
  <c r="U32" i="32"/>
  <c r="Q33" i="32"/>
  <c r="R33" i="32"/>
  <c r="S33" i="32"/>
  <c r="T33" i="32"/>
  <c r="U33" i="32"/>
  <c r="Q34" i="32"/>
  <c r="R34" i="32"/>
  <c r="S34" i="32"/>
  <c r="T34" i="32"/>
  <c r="U34" i="32"/>
  <c r="Q35" i="32"/>
  <c r="R35" i="32"/>
  <c r="S35" i="32"/>
  <c r="T35" i="32"/>
  <c r="U35" i="32"/>
  <c r="Q36" i="32"/>
  <c r="R36" i="32"/>
  <c r="S36" i="32"/>
  <c r="T36" i="32"/>
  <c r="U36" i="32"/>
  <c r="Q37" i="32"/>
  <c r="R37" i="32"/>
  <c r="S37" i="32"/>
  <c r="T37" i="32"/>
  <c r="U37" i="32"/>
  <c r="Q38" i="32"/>
  <c r="R38" i="32"/>
  <c r="S38" i="32"/>
  <c r="T38" i="32"/>
  <c r="U38" i="32"/>
  <c r="Q39" i="32"/>
  <c r="R39" i="32"/>
  <c r="S39" i="32"/>
  <c r="T39" i="32"/>
  <c r="U39" i="32"/>
  <c r="Q40" i="32"/>
  <c r="R40" i="32"/>
  <c r="S40" i="32"/>
  <c r="T40" i="32"/>
  <c r="U40" i="32"/>
  <c r="Q41" i="32"/>
  <c r="R41" i="32"/>
  <c r="S41" i="32"/>
  <c r="T41" i="32"/>
  <c r="U41" i="32"/>
  <c r="Q42" i="32"/>
  <c r="R42" i="32"/>
  <c r="S42" i="32"/>
  <c r="T42" i="32"/>
  <c r="U42" i="32"/>
  <c r="Q43" i="32"/>
  <c r="R43" i="32"/>
  <c r="S43" i="32"/>
  <c r="T43" i="32"/>
  <c r="U43" i="32"/>
  <c r="Q44" i="32"/>
  <c r="R44" i="32"/>
  <c r="S44" i="32"/>
  <c r="T44" i="32"/>
  <c r="U44" i="32"/>
  <c r="Q45" i="32"/>
  <c r="R45" i="32"/>
  <c r="S45" i="32"/>
  <c r="T45" i="32"/>
  <c r="U45" i="32"/>
  <c r="Q46" i="32"/>
  <c r="R46" i="32"/>
  <c r="S46" i="32"/>
  <c r="T46" i="32"/>
  <c r="U46" i="32"/>
  <c r="Q47" i="32"/>
  <c r="R47" i="32"/>
  <c r="S47" i="32"/>
  <c r="T47" i="32"/>
  <c r="U47" i="32"/>
  <c r="Q48" i="32"/>
  <c r="R48" i="32"/>
  <c r="S48" i="32"/>
  <c r="T48" i="32"/>
  <c r="U48" i="32"/>
  <c r="Q49" i="32"/>
  <c r="R49" i="32"/>
  <c r="S49" i="32"/>
  <c r="T49" i="32"/>
  <c r="U49" i="32"/>
  <c r="Q50" i="32"/>
  <c r="R50" i="32"/>
  <c r="S50" i="32"/>
  <c r="T50" i="32"/>
  <c r="U50" i="32"/>
  <c r="Q51" i="32"/>
  <c r="R51" i="32"/>
  <c r="S51" i="32"/>
  <c r="T51" i="32"/>
  <c r="U51" i="32"/>
  <c r="Q52" i="32"/>
  <c r="R52" i="32"/>
  <c r="S52" i="32"/>
  <c r="T52" i="32"/>
  <c r="U52" i="32"/>
  <c r="Q53" i="32"/>
  <c r="R53" i="32"/>
  <c r="S53" i="32"/>
  <c r="T53" i="32"/>
  <c r="U53" i="32"/>
  <c r="Q54" i="32"/>
  <c r="R54" i="32"/>
  <c r="S54" i="32"/>
  <c r="T54" i="32"/>
  <c r="U54" i="32"/>
  <c r="R3" i="32"/>
  <c r="S3" i="32"/>
  <c r="T3" i="32"/>
  <c r="U3" i="32"/>
  <c r="Q3" i="32"/>
  <c r="L4" i="32"/>
  <c r="M4" i="32"/>
  <c r="N4" i="32"/>
  <c r="O4" i="32"/>
  <c r="P4" i="32"/>
  <c r="L5" i="32"/>
  <c r="M5" i="32"/>
  <c r="N5" i="32"/>
  <c r="O5" i="32"/>
  <c r="P5" i="32"/>
  <c r="L6" i="32"/>
  <c r="M6" i="32"/>
  <c r="N6" i="32"/>
  <c r="O6" i="32"/>
  <c r="P6" i="32"/>
  <c r="L7" i="32"/>
  <c r="M7" i="32"/>
  <c r="N7" i="32"/>
  <c r="O7" i="32"/>
  <c r="P7" i="32"/>
  <c r="L8" i="32"/>
  <c r="M8" i="32"/>
  <c r="N8" i="32"/>
  <c r="O8" i="32"/>
  <c r="P8" i="32"/>
  <c r="L9" i="32"/>
  <c r="M9" i="32"/>
  <c r="N9" i="32"/>
  <c r="O9" i="32"/>
  <c r="P9" i="32"/>
  <c r="L10" i="32"/>
  <c r="M10" i="32"/>
  <c r="N10" i="32"/>
  <c r="O10" i="32"/>
  <c r="P10" i="32"/>
  <c r="L11" i="32"/>
  <c r="M11" i="32"/>
  <c r="N11" i="32"/>
  <c r="O11" i="32"/>
  <c r="P11" i="32"/>
  <c r="L12" i="32"/>
  <c r="M12" i="32"/>
  <c r="N12" i="32"/>
  <c r="O12" i="32"/>
  <c r="P12" i="32"/>
  <c r="L13" i="32"/>
  <c r="M13" i="32"/>
  <c r="N13" i="32"/>
  <c r="O13" i="32"/>
  <c r="P13" i="32"/>
  <c r="L14" i="32"/>
  <c r="M14" i="32"/>
  <c r="N14" i="32"/>
  <c r="O14" i="32"/>
  <c r="P14" i="32"/>
  <c r="L15" i="32"/>
  <c r="M15" i="32"/>
  <c r="N15" i="32"/>
  <c r="O15" i="32"/>
  <c r="P15" i="32"/>
  <c r="L16" i="32"/>
  <c r="M16" i="32"/>
  <c r="N16" i="32"/>
  <c r="O16" i="32"/>
  <c r="P16" i="32"/>
  <c r="L17" i="32"/>
  <c r="M17" i="32"/>
  <c r="N17" i="32"/>
  <c r="O17" i="32"/>
  <c r="P17" i="32"/>
  <c r="L18" i="32"/>
  <c r="M18" i="32"/>
  <c r="N18" i="32"/>
  <c r="O18" i="32"/>
  <c r="P18" i="32"/>
  <c r="L19" i="32"/>
  <c r="M19" i="32"/>
  <c r="N19" i="32"/>
  <c r="O19" i="32"/>
  <c r="P19" i="32"/>
  <c r="L20" i="32"/>
  <c r="M20" i="32"/>
  <c r="N20" i="32"/>
  <c r="O20" i="32"/>
  <c r="P20" i="32"/>
  <c r="L21" i="32"/>
  <c r="M21" i="32"/>
  <c r="N21" i="32"/>
  <c r="O21" i="32"/>
  <c r="P21" i="32"/>
  <c r="L22" i="32"/>
  <c r="M22" i="32"/>
  <c r="N22" i="32"/>
  <c r="O22" i="32"/>
  <c r="P22" i="32"/>
  <c r="L23" i="32"/>
  <c r="M23" i="32"/>
  <c r="N23" i="32"/>
  <c r="O23" i="32"/>
  <c r="P23" i="32"/>
  <c r="L24" i="32"/>
  <c r="M24" i="32"/>
  <c r="N24" i="32"/>
  <c r="O24" i="32"/>
  <c r="P24" i="32"/>
  <c r="L25" i="32"/>
  <c r="M25" i="32"/>
  <c r="N25" i="32"/>
  <c r="O25" i="32"/>
  <c r="P25" i="32"/>
  <c r="L26" i="32"/>
  <c r="M26" i="32"/>
  <c r="N26" i="32"/>
  <c r="O26" i="32"/>
  <c r="P26" i="32"/>
  <c r="L27" i="32"/>
  <c r="M27" i="32"/>
  <c r="N27" i="32"/>
  <c r="O27" i="32"/>
  <c r="P27" i="32"/>
  <c r="L28" i="32"/>
  <c r="M28" i="32"/>
  <c r="N28" i="32"/>
  <c r="O28" i="32"/>
  <c r="P28" i="32"/>
  <c r="L29" i="32"/>
  <c r="M29" i="32"/>
  <c r="N29" i="32"/>
  <c r="O29" i="32"/>
  <c r="P29" i="32"/>
  <c r="L30" i="32"/>
  <c r="M30" i="32"/>
  <c r="N30" i="32"/>
  <c r="O30" i="32"/>
  <c r="P30" i="32"/>
  <c r="L31" i="32"/>
  <c r="M31" i="32"/>
  <c r="N31" i="32"/>
  <c r="O31" i="32"/>
  <c r="P31" i="32"/>
  <c r="L32" i="32"/>
  <c r="M32" i="32"/>
  <c r="N32" i="32"/>
  <c r="O32" i="32"/>
  <c r="P32" i="32"/>
  <c r="L33" i="32"/>
  <c r="M33" i="32"/>
  <c r="N33" i="32"/>
  <c r="O33" i="32"/>
  <c r="P33" i="32"/>
  <c r="L34" i="32"/>
  <c r="M34" i="32"/>
  <c r="N34" i="32"/>
  <c r="O34" i="32"/>
  <c r="P34" i="32"/>
  <c r="L35" i="32"/>
  <c r="M35" i="32"/>
  <c r="N35" i="32"/>
  <c r="O35" i="32"/>
  <c r="P35" i="32"/>
  <c r="L36" i="32"/>
  <c r="M36" i="32"/>
  <c r="N36" i="32"/>
  <c r="O36" i="32"/>
  <c r="P36" i="32"/>
  <c r="L37" i="32"/>
  <c r="M37" i="32"/>
  <c r="N37" i="32"/>
  <c r="O37" i="32"/>
  <c r="P37" i="32"/>
  <c r="L38" i="32"/>
  <c r="M38" i="32"/>
  <c r="N38" i="32"/>
  <c r="O38" i="32"/>
  <c r="P38" i="32"/>
  <c r="L39" i="32"/>
  <c r="M39" i="32"/>
  <c r="N39" i="32"/>
  <c r="O39" i="32"/>
  <c r="P39" i="32"/>
  <c r="L40" i="32"/>
  <c r="M40" i="32"/>
  <c r="N40" i="32"/>
  <c r="O40" i="32"/>
  <c r="P40" i="32"/>
  <c r="L41" i="32"/>
  <c r="M41" i="32"/>
  <c r="N41" i="32"/>
  <c r="O41" i="32"/>
  <c r="P41" i="32"/>
  <c r="L42" i="32"/>
  <c r="M42" i="32"/>
  <c r="N42" i="32"/>
  <c r="O42" i="32"/>
  <c r="P42" i="32"/>
  <c r="L43" i="32"/>
  <c r="M43" i="32"/>
  <c r="N43" i="32"/>
  <c r="O43" i="32"/>
  <c r="P43" i="32"/>
  <c r="L44" i="32"/>
  <c r="M44" i="32"/>
  <c r="N44" i="32"/>
  <c r="O44" i="32"/>
  <c r="P44" i="32"/>
  <c r="L45" i="32"/>
  <c r="M45" i="32"/>
  <c r="N45" i="32"/>
  <c r="O45" i="32"/>
  <c r="P45" i="32"/>
  <c r="L46" i="32"/>
  <c r="M46" i="32"/>
  <c r="N46" i="32"/>
  <c r="O46" i="32"/>
  <c r="P46" i="32"/>
  <c r="L47" i="32"/>
  <c r="M47" i="32"/>
  <c r="N47" i="32"/>
  <c r="O47" i="32"/>
  <c r="P47" i="32"/>
  <c r="L48" i="32"/>
  <c r="M48" i="32"/>
  <c r="N48" i="32"/>
  <c r="O48" i="32"/>
  <c r="P48" i="32"/>
  <c r="L49" i="32"/>
  <c r="M49" i="32"/>
  <c r="N49" i="32"/>
  <c r="O49" i="32"/>
  <c r="P49" i="32"/>
  <c r="L50" i="32"/>
  <c r="M50" i="32"/>
  <c r="N50" i="32"/>
  <c r="O50" i="32"/>
  <c r="P50" i="32"/>
  <c r="L51" i="32"/>
  <c r="M51" i="32"/>
  <c r="N51" i="32"/>
  <c r="O51" i="32"/>
  <c r="P51" i="32"/>
  <c r="L52" i="32"/>
  <c r="M52" i="32"/>
  <c r="N52" i="32"/>
  <c r="O52" i="32"/>
  <c r="P52" i="32"/>
  <c r="L53" i="32"/>
  <c r="M53" i="32"/>
  <c r="N53" i="32"/>
  <c r="O53" i="32"/>
  <c r="P53" i="32"/>
  <c r="L54" i="32"/>
  <c r="M54" i="32"/>
  <c r="N54" i="32"/>
  <c r="O54" i="32"/>
  <c r="P54" i="32"/>
  <c r="M3" i="32"/>
  <c r="N3" i="32"/>
  <c r="O3" i="32"/>
  <c r="P3" i="32"/>
  <c r="L3" i="32"/>
  <c r="G4" i="32"/>
  <c r="H4" i="32"/>
  <c r="I4" i="32"/>
  <c r="J4" i="32"/>
  <c r="K4" i="32"/>
  <c r="G5" i="32"/>
  <c r="H5" i="32"/>
  <c r="I5" i="32"/>
  <c r="J5" i="32"/>
  <c r="K5" i="32"/>
  <c r="G6" i="32"/>
  <c r="H6" i="32"/>
  <c r="I6" i="32"/>
  <c r="J6" i="32"/>
  <c r="K6" i="32"/>
  <c r="G7" i="32"/>
  <c r="H7" i="32"/>
  <c r="I7" i="32"/>
  <c r="J7" i="32"/>
  <c r="K7" i="32"/>
  <c r="G8" i="32"/>
  <c r="H8" i="32"/>
  <c r="I8" i="32"/>
  <c r="J8" i="32"/>
  <c r="K8" i="32"/>
  <c r="G9" i="32"/>
  <c r="H9" i="32"/>
  <c r="I9" i="32"/>
  <c r="J9" i="32"/>
  <c r="K9" i="32"/>
  <c r="G10" i="32"/>
  <c r="H10" i="32"/>
  <c r="I10" i="32"/>
  <c r="J10" i="32"/>
  <c r="K10" i="32"/>
  <c r="G11" i="32"/>
  <c r="H11" i="32"/>
  <c r="I11" i="32"/>
  <c r="J11" i="32"/>
  <c r="K11" i="32"/>
  <c r="G12" i="32"/>
  <c r="H12" i="32"/>
  <c r="I12" i="32"/>
  <c r="J12" i="32"/>
  <c r="K12" i="32"/>
  <c r="G13" i="32"/>
  <c r="H13" i="32"/>
  <c r="I13" i="32"/>
  <c r="J13" i="32"/>
  <c r="K13" i="32"/>
  <c r="Y13" i="32" s="1"/>
  <c r="G14" i="32"/>
  <c r="H14" i="32"/>
  <c r="I14" i="32"/>
  <c r="J14" i="32"/>
  <c r="K14" i="32"/>
  <c r="G15" i="32"/>
  <c r="H15" i="32"/>
  <c r="I15" i="32"/>
  <c r="J15" i="32"/>
  <c r="K15" i="32"/>
  <c r="G16" i="32"/>
  <c r="H16" i="32"/>
  <c r="I16" i="32"/>
  <c r="J16" i="32"/>
  <c r="K16" i="32"/>
  <c r="G17" i="32"/>
  <c r="H17" i="32"/>
  <c r="I17" i="32"/>
  <c r="J17" i="32"/>
  <c r="K17" i="32"/>
  <c r="G18" i="32"/>
  <c r="H18" i="32"/>
  <c r="I18" i="32"/>
  <c r="J18" i="32"/>
  <c r="K18" i="32"/>
  <c r="G19" i="32"/>
  <c r="H19" i="32"/>
  <c r="I19" i="32"/>
  <c r="J19" i="32"/>
  <c r="K19" i="32"/>
  <c r="G20" i="32"/>
  <c r="H20" i="32"/>
  <c r="I20" i="32"/>
  <c r="J20" i="32"/>
  <c r="K20" i="32"/>
  <c r="G21" i="32"/>
  <c r="H21" i="32"/>
  <c r="I21" i="32"/>
  <c r="J21" i="32"/>
  <c r="K21" i="32"/>
  <c r="G22" i="32"/>
  <c r="H22" i="32"/>
  <c r="I22" i="32"/>
  <c r="J22" i="32"/>
  <c r="K22" i="32"/>
  <c r="G23" i="32"/>
  <c r="H23" i="32"/>
  <c r="I23" i="32"/>
  <c r="J23" i="32"/>
  <c r="K23" i="32"/>
  <c r="G24" i="32"/>
  <c r="H24" i="32"/>
  <c r="I24" i="32"/>
  <c r="J24" i="32"/>
  <c r="K24" i="32"/>
  <c r="G25" i="32"/>
  <c r="H25" i="32"/>
  <c r="I25" i="32"/>
  <c r="J25" i="32"/>
  <c r="K25" i="32"/>
  <c r="Y25" i="32" s="1"/>
  <c r="G26" i="32"/>
  <c r="H26" i="32"/>
  <c r="I26" i="32"/>
  <c r="J26" i="32"/>
  <c r="K26" i="32"/>
  <c r="G27" i="32"/>
  <c r="H27" i="32"/>
  <c r="I27" i="32"/>
  <c r="J27" i="32"/>
  <c r="K27" i="32"/>
  <c r="G28" i="32"/>
  <c r="H28" i="32"/>
  <c r="I28" i="32"/>
  <c r="J28" i="32"/>
  <c r="K28" i="32"/>
  <c r="G29" i="32"/>
  <c r="H29" i="32"/>
  <c r="I29" i="32"/>
  <c r="J29" i="32"/>
  <c r="K29" i="32"/>
  <c r="G30" i="32"/>
  <c r="H30" i="32"/>
  <c r="I30" i="32"/>
  <c r="J30" i="32"/>
  <c r="K30" i="32"/>
  <c r="G31" i="32"/>
  <c r="H31" i="32"/>
  <c r="I31" i="32"/>
  <c r="J31" i="32"/>
  <c r="K31" i="32"/>
  <c r="G32" i="32"/>
  <c r="H32" i="32"/>
  <c r="I32" i="32"/>
  <c r="J32" i="32"/>
  <c r="K32" i="32"/>
  <c r="G33" i="32"/>
  <c r="H33" i="32"/>
  <c r="I33" i="32"/>
  <c r="J33" i="32"/>
  <c r="K33" i="32"/>
  <c r="G34" i="32"/>
  <c r="H34" i="32"/>
  <c r="I34" i="32"/>
  <c r="J34" i="32"/>
  <c r="K34" i="32"/>
  <c r="G35" i="32"/>
  <c r="H35" i="32"/>
  <c r="I35" i="32"/>
  <c r="J35" i="32"/>
  <c r="K35" i="32"/>
  <c r="G36" i="32"/>
  <c r="H36" i="32"/>
  <c r="I36" i="32"/>
  <c r="J36" i="32"/>
  <c r="K36" i="32"/>
  <c r="G37" i="32"/>
  <c r="H37" i="32"/>
  <c r="I37" i="32"/>
  <c r="J37" i="32"/>
  <c r="K37" i="32"/>
  <c r="Y37" i="32" s="1"/>
  <c r="G38" i="32"/>
  <c r="H38" i="32"/>
  <c r="I38" i="32"/>
  <c r="J38" i="32"/>
  <c r="K38" i="32"/>
  <c r="G39" i="32"/>
  <c r="H39" i="32"/>
  <c r="I39" i="32"/>
  <c r="J39" i="32"/>
  <c r="K39" i="32"/>
  <c r="G40" i="32"/>
  <c r="H40" i="32"/>
  <c r="I40" i="32"/>
  <c r="J40" i="32"/>
  <c r="K40" i="32"/>
  <c r="G41" i="32"/>
  <c r="H41" i="32"/>
  <c r="I41" i="32"/>
  <c r="J41" i="32"/>
  <c r="K41" i="32"/>
  <c r="G42" i="32"/>
  <c r="H42" i="32"/>
  <c r="I42" i="32"/>
  <c r="J42" i="32"/>
  <c r="K42" i="32"/>
  <c r="G43" i="32"/>
  <c r="H43" i="32"/>
  <c r="I43" i="32"/>
  <c r="J43" i="32"/>
  <c r="K43" i="32"/>
  <c r="G44" i="32"/>
  <c r="H44" i="32"/>
  <c r="I44" i="32"/>
  <c r="J44" i="32"/>
  <c r="K44" i="32"/>
  <c r="G45" i="32"/>
  <c r="H45" i="32"/>
  <c r="I45" i="32"/>
  <c r="J45" i="32"/>
  <c r="K45" i="32"/>
  <c r="G46" i="32"/>
  <c r="H46" i="32"/>
  <c r="I46" i="32"/>
  <c r="J46" i="32"/>
  <c r="K46" i="32"/>
  <c r="G47" i="32"/>
  <c r="H47" i="32"/>
  <c r="I47" i="32"/>
  <c r="J47" i="32"/>
  <c r="K47" i="32"/>
  <c r="G48" i="32"/>
  <c r="H48" i="32"/>
  <c r="I48" i="32"/>
  <c r="J48" i="32"/>
  <c r="K48" i="32"/>
  <c r="G49" i="32"/>
  <c r="H49" i="32"/>
  <c r="I49" i="32"/>
  <c r="J49" i="32"/>
  <c r="K49" i="32"/>
  <c r="Y49" i="32" s="1"/>
  <c r="G50" i="32"/>
  <c r="H50" i="32"/>
  <c r="I50" i="32"/>
  <c r="J50" i="32"/>
  <c r="K50" i="32"/>
  <c r="G51" i="32"/>
  <c r="H51" i="32"/>
  <c r="I51" i="32"/>
  <c r="J51" i="32"/>
  <c r="K51" i="32"/>
  <c r="G52" i="32"/>
  <c r="H52" i="32"/>
  <c r="I52" i="32"/>
  <c r="J52" i="32"/>
  <c r="K52" i="32"/>
  <c r="G53" i="32"/>
  <c r="H53" i="32"/>
  <c r="I53" i="32"/>
  <c r="J53" i="32"/>
  <c r="K53" i="32"/>
  <c r="G54" i="32"/>
  <c r="H54" i="32"/>
  <c r="I54" i="32"/>
  <c r="J54" i="32"/>
  <c r="K54" i="32"/>
  <c r="H3" i="32"/>
  <c r="I3" i="32"/>
  <c r="J3" i="32"/>
  <c r="K3" i="32"/>
  <c r="G3" i="32"/>
  <c r="B4" i="32"/>
  <c r="Y4" i="32" s="1"/>
  <c r="C4" i="32"/>
  <c r="D4" i="32"/>
  <c r="E4" i="32"/>
  <c r="F4" i="32"/>
  <c r="B5" i="32"/>
  <c r="Y5" i="32" s="1"/>
  <c r="C5" i="32"/>
  <c r="D5" i="32"/>
  <c r="E5" i="32"/>
  <c r="F5" i="32"/>
  <c r="B6" i="32"/>
  <c r="X6" i="32" s="1"/>
  <c r="C6" i="32"/>
  <c r="D6" i="32"/>
  <c r="E6" i="32"/>
  <c r="F6" i="32"/>
  <c r="B7" i="32"/>
  <c r="W7" i="32" s="1"/>
  <c r="C7" i="32"/>
  <c r="D7" i="32"/>
  <c r="E7" i="32"/>
  <c r="F7" i="32"/>
  <c r="B8" i="32"/>
  <c r="W8" i="32" s="1"/>
  <c r="C8" i="32"/>
  <c r="D8" i="32"/>
  <c r="E8" i="32"/>
  <c r="F8" i="32"/>
  <c r="B9" i="32"/>
  <c r="W9" i="32" s="1"/>
  <c r="C9" i="32"/>
  <c r="D9" i="32"/>
  <c r="E9" i="32"/>
  <c r="F9" i="32"/>
  <c r="Y9" i="32" s="1"/>
  <c r="B10" i="32"/>
  <c r="X10" i="32" s="1"/>
  <c r="C10" i="32"/>
  <c r="D10" i="32"/>
  <c r="E10" i="32"/>
  <c r="F10" i="32"/>
  <c r="B11" i="32"/>
  <c r="W11" i="32" s="1"/>
  <c r="C11" i="32"/>
  <c r="D11" i="32"/>
  <c r="E11" i="32"/>
  <c r="F11" i="32"/>
  <c r="B12" i="32"/>
  <c r="W12" i="32" s="1"/>
  <c r="C12" i="32"/>
  <c r="D12" i="32"/>
  <c r="E12" i="32"/>
  <c r="F12" i="32"/>
  <c r="B13" i="32"/>
  <c r="W13" i="32" s="1"/>
  <c r="C13" i="32"/>
  <c r="D13" i="32"/>
  <c r="E13" i="32"/>
  <c r="F13" i="32"/>
  <c r="B14" i="32"/>
  <c r="X14" i="32" s="1"/>
  <c r="C14" i="32"/>
  <c r="D14" i="32"/>
  <c r="E14" i="32"/>
  <c r="F14" i="32"/>
  <c r="B15" i="32"/>
  <c r="W15" i="32" s="1"/>
  <c r="C15" i="32"/>
  <c r="D15" i="32"/>
  <c r="E15" i="32"/>
  <c r="F15" i="32"/>
  <c r="B16" i="32"/>
  <c r="W16" i="32" s="1"/>
  <c r="C16" i="32"/>
  <c r="D16" i="32"/>
  <c r="E16" i="32"/>
  <c r="F16" i="32"/>
  <c r="B17" i="32"/>
  <c r="Y17" i="32" s="1"/>
  <c r="C17" i="32"/>
  <c r="D17" i="32"/>
  <c r="E17" i="32"/>
  <c r="F17" i="32"/>
  <c r="B18" i="32"/>
  <c r="X18" i="32" s="1"/>
  <c r="C18" i="32"/>
  <c r="D18" i="32"/>
  <c r="E18" i="32"/>
  <c r="F18" i="32"/>
  <c r="B19" i="32"/>
  <c r="W19" i="32" s="1"/>
  <c r="C19" i="32"/>
  <c r="D19" i="32"/>
  <c r="E19" i="32"/>
  <c r="F19" i="32"/>
  <c r="B20" i="32"/>
  <c r="W20" i="32" s="1"/>
  <c r="C20" i="32"/>
  <c r="D20" i="32"/>
  <c r="E20" i="32"/>
  <c r="F20" i="32"/>
  <c r="B21" i="32"/>
  <c r="W21" i="32" s="1"/>
  <c r="C21" i="32"/>
  <c r="D21" i="32"/>
  <c r="E21" i="32"/>
  <c r="F21" i="32"/>
  <c r="Y21" i="32" s="1"/>
  <c r="B22" i="32"/>
  <c r="X22" i="32" s="1"/>
  <c r="C22" i="32"/>
  <c r="D22" i="32"/>
  <c r="E22" i="32"/>
  <c r="F22" i="32"/>
  <c r="B23" i="32"/>
  <c r="W23" i="32" s="1"/>
  <c r="C23" i="32"/>
  <c r="D23" i="32"/>
  <c r="E23" i="32"/>
  <c r="F23" i="32"/>
  <c r="B24" i="32"/>
  <c r="W24" i="32" s="1"/>
  <c r="C24" i="32"/>
  <c r="D24" i="32"/>
  <c r="E24" i="32"/>
  <c r="F24" i="32"/>
  <c r="B25" i="32"/>
  <c r="W25" i="32" s="1"/>
  <c r="C25" i="32"/>
  <c r="D25" i="32"/>
  <c r="E25" i="32"/>
  <c r="F25" i="32"/>
  <c r="B26" i="32"/>
  <c r="X26" i="32" s="1"/>
  <c r="C26" i="32"/>
  <c r="D26" i="32"/>
  <c r="E26" i="32"/>
  <c r="F26" i="32"/>
  <c r="B27" i="32"/>
  <c r="W27" i="32" s="1"/>
  <c r="C27" i="32"/>
  <c r="D27" i="32"/>
  <c r="E27" i="32"/>
  <c r="F27" i="32"/>
  <c r="B28" i="32"/>
  <c r="W28" i="32" s="1"/>
  <c r="C28" i="32"/>
  <c r="D28" i="32"/>
  <c r="E28" i="32"/>
  <c r="F28" i="32"/>
  <c r="B29" i="32"/>
  <c r="Y29" i="32" s="1"/>
  <c r="C29" i="32"/>
  <c r="D29" i="32"/>
  <c r="E29" i="32"/>
  <c r="F29" i="32"/>
  <c r="B30" i="32"/>
  <c r="X30" i="32" s="1"/>
  <c r="C30" i="32"/>
  <c r="D30" i="32"/>
  <c r="E30" i="32"/>
  <c r="F30" i="32"/>
  <c r="B31" i="32"/>
  <c r="W31" i="32" s="1"/>
  <c r="C31" i="32"/>
  <c r="D31" i="32"/>
  <c r="E31" i="32"/>
  <c r="F31" i="32"/>
  <c r="B32" i="32"/>
  <c r="W32" i="32" s="1"/>
  <c r="C32" i="32"/>
  <c r="D32" i="32"/>
  <c r="E32" i="32"/>
  <c r="F32" i="32"/>
  <c r="B33" i="32"/>
  <c r="W33" i="32" s="1"/>
  <c r="C33" i="32"/>
  <c r="D33" i="32"/>
  <c r="E33" i="32"/>
  <c r="F33" i="32"/>
  <c r="Y33" i="32" s="1"/>
  <c r="B34" i="32"/>
  <c r="X34" i="32" s="1"/>
  <c r="C34" i="32"/>
  <c r="D34" i="32"/>
  <c r="E34" i="32"/>
  <c r="F34" i="32"/>
  <c r="B35" i="32"/>
  <c r="W35" i="32" s="1"/>
  <c r="C35" i="32"/>
  <c r="D35" i="32"/>
  <c r="E35" i="32"/>
  <c r="F35" i="32"/>
  <c r="B36" i="32"/>
  <c r="W36" i="32" s="1"/>
  <c r="C36" i="32"/>
  <c r="D36" i="32"/>
  <c r="E36" i="32"/>
  <c r="F36" i="32"/>
  <c r="B37" i="32"/>
  <c r="W37" i="32" s="1"/>
  <c r="C37" i="32"/>
  <c r="D37" i="32"/>
  <c r="E37" i="32"/>
  <c r="F37" i="32"/>
  <c r="B38" i="32"/>
  <c r="X38" i="32" s="1"/>
  <c r="C38" i="32"/>
  <c r="D38" i="32"/>
  <c r="E38" i="32"/>
  <c r="F38" i="32"/>
  <c r="B39" i="32"/>
  <c r="W39" i="32" s="1"/>
  <c r="C39" i="32"/>
  <c r="D39" i="32"/>
  <c r="E39" i="32"/>
  <c r="F39" i="32"/>
  <c r="B40" i="32"/>
  <c r="W40" i="32" s="1"/>
  <c r="C40" i="32"/>
  <c r="D40" i="32"/>
  <c r="E40" i="32"/>
  <c r="F40" i="32"/>
  <c r="B41" i="32"/>
  <c r="Y41" i="32" s="1"/>
  <c r="C41" i="32"/>
  <c r="D41" i="32"/>
  <c r="E41" i="32"/>
  <c r="F41" i="32"/>
  <c r="B42" i="32"/>
  <c r="X42" i="32" s="1"/>
  <c r="C42" i="32"/>
  <c r="D42" i="32"/>
  <c r="E42" i="32"/>
  <c r="F42" i="32"/>
  <c r="B43" i="32"/>
  <c r="W43" i="32" s="1"/>
  <c r="C43" i="32"/>
  <c r="D43" i="32"/>
  <c r="E43" i="32"/>
  <c r="F43" i="32"/>
  <c r="B44" i="32"/>
  <c r="W44" i="32" s="1"/>
  <c r="C44" i="32"/>
  <c r="D44" i="32"/>
  <c r="E44" i="32"/>
  <c r="F44" i="32"/>
  <c r="B45" i="32"/>
  <c r="W45" i="32" s="1"/>
  <c r="C45" i="32"/>
  <c r="D45" i="32"/>
  <c r="E45" i="32"/>
  <c r="F45" i="32"/>
  <c r="Y45" i="32" s="1"/>
  <c r="B46" i="32"/>
  <c r="X46" i="32" s="1"/>
  <c r="C46" i="32"/>
  <c r="D46" i="32"/>
  <c r="E46" i="32"/>
  <c r="F46" i="32"/>
  <c r="B47" i="32"/>
  <c r="W47" i="32" s="1"/>
  <c r="C47" i="32"/>
  <c r="D47" i="32"/>
  <c r="E47" i="32"/>
  <c r="F47" i="32"/>
  <c r="B48" i="32"/>
  <c r="W48" i="32" s="1"/>
  <c r="C48" i="32"/>
  <c r="D48" i="32"/>
  <c r="E48" i="32"/>
  <c r="F48" i="32"/>
  <c r="B49" i="32"/>
  <c r="W49" i="32" s="1"/>
  <c r="C49" i="32"/>
  <c r="D49" i="32"/>
  <c r="E49" i="32"/>
  <c r="F49" i="32"/>
  <c r="B50" i="32"/>
  <c r="X50" i="32" s="1"/>
  <c r="C50" i="32"/>
  <c r="D50" i="32"/>
  <c r="E50" i="32"/>
  <c r="F50" i="32"/>
  <c r="B51" i="32"/>
  <c r="W51" i="32" s="1"/>
  <c r="C51" i="32"/>
  <c r="D51" i="32"/>
  <c r="E51" i="32"/>
  <c r="F51" i="32"/>
  <c r="B52" i="32"/>
  <c r="W52" i="32" s="1"/>
  <c r="C52" i="32"/>
  <c r="D52" i="32"/>
  <c r="E52" i="32"/>
  <c r="F52" i="32"/>
  <c r="B53" i="32"/>
  <c r="Y53" i="32" s="1"/>
  <c r="C53" i="32"/>
  <c r="D53" i="32"/>
  <c r="E53" i="32"/>
  <c r="F53" i="32"/>
  <c r="B54" i="32"/>
  <c r="X54" i="32" s="1"/>
  <c r="C54" i="32"/>
  <c r="D54" i="32"/>
  <c r="E54" i="32"/>
  <c r="F54" i="32"/>
  <c r="C3" i="32"/>
  <c r="D3" i="32"/>
  <c r="E3" i="32"/>
  <c r="F3" i="32"/>
  <c r="B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3" i="32"/>
  <c r="G4" i="27"/>
  <c r="H4" i="27"/>
  <c r="I4" i="27"/>
  <c r="G5" i="27"/>
  <c r="H5" i="27"/>
  <c r="I5" i="27"/>
  <c r="G6" i="27"/>
  <c r="H6" i="27"/>
  <c r="I6" i="27"/>
  <c r="G7" i="27"/>
  <c r="H7" i="27"/>
  <c r="I7" i="27"/>
  <c r="G8" i="27"/>
  <c r="H8" i="27"/>
  <c r="I8" i="27"/>
  <c r="G9" i="27"/>
  <c r="H9" i="27"/>
  <c r="I9" i="27"/>
  <c r="G10" i="27"/>
  <c r="H10" i="27"/>
  <c r="I10" i="27"/>
  <c r="G11" i="27"/>
  <c r="H11" i="27"/>
  <c r="I11" i="27"/>
  <c r="G12" i="27"/>
  <c r="H12" i="27"/>
  <c r="I12" i="27"/>
  <c r="G13" i="27"/>
  <c r="H13" i="27"/>
  <c r="I13" i="27"/>
  <c r="G14" i="27"/>
  <c r="H14" i="27"/>
  <c r="I14" i="27"/>
  <c r="G15" i="27"/>
  <c r="H15" i="27"/>
  <c r="I15" i="27"/>
  <c r="G16" i="27"/>
  <c r="H16" i="27"/>
  <c r="I16" i="27"/>
  <c r="G17" i="27"/>
  <c r="H17" i="27"/>
  <c r="I17" i="27"/>
  <c r="G18" i="27"/>
  <c r="H18" i="27"/>
  <c r="I18" i="27"/>
  <c r="G19" i="27"/>
  <c r="H19" i="27"/>
  <c r="I19" i="27"/>
  <c r="G20" i="27"/>
  <c r="H20" i="27"/>
  <c r="I20" i="27"/>
  <c r="G21" i="27"/>
  <c r="H21" i="27"/>
  <c r="I21" i="27"/>
  <c r="G22" i="27"/>
  <c r="H22" i="27"/>
  <c r="I22" i="27"/>
  <c r="G23" i="27"/>
  <c r="H23" i="27"/>
  <c r="I23" i="27"/>
  <c r="G24" i="27"/>
  <c r="H24" i="27"/>
  <c r="I24" i="27"/>
  <c r="G25" i="27"/>
  <c r="H25" i="27"/>
  <c r="I25" i="27"/>
  <c r="G26" i="27"/>
  <c r="H26" i="27"/>
  <c r="I26" i="27"/>
  <c r="G27" i="27"/>
  <c r="H27" i="27"/>
  <c r="I27" i="27"/>
  <c r="G28" i="27"/>
  <c r="H28" i="27"/>
  <c r="I28" i="27"/>
  <c r="G29" i="27"/>
  <c r="H29" i="27"/>
  <c r="I29" i="27"/>
  <c r="G30" i="27"/>
  <c r="H30" i="27"/>
  <c r="I30" i="27"/>
  <c r="G31" i="27"/>
  <c r="H31" i="27"/>
  <c r="I31" i="27"/>
  <c r="G32" i="27"/>
  <c r="H32" i="27"/>
  <c r="I32" i="27"/>
  <c r="G33" i="27"/>
  <c r="H33" i="27"/>
  <c r="I33" i="27"/>
  <c r="G34" i="27"/>
  <c r="H34" i="27"/>
  <c r="I34" i="27"/>
  <c r="G35" i="27"/>
  <c r="H35" i="27"/>
  <c r="I35" i="27"/>
  <c r="G36" i="27"/>
  <c r="H36" i="27"/>
  <c r="I36" i="27"/>
  <c r="G37" i="27"/>
  <c r="H37" i="27"/>
  <c r="I37" i="27"/>
  <c r="G38" i="27"/>
  <c r="H38" i="27"/>
  <c r="I38" i="27"/>
  <c r="G39" i="27"/>
  <c r="H39" i="27"/>
  <c r="I39" i="27"/>
  <c r="G40" i="27"/>
  <c r="H40" i="27"/>
  <c r="I40" i="27"/>
  <c r="G41" i="27"/>
  <c r="H41" i="27"/>
  <c r="I41" i="27"/>
  <c r="G42" i="27"/>
  <c r="H42" i="27"/>
  <c r="I42" i="27"/>
  <c r="G43" i="27"/>
  <c r="H43" i="27"/>
  <c r="I43" i="27"/>
  <c r="G44" i="27"/>
  <c r="H44" i="27"/>
  <c r="I44" i="27"/>
  <c r="G45" i="27"/>
  <c r="H45" i="27"/>
  <c r="I45" i="27"/>
  <c r="G46" i="27"/>
  <c r="H46" i="27"/>
  <c r="I46" i="27"/>
  <c r="G47" i="27"/>
  <c r="H47" i="27"/>
  <c r="I47" i="27"/>
  <c r="G48" i="27"/>
  <c r="H48" i="27"/>
  <c r="I48" i="27"/>
  <c r="G49" i="27"/>
  <c r="H49" i="27"/>
  <c r="I49" i="27"/>
  <c r="G50" i="27"/>
  <c r="H50" i="27"/>
  <c r="I50" i="27"/>
  <c r="G51" i="27"/>
  <c r="H51" i="27"/>
  <c r="I51" i="27"/>
  <c r="G52" i="27"/>
  <c r="H52" i="27"/>
  <c r="I52" i="27"/>
  <c r="G53" i="27"/>
  <c r="H53" i="27"/>
  <c r="I53" i="27"/>
  <c r="Q3" i="27"/>
  <c r="R3" i="27"/>
  <c r="S3" i="27"/>
  <c r="Q4" i="27"/>
  <c r="Q53" i="27" s="1"/>
  <c r="R4" i="27"/>
  <c r="S4" i="27"/>
  <c r="Q5" i="27"/>
  <c r="R5" i="27"/>
  <c r="S5" i="27"/>
  <c r="Q6" i="27"/>
  <c r="R6" i="27"/>
  <c r="S6" i="27"/>
  <c r="Q7" i="27"/>
  <c r="R7" i="27"/>
  <c r="S7" i="27"/>
  <c r="Q8" i="27"/>
  <c r="R8" i="27"/>
  <c r="S8" i="27"/>
  <c r="Q9" i="27"/>
  <c r="R9" i="27"/>
  <c r="S9" i="27"/>
  <c r="Q10" i="27"/>
  <c r="R10" i="27"/>
  <c r="S10" i="27"/>
  <c r="Q11" i="27"/>
  <c r="R11" i="27"/>
  <c r="S11" i="27"/>
  <c r="Q12" i="27"/>
  <c r="R12" i="27"/>
  <c r="S12" i="27"/>
  <c r="Q13" i="27"/>
  <c r="R13" i="27"/>
  <c r="S13" i="27"/>
  <c r="Q14" i="27"/>
  <c r="R14" i="27"/>
  <c r="S14" i="27"/>
  <c r="Q15" i="27"/>
  <c r="R15" i="27"/>
  <c r="S15" i="27"/>
  <c r="Q16" i="27"/>
  <c r="R16" i="27"/>
  <c r="S16" i="27"/>
  <c r="Q17" i="27"/>
  <c r="R17" i="27"/>
  <c r="S17" i="27"/>
  <c r="Q18" i="27"/>
  <c r="R18" i="27"/>
  <c r="S18" i="27"/>
  <c r="Q19" i="27"/>
  <c r="R19" i="27"/>
  <c r="S19" i="27"/>
  <c r="Q20" i="27"/>
  <c r="R20" i="27"/>
  <c r="S20" i="27"/>
  <c r="Q21" i="27"/>
  <c r="R21" i="27"/>
  <c r="S21" i="27"/>
  <c r="Q22" i="27"/>
  <c r="R22" i="27"/>
  <c r="S22" i="27"/>
  <c r="Q23" i="27"/>
  <c r="R23" i="27"/>
  <c r="S23" i="27"/>
  <c r="Q24" i="27"/>
  <c r="R24" i="27"/>
  <c r="S24" i="27"/>
  <c r="Q25" i="27"/>
  <c r="R25" i="27"/>
  <c r="S25" i="27"/>
  <c r="Q26" i="27"/>
  <c r="R26" i="27"/>
  <c r="S26" i="27"/>
  <c r="Q27" i="27"/>
  <c r="R27" i="27"/>
  <c r="S27" i="27"/>
  <c r="Q28" i="27"/>
  <c r="R28" i="27"/>
  <c r="S28" i="27"/>
  <c r="Q29" i="27"/>
  <c r="R29" i="27"/>
  <c r="S29" i="27"/>
  <c r="Q30" i="27"/>
  <c r="R30" i="27"/>
  <c r="S30" i="27"/>
  <c r="Q31" i="27"/>
  <c r="R31" i="27"/>
  <c r="S31" i="27"/>
  <c r="Q32" i="27"/>
  <c r="R32" i="27"/>
  <c r="S32" i="27"/>
  <c r="Q33" i="27"/>
  <c r="R33" i="27"/>
  <c r="S33" i="27"/>
  <c r="Q34" i="27"/>
  <c r="R34" i="27"/>
  <c r="S34" i="27"/>
  <c r="Q35" i="27"/>
  <c r="R35" i="27"/>
  <c r="S35" i="27"/>
  <c r="Q36" i="27"/>
  <c r="R36" i="27"/>
  <c r="S36" i="27"/>
  <c r="Q37" i="27"/>
  <c r="R37" i="27"/>
  <c r="S37" i="27"/>
  <c r="Q38" i="27"/>
  <c r="R38" i="27"/>
  <c r="S38" i="27"/>
  <c r="Q39" i="27"/>
  <c r="R39" i="27"/>
  <c r="S39" i="27"/>
  <c r="Q40" i="27"/>
  <c r="R40" i="27"/>
  <c r="S40" i="27"/>
  <c r="Q41" i="27"/>
  <c r="R41" i="27"/>
  <c r="S41" i="27"/>
  <c r="Q42" i="27"/>
  <c r="R42" i="27"/>
  <c r="S42" i="27"/>
  <c r="Q43" i="27"/>
  <c r="R43" i="27"/>
  <c r="S43" i="27"/>
  <c r="Q44" i="27"/>
  <c r="R44" i="27"/>
  <c r="S44" i="27"/>
  <c r="Q45" i="27"/>
  <c r="R45" i="27"/>
  <c r="S45" i="27"/>
  <c r="Q46" i="27"/>
  <c r="R46" i="27"/>
  <c r="S46" i="27"/>
  <c r="Q47" i="27"/>
  <c r="R47" i="27"/>
  <c r="S47" i="27"/>
  <c r="Q48" i="27"/>
  <c r="R48" i="27"/>
  <c r="S48" i="27"/>
  <c r="Q49" i="27"/>
  <c r="R49" i="27"/>
  <c r="S49" i="27"/>
  <c r="Q50" i="27"/>
  <c r="R50" i="27"/>
  <c r="S50" i="27"/>
  <c r="Q51" i="27"/>
  <c r="R51" i="27"/>
  <c r="S51" i="27"/>
  <c r="Q52" i="27"/>
  <c r="R52" i="27"/>
  <c r="S52" i="27"/>
  <c r="R53" i="27"/>
  <c r="S53" i="27"/>
  <c r="H3" i="27"/>
  <c r="I3" i="27"/>
  <c r="G3" i="27"/>
  <c r="M55" i="3"/>
  <c r="B55" i="29"/>
  <c r="C55" i="3"/>
  <c r="F55" i="3"/>
  <c r="K4" i="30"/>
  <c r="K3" i="30"/>
  <c r="K7" i="30" s="1"/>
  <c r="J4" i="30"/>
  <c r="J3" i="30"/>
  <c r="I3" i="30"/>
  <c r="H4" i="30"/>
  <c r="H3" i="30"/>
  <c r="E4" i="30"/>
  <c r="E3" i="30"/>
  <c r="D4" i="30"/>
  <c r="D3" i="30"/>
  <c r="C3" i="30"/>
  <c r="B3" i="30"/>
  <c r="C55" i="29"/>
  <c r="D55" i="29"/>
  <c r="E55" i="29"/>
  <c r="F55" i="29"/>
  <c r="O55" i="29"/>
  <c r="P55" i="29"/>
  <c r="M55" i="29"/>
  <c r="N55" i="29"/>
  <c r="L55" i="29"/>
  <c r="P50" i="29"/>
  <c r="P51" i="29"/>
  <c r="S51" i="29" s="1"/>
  <c r="P52" i="29"/>
  <c r="O49" i="29"/>
  <c r="O50" i="29"/>
  <c r="O51" i="29"/>
  <c r="O52" i="29"/>
  <c r="N37" i="29"/>
  <c r="N38" i="29"/>
  <c r="N39" i="29"/>
  <c r="N53" i="29" s="1"/>
  <c r="N40" i="29"/>
  <c r="N41" i="29"/>
  <c r="N42" i="29"/>
  <c r="N43" i="29"/>
  <c r="N44" i="29"/>
  <c r="S44" i="29" s="1"/>
  <c r="N45" i="29"/>
  <c r="N46" i="29"/>
  <c r="R46" i="29" s="1"/>
  <c r="N47" i="29"/>
  <c r="N48" i="29"/>
  <c r="N49" i="29"/>
  <c r="N50" i="29"/>
  <c r="N51" i="29"/>
  <c r="N52" i="29"/>
  <c r="M26" i="29"/>
  <c r="M27" i="29"/>
  <c r="M28" i="29"/>
  <c r="M29" i="29"/>
  <c r="M30" i="29"/>
  <c r="M31" i="29"/>
  <c r="M32" i="29"/>
  <c r="M33" i="29"/>
  <c r="M34" i="29"/>
  <c r="S34" i="29" s="1"/>
  <c r="M35" i="29"/>
  <c r="M36" i="29"/>
  <c r="Q36" i="29" s="1"/>
  <c r="M37" i="29"/>
  <c r="S37" i="29" s="1"/>
  <c r="M38" i="29"/>
  <c r="M39" i="29"/>
  <c r="M40" i="29"/>
  <c r="M41" i="29"/>
  <c r="M42" i="29"/>
  <c r="M43" i="29"/>
  <c r="M44" i="29"/>
  <c r="M45" i="29"/>
  <c r="M46" i="29"/>
  <c r="M47" i="29"/>
  <c r="M48" i="29"/>
  <c r="S48" i="29" s="1"/>
  <c r="M49" i="29"/>
  <c r="M50" i="29"/>
  <c r="M51" i="29"/>
  <c r="M52" i="29"/>
  <c r="L27" i="29"/>
  <c r="L28" i="29"/>
  <c r="L29" i="29"/>
  <c r="L30" i="29"/>
  <c r="L31" i="29"/>
  <c r="L32" i="29"/>
  <c r="L33" i="29"/>
  <c r="L34" i="29"/>
  <c r="L35" i="29"/>
  <c r="L36" i="29"/>
  <c r="L37" i="29"/>
  <c r="L38" i="29"/>
  <c r="L39" i="29"/>
  <c r="L40" i="29"/>
  <c r="L41" i="29"/>
  <c r="L42" i="29"/>
  <c r="L43" i="29"/>
  <c r="L44" i="29"/>
  <c r="L45" i="29"/>
  <c r="L46" i="29"/>
  <c r="L47" i="29"/>
  <c r="L48" i="29"/>
  <c r="L49" i="29"/>
  <c r="L50" i="29"/>
  <c r="L51" i="29"/>
  <c r="L52" i="29"/>
  <c r="P49" i="29"/>
  <c r="O48" i="29"/>
  <c r="N36" i="29"/>
  <c r="M25" i="29"/>
  <c r="L26" i="29"/>
  <c r="F53" i="29"/>
  <c r="R55" i="28"/>
  <c r="O55" i="27"/>
  <c r="P55" i="27"/>
  <c r="L4" i="29"/>
  <c r="M4" i="29"/>
  <c r="N4" i="29"/>
  <c r="O4" i="29"/>
  <c r="P4" i="29"/>
  <c r="L5" i="29"/>
  <c r="S5" i="29" s="1"/>
  <c r="M5" i="29"/>
  <c r="N5" i="29"/>
  <c r="O5" i="29"/>
  <c r="P5" i="29"/>
  <c r="L6" i="29"/>
  <c r="Q6" i="29" s="1"/>
  <c r="M6" i="29"/>
  <c r="N6" i="29"/>
  <c r="O6" i="29"/>
  <c r="P6" i="29"/>
  <c r="L7" i="29"/>
  <c r="M7" i="29"/>
  <c r="N7" i="29"/>
  <c r="S7" i="29" s="1"/>
  <c r="O7" i="29"/>
  <c r="P7" i="29"/>
  <c r="L8" i="29"/>
  <c r="M8" i="29"/>
  <c r="N8" i="29"/>
  <c r="Q8" i="29" s="1"/>
  <c r="O8" i="29"/>
  <c r="P8" i="29"/>
  <c r="L9" i="29"/>
  <c r="M9" i="29"/>
  <c r="N9" i="29"/>
  <c r="O9" i="29"/>
  <c r="P9" i="29"/>
  <c r="Q9" i="29" s="1"/>
  <c r="L10" i="29"/>
  <c r="M10" i="29"/>
  <c r="N10" i="29"/>
  <c r="O10" i="29"/>
  <c r="P10" i="29"/>
  <c r="S10" i="29" s="1"/>
  <c r="L11" i="29"/>
  <c r="M11" i="29"/>
  <c r="N11" i="29"/>
  <c r="O11" i="29"/>
  <c r="P11" i="29"/>
  <c r="L12" i="29"/>
  <c r="M12" i="29"/>
  <c r="Q12" i="29" s="1"/>
  <c r="N12" i="29"/>
  <c r="O12" i="29"/>
  <c r="P12" i="29"/>
  <c r="L13" i="29"/>
  <c r="M13" i="29"/>
  <c r="Q13" i="29" s="1"/>
  <c r="N13" i="29"/>
  <c r="O13" i="29"/>
  <c r="P13" i="29"/>
  <c r="L14" i="29"/>
  <c r="M14" i="29"/>
  <c r="N14" i="29"/>
  <c r="O14" i="29"/>
  <c r="S14" i="29" s="1"/>
  <c r="P14" i="29"/>
  <c r="L15" i="29"/>
  <c r="M15" i="29"/>
  <c r="N15" i="29"/>
  <c r="O15" i="29"/>
  <c r="Q15" i="29" s="1"/>
  <c r="P15" i="29"/>
  <c r="L16" i="29"/>
  <c r="M16" i="29"/>
  <c r="N16" i="29"/>
  <c r="O16" i="29"/>
  <c r="P16" i="29"/>
  <c r="L17" i="29"/>
  <c r="S17" i="29" s="1"/>
  <c r="M17" i="29"/>
  <c r="N17" i="29"/>
  <c r="O17" i="29"/>
  <c r="P17" i="29"/>
  <c r="L18" i="29"/>
  <c r="Q18" i="29" s="1"/>
  <c r="M18" i="29"/>
  <c r="N18" i="29"/>
  <c r="O18" i="29"/>
  <c r="P18" i="29"/>
  <c r="L19" i="29"/>
  <c r="M19" i="29"/>
  <c r="N19" i="29"/>
  <c r="Q19" i="29" s="1"/>
  <c r="O19" i="29"/>
  <c r="P19" i="29"/>
  <c r="L20" i="29"/>
  <c r="M20" i="29"/>
  <c r="N20" i="29"/>
  <c r="S20" i="29" s="1"/>
  <c r="O20" i="29"/>
  <c r="P20" i="29"/>
  <c r="L21" i="29"/>
  <c r="M21" i="29"/>
  <c r="N21" i="29"/>
  <c r="O21" i="29"/>
  <c r="P21" i="29"/>
  <c r="S21" i="29" s="1"/>
  <c r="L22" i="29"/>
  <c r="M22" i="29"/>
  <c r="N22" i="29"/>
  <c r="O22" i="29"/>
  <c r="P22" i="29"/>
  <c r="R22" i="29" s="1"/>
  <c r="L23" i="29"/>
  <c r="M23" i="29"/>
  <c r="N23" i="29"/>
  <c r="O23" i="29"/>
  <c r="P23" i="29"/>
  <c r="L24" i="29"/>
  <c r="M24" i="29"/>
  <c r="S24" i="29" s="1"/>
  <c r="N24" i="29"/>
  <c r="O24" i="29"/>
  <c r="P24" i="29"/>
  <c r="L25" i="29"/>
  <c r="R25" i="29"/>
  <c r="N25" i="29"/>
  <c r="O25" i="29"/>
  <c r="P25" i="29"/>
  <c r="N26" i="29"/>
  <c r="O26" i="29"/>
  <c r="P26" i="29"/>
  <c r="N27" i="29"/>
  <c r="O27" i="29"/>
  <c r="Q27" i="29" s="1"/>
  <c r="P27" i="29"/>
  <c r="N28" i="29"/>
  <c r="O28" i="29"/>
  <c r="P28" i="29"/>
  <c r="N29" i="29"/>
  <c r="O29" i="29"/>
  <c r="P29" i="29"/>
  <c r="Q30" i="29"/>
  <c r="N30" i="29"/>
  <c r="O30" i="29"/>
  <c r="P30" i="29"/>
  <c r="N31" i="29"/>
  <c r="R31" i="29" s="1"/>
  <c r="O31" i="29"/>
  <c r="P31" i="29"/>
  <c r="S32" i="29"/>
  <c r="N32" i="29"/>
  <c r="O32" i="29"/>
  <c r="P32" i="29"/>
  <c r="N33" i="29"/>
  <c r="O33" i="29"/>
  <c r="P33" i="29"/>
  <c r="Q33" i="29" s="1"/>
  <c r="N34" i="29"/>
  <c r="O34" i="29"/>
  <c r="P34" i="29"/>
  <c r="R34" i="29" s="1"/>
  <c r="N35" i="29"/>
  <c r="O35" i="29"/>
  <c r="P35" i="29"/>
  <c r="O36" i="29"/>
  <c r="P36" i="29"/>
  <c r="Q37" i="29"/>
  <c r="O37" i="29"/>
  <c r="P37" i="29"/>
  <c r="O38" i="29"/>
  <c r="P38" i="29"/>
  <c r="O39" i="29"/>
  <c r="P39" i="29"/>
  <c r="O40" i="29"/>
  <c r="P40" i="29"/>
  <c r="O41" i="29"/>
  <c r="P41" i="29"/>
  <c r="Q42" i="29"/>
  <c r="O42" i="29"/>
  <c r="P42" i="29"/>
  <c r="R43" i="29"/>
  <c r="O43" i="29"/>
  <c r="P43" i="29"/>
  <c r="O44" i="29"/>
  <c r="P44" i="29"/>
  <c r="O45" i="29"/>
  <c r="P45" i="29"/>
  <c r="O46" i="29"/>
  <c r="P46" i="29"/>
  <c r="O47" i="29"/>
  <c r="P47" i="29"/>
  <c r="P48" i="29"/>
  <c r="R49" i="29"/>
  <c r="P3" i="29"/>
  <c r="O3" i="29"/>
  <c r="N3" i="29"/>
  <c r="M3" i="29"/>
  <c r="L3" i="29"/>
  <c r="B4" i="29"/>
  <c r="C4" i="29"/>
  <c r="D4" i="29"/>
  <c r="E4" i="29"/>
  <c r="F4" i="29"/>
  <c r="B5" i="29"/>
  <c r="C5" i="29"/>
  <c r="D5" i="29"/>
  <c r="E5" i="29"/>
  <c r="F5" i="29"/>
  <c r="B6" i="29"/>
  <c r="C6" i="29"/>
  <c r="H6" i="29" s="1"/>
  <c r="D6" i="29"/>
  <c r="E6" i="29"/>
  <c r="F6" i="29"/>
  <c r="B7" i="29"/>
  <c r="C7" i="29"/>
  <c r="D7" i="29"/>
  <c r="E7" i="29"/>
  <c r="F7" i="29"/>
  <c r="B8" i="29"/>
  <c r="C8" i="29"/>
  <c r="D8" i="29"/>
  <c r="E8" i="29"/>
  <c r="G8" i="29" s="1"/>
  <c r="F8" i="29"/>
  <c r="B9" i="29"/>
  <c r="C9" i="29"/>
  <c r="D9" i="29"/>
  <c r="E9" i="29"/>
  <c r="F9" i="29"/>
  <c r="B10" i="29"/>
  <c r="C10" i="29"/>
  <c r="D10" i="29"/>
  <c r="E10" i="29"/>
  <c r="F10" i="29"/>
  <c r="B11" i="29"/>
  <c r="I11" i="29" s="1"/>
  <c r="C11" i="29"/>
  <c r="D11" i="29"/>
  <c r="E11" i="29"/>
  <c r="F11" i="29"/>
  <c r="B12" i="29"/>
  <c r="C12" i="29"/>
  <c r="D12" i="29"/>
  <c r="E12" i="29"/>
  <c r="F12" i="29"/>
  <c r="B13" i="29"/>
  <c r="C13" i="29"/>
  <c r="D13" i="29"/>
  <c r="G13" i="29" s="1"/>
  <c r="E13" i="29"/>
  <c r="F13" i="29"/>
  <c r="B14" i="29"/>
  <c r="C14" i="29"/>
  <c r="D14" i="29"/>
  <c r="E14" i="29"/>
  <c r="F14" i="29"/>
  <c r="B15" i="29"/>
  <c r="C15" i="29"/>
  <c r="D15" i="29"/>
  <c r="E15" i="29"/>
  <c r="F15" i="29"/>
  <c r="H15" i="29" s="1"/>
  <c r="B16" i="29"/>
  <c r="C16" i="29"/>
  <c r="D16" i="29"/>
  <c r="E16" i="29"/>
  <c r="F16" i="29"/>
  <c r="B17" i="29"/>
  <c r="C17" i="29"/>
  <c r="D17" i="29"/>
  <c r="E17" i="29"/>
  <c r="F17" i="29"/>
  <c r="B18" i="29"/>
  <c r="C18" i="29"/>
  <c r="H18" i="29" s="1"/>
  <c r="D18" i="29"/>
  <c r="E18" i="29"/>
  <c r="F18" i="29"/>
  <c r="B19" i="29"/>
  <c r="C19" i="29"/>
  <c r="D19" i="29"/>
  <c r="E19" i="29"/>
  <c r="F19" i="29"/>
  <c r="B20" i="29"/>
  <c r="C20" i="29"/>
  <c r="D20" i="29"/>
  <c r="E20" i="29"/>
  <c r="G20" i="29" s="1"/>
  <c r="F20" i="29"/>
  <c r="B21" i="29"/>
  <c r="C21" i="29"/>
  <c r="D21" i="29"/>
  <c r="E21" i="29"/>
  <c r="F21" i="29"/>
  <c r="B22" i="29"/>
  <c r="C22" i="29"/>
  <c r="D22" i="29"/>
  <c r="E22" i="29"/>
  <c r="F22" i="29"/>
  <c r="B23" i="29"/>
  <c r="G23" i="29" s="1"/>
  <c r="C23" i="29"/>
  <c r="D23" i="29"/>
  <c r="E23" i="29"/>
  <c r="F23" i="29"/>
  <c r="B24" i="29"/>
  <c r="C24" i="29"/>
  <c r="D24" i="29"/>
  <c r="E24" i="29"/>
  <c r="F24" i="29"/>
  <c r="B25" i="29"/>
  <c r="C25" i="29"/>
  <c r="D25" i="29"/>
  <c r="I25" i="29" s="1"/>
  <c r="E25" i="29"/>
  <c r="F25" i="29"/>
  <c r="B26" i="29"/>
  <c r="C26" i="29"/>
  <c r="D26" i="29"/>
  <c r="E26" i="29"/>
  <c r="F26" i="29"/>
  <c r="B27" i="29"/>
  <c r="C27" i="29"/>
  <c r="D27" i="29"/>
  <c r="E27" i="29"/>
  <c r="F27" i="29"/>
  <c r="H27" i="29" s="1"/>
  <c r="B28" i="29"/>
  <c r="C28" i="29"/>
  <c r="D28" i="29"/>
  <c r="E28" i="29"/>
  <c r="F28" i="29"/>
  <c r="B29" i="29"/>
  <c r="C29" i="29"/>
  <c r="D29" i="29"/>
  <c r="E29" i="29"/>
  <c r="F29" i="29"/>
  <c r="B30" i="29"/>
  <c r="C30" i="29"/>
  <c r="H30" i="29" s="1"/>
  <c r="D30" i="29"/>
  <c r="E30" i="29"/>
  <c r="F30" i="29"/>
  <c r="B31" i="29"/>
  <c r="C31" i="29"/>
  <c r="D31" i="29"/>
  <c r="E31" i="29"/>
  <c r="F31" i="29"/>
  <c r="B32" i="29"/>
  <c r="C32" i="29"/>
  <c r="D32" i="29"/>
  <c r="E32" i="29"/>
  <c r="G32" i="29" s="1"/>
  <c r="F32" i="29"/>
  <c r="B33" i="29"/>
  <c r="C33" i="29"/>
  <c r="D33" i="29"/>
  <c r="E33" i="29"/>
  <c r="F33" i="29"/>
  <c r="B34" i="29"/>
  <c r="C34" i="29"/>
  <c r="D34" i="29"/>
  <c r="E34" i="29"/>
  <c r="F34" i="29"/>
  <c r="B35" i="29"/>
  <c r="G35" i="29" s="1"/>
  <c r="C35" i="29"/>
  <c r="D35" i="29"/>
  <c r="E35" i="29"/>
  <c r="F35" i="29"/>
  <c r="B36" i="29"/>
  <c r="C36" i="29"/>
  <c r="D36" i="29"/>
  <c r="E36" i="29"/>
  <c r="F36" i="29"/>
  <c r="B37" i="29"/>
  <c r="C37" i="29"/>
  <c r="D37" i="29"/>
  <c r="I37" i="29" s="1"/>
  <c r="E37" i="29"/>
  <c r="F37" i="29"/>
  <c r="B38" i="29"/>
  <c r="C38" i="29"/>
  <c r="D38" i="29"/>
  <c r="E38" i="29"/>
  <c r="F38" i="29"/>
  <c r="B39" i="29"/>
  <c r="C39" i="29"/>
  <c r="D39" i="29"/>
  <c r="E39" i="29"/>
  <c r="F39" i="29"/>
  <c r="H39" i="29" s="1"/>
  <c r="B40" i="29"/>
  <c r="C40" i="29"/>
  <c r="D40" i="29"/>
  <c r="E40" i="29"/>
  <c r="I40" i="29" s="1"/>
  <c r="F40" i="29"/>
  <c r="B41" i="29"/>
  <c r="C41" i="29"/>
  <c r="D41" i="29"/>
  <c r="E41" i="29"/>
  <c r="F41" i="29"/>
  <c r="B42" i="29"/>
  <c r="C42" i="29"/>
  <c r="H42" i="29" s="1"/>
  <c r="D42" i="29"/>
  <c r="E42" i="29"/>
  <c r="F42" i="29"/>
  <c r="B43" i="29"/>
  <c r="I43" i="29" s="1"/>
  <c r="C43" i="29"/>
  <c r="D43" i="29"/>
  <c r="E43" i="29"/>
  <c r="F43" i="29"/>
  <c r="B44" i="29"/>
  <c r="C44" i="29"/>
  <c r="D44" i="29"/>
  <c r="E44" i="29"/>
  <c r="G44" i="29" s="1"/>
  <c r="F44" i="29"/>
  <c r="B45" i="29"/>
  <c r="C45" i="29"/>
  <c r="D45" i="29"/>
  <c r="I45" i="29" s="1"/>
  <c r="E45" i="29"/>
  <c r="F45" i="29"/>
  <c r="B46" i="29"/>
  <c r="C46" i="29"/>
  <c r="D46" i="29"/>
  <c r="I46" i="29" s="1"/>
  <c r="E46" i="29"/>
  <c r="F46" i="29"/>
  <c r="B47" i="29"/>
  <c r="G47" i="29" s="1"/>
  <c r="C47" i="29"/>
  <c r="D47" i="29"/>
  <c r="E47" i="29"/>
  <c r="F47" i="29"/>
  <c r="B48" i="29"/>
  <c r="C48" i="29"/>
  <c r="D48" i="29"/>
  <c r="E48" i="29"/>
  <c r="F48" i="29"/>
  <c r="I48" i="29" s="1"/>
  <c r="B49" i="29"/>
  <c r="I49" i="29" s="1"/>
  <c r="C49" i="29"/>
  <c r="D49" i="29"/>
  <c r="E49" i="29"/>
  <c r="F49" i="29"/>
  <c r="B50" i="29"/>
  <c r="C50" i="29"/>
  <c r="D50" i="29"/>
  <c r="E50" i="29"/>
  <c r="F50" i="29"/>
  <c r="B51" i="29"/>
  <c r="C51" i="29"/>
  <c r="I51" i="29" s="1"/>
  <c r="D51" i="29"/>
  <c r="E51" i="29"/>
  <c r="F51" i="29"/>
  <c r="H51" i="29" s="1"/>
  <c r="B52" i="29"/>
  <c r="C52" i="29"/>
  <c r="D52" i="29"/>
  <c r="E52" i="29"/>
  <c r="F52" i="29"/>
  <c r="F3" i="29"/>
  <c r="E3" i="29"/>
  <c r="D3" i="29"/>
  <c r="C3" i="29"/>
  <c r="B3" i="29"/>
  <c r="O42" i="28"/>
  <c r="O43" i="28"/>
  <c r="O44" i="28"/>
  <c r="R44" i="28" s="1"/>
  <c r="O45" i="28"/>
  <c r="S45" i="28" s="1"/>
  <c r="O46" i="28"/>
  <c r="O47" i="28"/>
  <c r="O48" i="28"/>
  <c r="O49" i="28"/>
  <c r="O50" i="28"/>
  <c r="S50" i="28" s="1"/>
  <c r="O51" i="28"/>
  <c r="S51" i="28" s="1"/>
  <c r="O52" i="28"/>
  <c r="Q52" i="28" s="1"/>
  <c r="P39" i="28"/>
  <c r="P40" i="28"/>
  <c r="P41" i="28"/>
  <c r="P42" i="28"/>
  <c r="P43" i="28"/>
  <c r="P44" i="28"/>
  <c r="P45" i="28"/>
  <c r="P46" i="28"/>
  <c r="P47" i="28"/>
  <c r="P48" i="28"/>
  <c r="S48" i="28" s="1"/>
  <c r="P49" i="28"/>
  <c r="Q49" i="28" s="1"/>
  <c r="P50" i="28"/>
  <c r="P51" i="28"/>
  <c r="P52" i="28"/>
  <c r="P38" i="28"/>
  <c r="O41" i="28"/>
  <c r="I52" i="29"/>
  <c r="G50" i="29"/>
  <c r="I50" i="29"/>
  <c r="H48" i="29"/>
  <c r="G48" i="29"/>
  <c r="I47" i="29"/>
  <c r="H45" i="29"/>
  <c r="G45" i="29"/>
  <c r="I44" i="29"/>
  <c r="S42" i="29"/>
  <c r="G41" i="29"/>
  <c r="I41" i="29"/>
  <c r="G38" i="29"/>
  <c r="I38" i="29"/>
  <c r="H36" i="29"/>
  <c r="G36" i="29"/>
  <c r="I36" i="29"/>
  <c r="I35" i="29"/>
  <c r="I34" i="29"/>
  <c r="H33" i="29"/>
  <c r="G33" i="29"/>
  <c r="I33" i="29"/>
  <c r="I32" i="29"/>
  <c r="I31" i="29"/>
  <c r="G29" i="29"/>
  <c r="I29" i="29"/>
  <c r="R28" i="29"/>
  <c r="S28" i="29"/>
  <c r="I28" i="29"/>
  <c r="S26" i="29"/>
  <c r="G26" i="29"/>
  <c r="I26" i="29"/>
  <c r="S25" i="29"/>
  <c r="H24" i="29"/>
  <c r="G24" i="29"/>
  <c r="I24" i="29"/>
  <c r="S23" i="29"/>
  <c r="I23" i="29"/>
  <c r="I22" i="29"/>
  <c r="Q21" i="29"/>
  <c r="H21" i="29"/>
  <c r="G21" i="29"/>
  <c r="I21" i="29"/>
  <c r="I20" i="29"/>
  <c r="R19" i="29"/>
  <c r="I19" i="29"/>
  <c r="S18" i="29"/>
  <c r="G17" i="29"/>
  <c r="I17" i="29"/>
  <c r="R16" i="29"/>
  <c r="Q16" i="29"/>
  <c r="S16" i="29"/>
  <c r="I16" i="29"/>
  <c r="G14" i="29"/>
  <c r="I14" i="29"/>
  <c r="H12" i="29"/>
  <c r="G12" i="29"/>
  <c r="I12" i="29"/>
  <c r="Q11" i="29"/>
  <c r="S11" i="29"/>
  <c r="G11" i="29"/>
  <c r="R10" i="29"/>
  <c r="G10" i="29"/>
  <c r="I10" i="29"/>
  <c r="H9" i="29"/>
  <c r="G9" i="29"/>
  <c r="I9" i="29"/>
  <c r="R7" i="29"/>
  <c r="G7" i="29"/>
  <c r="I7" i="29"/>
  <c r="G5" i="29"/>
  <c r="I5" i="29"/>
  <c r="R4" i="29"/>
  <c r="Q4" i="29"/>
  <c r="S4" i="29"/>
  <c r="G4" i="29"/>
  <c r="I4" i="29"/>
  <c r="Q3" i="29"/>
  <c r="S3" i="29"/>
  <c r="H3" i="29"/>
  <c r="G3" i="29"/>
  <c r="L55" i="27"/>
  <c r="F55" i="28"/>
  <c r="E55" i="28"/>
  <c r="D55" i="28"/>
  <c r="C55" i="28"/>
  <c r="B55" i="28"/>
  <c r="C53" i="28"/>
  <c r="D53" i="28"/>
  <c r="E53" i="28"/>
  <c r="F53" i="28"/>
  <c r="B53" i="28"/>
  <c r="P55" i="28"/>
  <c r="O55" i="28"/>
  <c r="N55" i="28"/>
  <c r="M55" i="28"/>
  <c r="L55" i="28"/>
  <c r="L4" i="28"/>
  <c r="M4" i="28"/>
  <c r="N4" i="28"/>
  <c r="N53" i="28" s="1"/>
  <c r="O4" i="28"/>
  <c r="S4" i="28" s="1"/>
  <c r="P4" i="28"/>
  <c r="L5" i="28"/>
  <c r="M5" i="28"/>
  <c r="N5" i="28"/>
  <c r="O5" i="28"/>
  <c r="P5" i="28"/>
  <c r="L6" i="28"/>
  <c r="M6" i="28"/>
  <c r="M53" i="28" s="1"/>
  <c r="N6" i="28"/>
  <c r="O6" i="28"/>
  <c r="P6" i="28"/>
  <c r="L7" i="28"/>
  <c r="L53" i="28" s="1"/>
  <c r="M7" i="28"/>
  <c r="N7" i="28"/>
  <c r="O7" i="28"/>
  <c r="P7" i="28"/>
  <c r="L8" i="28"/>
  <c r="M8" i="28"/>
  <c r="S8" i="28" s="1"/>
  <c r="N8" i="28"/>
  <c r="O8" i="28"/>
  <c r="P8" i="28"/>
  <c r="L9" i="28"/>
  <c r="M9" i="28"/>
  <c r="S9" i="28" s="1"/>
  <c r="N9" i="28"/>
  <c r="O9" i="28"/>
  <c r="P9" i="28"/>
  <c r="L10" i="28"/>
  <c r="M10" i="28"/>
  <c r="N10" i="28"/>
  <c r="Q10" i="28" s="1"/>
  <c r="O10" i="28"/>
  <c r="P10" i="28"/>
  <c r="L11" i="28"/>
  <c r="S11" i="28" s="1"/>
  <c r="M11" i="28"/>
  <c r="N11" i="28"/>
  <c r="O11" i="28"/>
  <c r="P11" i="28"/>
  <c r="L12" i="28"/>
  <c r="M12" i="28"/>
  <c r="N12" i="28"/>
  <c r="O12" i="28"/>
  <c r="P12" i="28"/>
  <c r="L13" i="28"/>
  <c r="S13" i="28" s="1"/>
  <c r="M13" i="28"/>
  <c r="N13" i="28"/>
  <c r="O13" i="28"/>
  <c r="P13" i="28"/>
  <c r="L14" i="28"/>
  <c r="S14" i="28" s="1"/>
  <c r="M14" i="28"/>
  <c r="N14" i="28"/>
  <c r="O14" i="28"/>
  <c r="P14" i="28"/>
  <c r="L15" i="28"/>
  <c r="M15" i="28"/>
  <c r="N15" i="28"/>
  <c r="S15" i="28" s="1"/>
  <c r="O15" i="28"/>
  <c r="P15" i="28"/>
  <c r="L16" i="28"/>
  <c r="M16" i="28"/>
  <c r="N16" i="28"/>
  <c r="O16" i="28"/>
  <c r="Q16" i="28" s="1"/>
  <c r="P16" i="28"/>
  <c r="L17" i="28"/>
  <c r="M17" i="28"/>
  <c r="N17" i="28"/>
  <c r="O17" i="28"/>
  <c r="R17" i="28" s="1"/>
  <c r="P17" i="28"/>
  <c r="L18" i="28"/>
  <c r="M18" i="28"/>
  <c r="S18" i="28" s="1"/>
  <c r="N18" i="28"/>
  <c r="O18" i="28"/>
  <c r="P18" i="28"/>
  <c r="L19" i="28"/>
  <c r="R19" i="28" s="1"/>
  <c r="M19" i="28"/>
  <c r="N19" i="28"/>
  <c r="O19" i="28"/>
  <c r="P19" i="28"/>
  <c r="L20" i="28"/>
  <c r="M20" i="28"/>
  <c r="S20" i="28" s="1"/>
  <c r="N20" i="28"/>
  <c r="O20" i="28"/>
  <c r="P20" i="28"/>
  <c r="L21" i="28"/>
  <c r="M21" i="28"/>
  <c r="S21" i="28" s="1"/>
  <c r="N21" i="28"/>
  <c r="O21" i="28"/>
  <c r="P21" i="28"/>
  <c r="L22" i="28"/>
  <c r="M22" i="28"/>
  <c r="N22" i="28"/>
  <c r="R22" i="28" s="1"/>
  <c r="O22" i="28"/>
  <c r="S22" i="28" s="1"/>
  <c r="P22" i="28"/>
  <c r="L23" i="28"/>
  <c r="R23" i="28" s="1"/>
  <c r="M23" i="28"/>
  <c r="N23" i="28"/>
  <c r="O23" i="28"/>
  <c r="P23" i="28"/>
  <c r="L24" i="28"/>
  <c r="M24" i="28"/>
  <c r="N24" i="28"/>
  <c r="O24" i="28"/>
  <c r="P24" i="28"/>
  <c r="S24" i="28" s="1"/>
  <c r="L25" i="28"/>
  <c r="Q25" i="28" s="1"/>
  <c r="M25" i="28"/>
  <c r="N25" i="28"/>
  <c r="O25" i="28"/>
  <c r="P25" i="28"/>
  <c r="M26" i="28"/>
  <c r="N26" i="28"/>
  <c r="O26" i="28"/>
  <c r="P26" i="28"/>
  <c r="M27" i="28"/>
  <c r="N27" i="28"/>
  <c r="S27" i="28" s="1"/>
  <c r="O27" i="28"/>
  <c r="P27" i="28"/>
  <c r="M28" i="28"/>
  <c r="N28" i="28"/>
  <c r="S28" i="28" s="1"/>
  <c r="O28" i="28"/>
  <c r="Q28" i="28" s="1"/>
  <c r="P28" i="28"/>
  <c r="M29" i="28"/>
  <c r="N29" i="28"/>
  <c r="O29" i="28"/>
  <c r="R29" i="28" s="1"/>
  <c r="P29" i="28"/>
  <c r="M30" i="28"/>
  <c r="N30" i="28"/>
  <c r="O30" i="28"/>
  <c r="P30" i="28"/>
  <c r="S31" i="28"/>
  <c r="N31" i="28"/>
  <c r="O31" i="28"/>
  <c r="P31" i="28"/>
  <c r="R32" i="28"/>
  <c r="N32" i="28"/>
  <c r="O32" i="28"/>
  <c r="P32" i="28"/>
  <c r="S33" i="28"/>
  <c r="N33" i="28"/>
  <c r="O33" i="28"/>
  <c r="P33" i="28"/>
  <c r="N34" i="28"/>
  <c r="S34" i="28" s="1"/>
  <c r="O34" i="28"/>
  <c r="P34" i="28"/>
  <c r="N35" i="28"/>
  <c r="O35" i="28"/>
  <c r="P35" i="28"/>
  <c r="R35" i="28" s="1"/>
  <c r="O36" i="28"/>
  <c r="P36" i="28"/>
  <c r="S36" i="28" s="1"/>
  <c r="S37" i="28"/>
  <c r="O37" i="28"/>
  <c r="P37" i="28"/>
  <c r="R38" i="28"/>
  <c r="O38" i="28"/>
  <c r="O39" i="28"/>
  <c r="Q40" i="28"/>
  <c r="O40" i="28"/>
  <c r="S41" i="28"/>
  <c r="S42" i="28"/>
  <c r="Q43" i="28"/>
  <c r="S46" i="28"/>
  <c r="S47" i="28"/>
  <c r="P3" i="28"/>
  <c r="O3" i="28"/>
  <c r="N3" i="28"/>
  <c r="M3" i="28"/>
  <c r="L3" i="28"/>
  <c r="B4" i="28"/>
  <c r="C4" i="28"/>
  <c r="D4" i="28"/>
  <c r="E4" i="28"/>
  <c r="F4" i="28"/>
  <c r="B5" i="28"/>
  <c r="C5" i="28"/>
  <c r="D5" i="28"/>
  <c r="E5" i="28"/>
  <c r="F5" i="28"/>
  <c r="B6" i="28"/>
  <c r="I6" i="28" s="1"/>
  <c r="C6" i="28"/>
  <c r="D6" i="28"/>
  <c r="E6" i="28"/>
  <c r="F6" i="28"/>
  <c r="B7" i="28"/>
  <c r="C7" i="28"/>
  <c r="D7" i="28"/>
  <c r="H7" i="28" s="1"/>
  <c r="E7" i="28"/>
  <c r="F7" i="28"/>
  <c r="B8" i="28"/>
  <c r="I8" i="28" s="1"/>
  <c r="C8" i="28"/>
  <c r="D8" i="28"/>
  <c r="E8" i="28"/>
  <c r="F8" i="28"/>
  <c r="B9" i="28"/>
  <c r="I9" i="28" s="1"/>
  <c r="C9" i="28"/>
  <c r="D9" i="28"/>
  <c r="E9" i="28"/>
  <c r="F9" i="28"/>
  <c r="B10" i="28"/>
  <c r="H10" i="28" s="1"/>
  <c r="C10" i="28"/>
  <c r="D10" i="28"/>
  <c r="E10" i="28"/>
  <c r="F10" i="28"/>
  <c r="B11" i="28"/>
  <c r="C11" i="28"/>
  <c r="D11" i="28"/>
  <c r="I11" i="28" s="1"/>
  <c r="E11" i="28"/>
  <c r="F11" i="28"/>
  <c r="B12" i="28"/>
  <c r="C12" i="28"/>
  <c r="D12" i="28"/>
  <c r="I12" i="28" s="1"/>
  <c r="E12" i="28"/>
  <c r="F12" i="28"/>
  <c r="B13" i="28"/>
  <c r="H13" i="28" s="1"/>
  <c r="C13" i="28"/>
  <c r="D13" i="28"/>
  <c r="E13" i="28"/>
  <c r="F13" i="28"/>
  <c r="B14" i="28"/>
  <c r="C14" i="28"/>
  <c r="D14" i="28"/>
  <c r="E14" i="28"/>
  <c r="I14" i="28" s="1"/>
  <c r="F14" i="28"/>
  <c r="B15" i="28"/>
  <c r="G15" i="28" s="1"/>
  <c r="C15" i="28"/>
  <c r="D15" i="28"/>
  <c r="E15" i="28"/>
  <c r="F15" i="28"/>
  <c r="B16" i="28"/>
  <c r="C16" i="28"/>
  <c r="D16" i="28"/>
  <c r="E16" i="28"/>
  <c r="F16" i="28"/>
  <c r="B17" i="28"/>
  <c r="I17" i="28" s="1"/>
  <c r="C17" i="28"/>
  <c r="D17" i="28"/>
  <c r="E17" i="28"/>
  <c r="F17" i="28"/>
  <c r="B18" i="28"/>
  <c r="H18" i="28" s="1"/>
  <c r="C18" i="28"/>
  <c r="D18" i="28"/>
  <c r="E18" i="28"/>
  <c r="F18" i="28"/>
  <c r="B19" i="28"/>
  <c r="C19" i="28"/>
  <c r="D19" i="28"/>
  <c r="E19" i="28"/>
  <c r="I19" i="28" s="1"/>
  <c r="F19" i="28"/>
  <c r="B20" i="28"/>
  <c r="I20" i="28" s="1"/>
  <c r="C20" i="28"/>
  <c r="D20" i="28"/>
  <c r="E20" i="28"/>
  <c r="F20" i="28"/>
  <c r="B21" i="28"/>
  <c r="I21" i="28" s="1"/>
  <c r="C21" i="28"/>
  <c r="D21" i="28"/>
  <c r="E21" i="28"/>
  <c r="F21" i="28"/>
  <c r="B22" i="28"/>
  <c r="H22" i="28" s="1"/>
  <c r="C22" i="28"/>
  <c r="D22" i="28"/>
  <c r="E22" i="28"/>
  <c r="F22" i="28"/>
  <c r="B23" i="28"/>
  <c r="C23" i="28"/>
  <c r="D23" i="28"/>
  <c r="E23" i="28"/>
  <c r="F23" i="28"/>
  <c r="B24" i="28"/>
  <c r="C24" i="28"/>
  <c r="I24" i="28" s="1"/>
  <c r="D24" i="28"/>
  <c r="E24" i="28"/>
  <c r="F24" i="28"/>
  <c r="B25" i="28"/>
  <c r="I25" i="28" s="1"/>
  <c r="C25" i="28"/>
  <c r="D25" i="28"/>
  <c r="E25" i="28"/>
  <c r="F25" i="28"/>
  <c r="B26" i="28"/>
  <c r="C26" i="28"/>
  <c r="D26" i="28"/>
  <c r="E26" i="28"/>
  <c r="F26" i="28"/>
  <c r="B27" i="28"/>
  <c r="I27" i="28" s="1"/>
  <c r="C27" i="28"/>
  <c r="D27" i="28"/>
  <c r="E27" i="28"/>
  <c r="F27" i="28"/>
  <c r="B28" i="28"/>
  <c r="C28" i="28"/>
  <c r="D28" i="28"/>
  <c r="E28" i="28"/>
  <c r="F28" i="28"/>
  <c r="B29" i="28"/>
  <c r="I29" i="28" s="1"/>
  <c r="C29" i="28"/>
  <c r="D29" i="28"/>
  <c r="E29" i="28"/>
  <c r="F29" i="28"/>
  <c r="B30" i="28"/>
  <c r="I30" i="28" s="1"/>
  <c r="C30" i="28"/>
  <c r="D30" i="28"/>
  <c r="E30" i="28"/>
  <c r="F30" i="28"/>
  <c r="B31" i="28"/>
  <c r="C31" i="28"/>
  <c r="D31" i="28"/>
  <c r="E31" i="28"/>
  <c r="F31" i="28"/>
  <c r="B32" i="28"/>
  <c r="I32" i="28" s="1"/>
  <c r="C32" i="28"/>
  <c r="D32" i="28"/>
  <c r="E32" i="28"/>
  <c r="F32" i="28"/>
  <c r="B33" i="28"/>
  <c r="I33" i="28" s="1"/>
  <c r="C33" i="28"/>
  <c r="D33" i="28"/>
  <c r="E33" i="28"/>
  <c r="F33" i="28"/>
  <c r="B34" i="28"/>
  <c r="I34" i="28" s="1"/>
  <c r="C34" i="28"/>
  <c r="D34" i="28"/>
  <c r="E34" i="28"/>
  <c r="F34" i="28"/>
  <c r="B35" i="28"/>
  <c r="C35" i="28"/>
  <c r="D35" i="28"/>
  <c r="I35" i="28" s="1"/>
  <c r="E35" i="28"/>
  <c r="F35" i="28"/>
  <c r="B36" i="28"/>
  <c r="C36" i="28"/>
  <c r="D36" i="28"/>
  <c r="I36" i="28" s="1"/>
  <c r="E36" i="28"/>
  <c r="F36" i="28"/>
  <c r="B37" i="28"/>
  <c r="C37" i="28"/>
  <c r="I37" i="28" s="1"/>
  <c r="D37" i="28"/>
  <c r="E37" i="28"/>
  <c r="F37" i="28"/>
  <c r="B38" i="28"/>
  <c r="C38" i="28"/>
  <c r="D38" i="28"/>
  <c r="E38" i="28"/>
  <c r="F38" i="28"/>
  <c r="B39" i="28"/>
  <c r="G39" i="28" s="1"/>
  <c r="C39" i="28"/>
  <c r="D39" i="28"/>
  <c r="E39" i="28"/>
  <c r="F39" i="28"/>
  <c r="B40" i="28"/>
  <c r="C40" i="28"/>
  <c r="D40" i="28"/>
  <c r="E40" i="28"/>
  <c r="F40" i="28"/>
  <c r="B41" i="28"/>
  <c r="I41" i="28" s="1"/>
  <c r="C41" i="28"/>
  <c r="D41" i="28"/>
  <c r="E41" i="28"/>
  <c r="F41" i="28"/>
  <c r="B42" i="28"/>
  <c r="I42" i="28" s="1"/>
  <c r="C42" i="28"/>
  <c r="D42" i="28"/>
  <c r="E42" i="28"/>
  <c r="F42" i="28"/>
  <c r="B43" i="28"/>
  <c r="C43" i="28"/>
  <c r="D43" i="28"/>
  <c r="I43" i="28" s="1"/>
  <c r="E43" i="28"/>
  <c r="F43" i="28"/>
  <c r="B44" i="28"/>
  <c r="I44" i="28" s="1"/>
  <c r="C44" i="28"/>
  <c r="D44" i="28"/>
  <c r="E44" i="28"/>
  <c r="F44" i="28"/>
  <c r="B45" i="28"/>
  <c r="G45" i="28" s="1"/>
  <c r="C45" i="28"/>
  <c r="D45" i="28"/>
  <c r="E45" i="28"/>
  <c r="F45" i="28"/>
  <c r="B46" i="28"/>
  <c r="C46" i="28"/>
  <c r="I46" i="28" s="1"/>
  <c r="D46" i="28"/>
  <c r="E46" i="28"/>
  <c r="F46" i="28"/>
  <c r="B47" i="28"/>
  <c r="I47" i="28" s="1"/>
  <c r="C47" i="28"/>
  <c r="D47" i="28"/>
  <c r="E47" i="28"/>
  <c r="F47" i="28"/>
  <c r="B48" i="28"/>
  <c r="C48" i="28"/>
  <c r="D48" i="28"/>
  <c r="E48" i="28"/>
  <c r="I48" i="28" s="1"/>
  <c r="F48" i="28"/>
  <c r="B49" i="28"/>
  <c r="I49" i="28" s="1"/>
  <c r="C49" i="28"/>
  <c r="D49" i="28"/>
  <c r="E49" i="28"/>
  <c r="F49" i="28"/>
  <c r="B50" i="28"/>
  <c r="C50" i="28"/>
  <c r="D50" i="28"/>
  <c r="E50" i="28"/>
  <c r="F50" i="28"/>
  <c r="I50" i="28" s="1"/>
  <c r="B51" i="28"/>
  <c r="I51" i="28" s="1"/>
  <c r="C51" i="28"/>
  <c r="D51" i="28"/>
  <c r="E51" i="28"/>
  <c r="F51" i="28"/>
  <c r="B52" i="28"/>
  <c r="C52" i="28"/>
  <c r="D52" i="28"/>
  <c r="E52" i="28"/>
  <c r="F52" i="28"/>
  <c r="F3" i="28"/>
  <c r="E3" i="28"/>
  <c r="D3" i="28"/>
  <c r="C3" i="28"/>
  <c r="I55" i="27"/>
  <c r="H55" i="27"/>
  <c r="G55" i="27"/>
  <c r="F55" i="27"/>
  <c r="E55" i="27"/>
  <c r="D55" i="27"/>
  <c r="B55" i="27"/>
  <c r="C55" i="27"/>
  <c r="G55" i="3"/>
  <c r="I55" i="3" s="1"/>
  <c r="D55" i="3"/>
  <c r="E55" i="3"/>
  <c r="B55" i="3"/>
  <c r="I26" i="28"/>
  <c r="I31" i="28"/>
  <c r="I38" i="28"/>
  <c r="B3" i="28"/>
  <c r="I52" i="28"/>
  <c r="Q46" i="28"/>
  <c r="I45" i="28"/>
  <c r="S43" i="28"/>
  <c r="I40" i="28"/>
  <c r="S39" i="28"/>
  <c r="Q34" i="28"/>
  <c r="S30" i="28"/>
  <c r="I28" i="28"/>
  <c r="R26" i="28"/>
  <c r="I23" i="28"/>
  <c r="Q22" i="28"/>
  <c r="G21" i="28"/>
  <c r="Q19" i="28"/>
  <c r="I16" i="28"/>
  <c r="S12" i="28"/>
  <c r="S6" i="28"/>
  <c r="I4" i="28"/>
  <c r="S3" i="28"/>
  <c r="G3" i="28"/>
  <c r="I3" i="28"/>
  <c r="N55" i="27"/>
  <c r="Q55" i="3"/>
  <c r="P55" i="3"/>
  <c r="O55" i="3"/>
  <c r="N55" i="3"/>
  <c r="L55" i="3"/>
  <c r="Q55" i="27"/>
  <c r="S55" i="27" s="1"/>
  <c r="M55" i="27"/>
  <c r="M53" i="27"/>
  <c r="N53" i="27"/>
  <c r="O53" i="27"/>
  <c r="P53" i="27"/>
  <c r="L53" i="27"/>
  <c r="M53" i="3"/>
  <c r="N53" i="3"/>
  <c r="O53" i="3"/>
  <c r="P53" i="3"/>
  <c r="Q53" i="3"/>
  <c r="L53" i="3"/>
  <c r="G53" i="3"/>
  <c r="P49" i="27"/>
  <c r="P50" i="27"/>
  <c r="P51" i="27"/>
  <c r="P52" i="27"/>
  <c r="P48" i="27"/>
  <c r="O45" i="27"/>
  <c r="O46" i="27"/>
  <c r="O47" i="27"/>
  <c r="O48" i="27"/>
  <c r="O49" i="27"/>
  <c r="O50" i="27"/>
  <c r="O51" i="27"/>
  <c r="O52" i="27"/>
  <c r="O44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52" i="27"/>
  <c r="N39" i="27"/>
  <c r="M51" i="3"/>
  <c r="M52" i="3"/>
  <c r="M5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30" i="3"/>
  <c r="L4" i="27"/>
  <c r="M4" i="27"/>
  <c r="N4" i="27"/>
  <c r="O4" i="27"/>
  <c r="P4" i="27"/>
  <c r="L5" i="27"/>
  <c r="M5" i="27"/>
  <c r="N5" i="27"/>
  <c r="O5" i="27"/>
  <c r="P5" i="27"/>
  <c r="L6" i="27"/>
  <c r="M6" i="27"/>
  <c r="N6" i="27"/>
  <c r="O6" i="27"/>
  <c r="P6" i="27"/>
  <c r="L7" i="27"/>
  <c r="M7" i="27"/>
  <c r="N7" i="27"/>
  <c r="O7" i="27"/>
  <c r="P7" i="27"/>
  <c r="L8" i="27"/>
  <c r="M8" i="27"/>
  <c r="N8" i="27"/>
  <c r="O8" i="27"/>
  <c r="P8" i="27"/>
  <c r="L9" i="27"/>
  <c r="M9" i="27"/>
  <c r="N9" i="27"/>
  <c r="O9" i="27"/>
  <c r="P9" i="27"/>
  <c r="L10" i="27"/>
  <c r="M10" i="27"/>
  <c r="N10" i="27"/>
  <c r="O10" i="27"/>
  <c r="P10" i="27"/>
  <c r="L11" i="27"/>
  <c r="M11" i="27"/>
  <c r="N11" i="27"/>
  <c r="O11" i="27"/>
  <c r="P11" i="27"/>
  <c r="L12" i="27"/>
  <c r="M12" i="27"/>
  <c r="N12" i="27"/>
  <c r="O12" i="27"/>
  <c r="P12" i="27"/>
  <c r="L13" i="27"/>
  <c r="M13" i="27"/>
  <c r="N13" i="27"/>
  <c r="O13" i="27"/>
  <c r="P13" i="27"/>
  <c r="L14" i="27"/>
  <c r="M14" i="27"/>
  <c r="N14" i="27"/>
  <c r="O14" i="27"/>
  <c r="P14" i="27"/>
  <c r="L15" i="27"/>
  <c r="M15" i="27"/>
  <c r="N15" i="27"/>
  <c r="O15" i="27"/>
  <c r="P15" i="27"/>
  <c r="L16" i="27"/>
  <c r="M16" i="27"/>
  <c r="N16" i="27"/>
  <c r="O16" i="27"/>
  <c r="P16" i="27"/>
  <c r="L17" i="27"/>
  <c r="M17" i="27"/>
  <c r="N17" i="27"/>
  <c r="O17" i="27"/>
  <c r="P17" i="27"/>
  <c r="L18" i="27"/>
  <c r="M18" i="27"/>
  <c r="N18" i="27"/>
  <c r="O18" i="27"/>
  <c r="P18" i="27"/>
  <c r="L19" i="27"/>
  <c r="M19" i="27"/>
  <c r="N19" i="27"/>
  <c r="O19" i="27"/>
  <c r="P19" i="27"/>
  <c r="L20" i="27"/>
  <c r="M20" i="27"/>
  <c r="N20" i="27"/>
  <c r="O20" i="27"/>
  <c r="P20" i="27"/>
  <c r="L21" i="27"/>
  <c r="M21" i="27"/>
  <c r="N21" i="27"/>
  <c r="O21" i="27"/>
  <c r="P21" i="27"/>
  <c r="L22" i="27"/>
  <c r="M22" i="27"/>
  <c r="N22" i="27"/>
  <c r="O22" i="27"/>
  <c r="P22" i="27"/>
  <c r="L23" i="27"/>
  <c r="M23" i="27"/>
  <c r="N23" i="27"/>
  <c r="O23" i="27"/>
  <c r="P23" i="27"/>
  <c r="L24" i="27"/>
  <c r="M24" i="27"/>
  <c r="N24" i="27"/>
  <c r="O24" i="27"/>
  <c r="P24" i="27"/>
  <c r="L25" i="27"/>
  <c r="M25" i="27"/>
  <c r="N25" i="27"/>
  <c r="O25" i="27"/>
  <c r="P25" i="27"/>
  <c r="L26" i="27"/>
  <c r="M26" i="27"/>
  <c r="N26" i="27"/>
  <c r="O26" i="27"/>
  <c r="P26" i="27"/>
  <c r="L27" i="27"/>
  <c r="M27" i="27"/>
  <c r="N27" i="27"/>
  <c r="O27" i="27"/>
  <c r="P27" i="27"/>
  <c r="L28" i="27"/>
  <c r="M28" i="27"/>
  <c r="N28" i="27"/>
  <c r="O28" i="27"/>
  <c r="P28" i="27"/>
  <c r="L29" i="27"/>
  <c r="M29" i="27"/>
  <c r="N29" i="27"/>
  <c r="O29" i="27"/>
  <c r="P29" i="27"/>
  <c r="L30" i="27"/>
  <c r="M30" i="27"/>
  <c r="N30" i="27"/>
  <c r="O30" i="27"/>
  <c r="P30" i="27"/>
  <c r="L31" i="27"/>
  <c r="M31" i="27"/>
  <c r="N31" i="27"/>
  <c r="O31" i="27"/>
  <c r="P31" i="27"/>
  <c r="L32" i="27"/>
  <c r="M32" i="27"/>
  <c r="N32" i="27"/>
  <c r="O32" i="27"/>
  <c r="P32" i="27"/>
  <c r="L33" i="27"/>
  <c r="M33" i="27"/>
  <c r="N33" i="27"/>
  <c r="O33" i="27"/>
  <c r="P33" i="27"/>
  <c r="L34" i="27"/>
  <c r="M34" i="27"/>
  <c r="N34" i="27"/>
  <c r="O34" i="27"/>
  <c r="P34" i="27"/>
  <c r="L35" i="27"/>
  <c r="M35" i="27"/>
  <c r="N35" i="27"/>
  <c r="O35" i="27"/>
  <c r="P35" i="27"/>
  <c r="L36" i="27"/>
  <c r="M36" i="27"/>
  <c r="N36" i="27"/>
  <c r="O36" i="27"/>
  <c r="P36" i="27"/>
  <c r="L37" i="27"/>
  <c r="M37" i="27"/>
  <c r="N37" i="27"/>
  <c r="O37" i="27"/>
  <c r="P37" i="27"/>
  <c r="L38" i="27"/>
  <c r="M38" i="27"/>
  <c r="N38" i="27"/>
  <c r="O38" i="27"/>
  <c r="P38" i="27"/>
  <c r="L39" i="27"/>
  <c r="M39" i="27"/>
  <c r="O39" i="27"/>
  <c r="P39" i="27"/>
  <c r="L40" i="27"/>
  <c r="M40" i="27"/>
  <c r="O40" i="27"/>
  <c r="P40" i="27"/>
  <c r="L41" i="27"/>
  <c r="M41" i="27"/>
  <c r="O41" i="27"/>
  <c r="P41" i="27"/>
  <c r="L42" i="27"/>
  <c r="M42" i="27"/>
  <c r="O42" i="27"/>
  <c r="P42" i="27"/>
  <c r="L43" i="27"/>
  <c r="M43" i="27"/>
  <c r="O43" i="27"/>
  <c r="P43" i="27"/>
  <c r="L44" i="27"/>
  <c r="M44" i="27"/>
  <c r="P44" i="27"/>
  <c r="L45" i="27"/>
  <c r="M45" i="27"/>
  <c r="P45" i="27"/>
  <c r="L46" i="27"/>
  <c r="M46" i="27"/>
  <c r="P46" i="27"/>
  <c r="L47" i="27"/>
  <c r="M47" i="27"/>
  <c r="P47" i="27"/>
  <c r="L48" i="27"/>
  <c r="M48" i="27"/>
  <c r="L49" i="27"/>
  <c r="M49" i="27"/>
  <c r="L50" i="27"/>
  <c r="M50" i="27"/>
  <c r="L51" i="27"/>
  <c r="M51" i="27"/>
  <c r="L52" i="27"/>
  <c r="M52" i="27"/>
  <c r="P3" i="27"/>
  <c r="O3" i="27"/>
  <c r="N3" i="27"/>
  <c r="M3" i="27"/>
  <c r="L3" i="27"/>
  <c r="F4" i="27"/>
  <c r="F5" i="27"/>
  <c r="F6" i="27"/>
  <c r="F53" i="27" s="1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3" i="27"/>
  <c r="E4" i="27"/>
  <c r="E5" i="27"/>
  <c r="E6" i="27"/>
  <c r="E7" i="27"/>
  <c r="E8" i="27"/>
  <c r="E9" i="27"/>
  <c r="E10" i="27"/>
  <c r="E11" i="27"/>
  <c r="E12" i="27"/>
  <c r="E13" i="27"/>
  <c r="E14" i="27"/>
  <c r="E53" i="27" s="1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3" i="27"/>
  <c r="D4" i="27"/>
  <c r="D5" i="27"/>
  <c r="D6" i="27"/>
  <c r="D7" i="27"/>
  <c r="D8" i="27"/>
  <c r="D9" i="27"/>
  <c r="D10" i="27"/>
  <c r="D11" i="27"/>
  <c r="D12" i="27"/>
  <c r="D53" i="27" s="1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3" i="27"/>
  <c r="C4" i="27"/>
  <c r="C5" i="27"/>
  <c r="C6" i="27"/>
  <c r="C7" i="27"/>
  <c r="C8" i="27"/>
  <c r="C9" i="27"/>
  <c r="C10" i="27"/>
  <c r="C11" i="27"/>
  <c r="C12" i="27"/>
  <c r="C13" i="27"/>
  <c r="C14" i="27"/>
  <c r="C53" i="27" s="1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3" i="27"/>
  <c r="B52" i="27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3" i="27"/>
  <c r="L4" i="3"/>
  <c r="M4" i="3"/>
  <c r="N4" i="3"/>
  <c r="O4" i="3"/>
  <c r="P4" i="3"/>
  <c r="Q4" i="3"/>
  <c r="R4" i="3"/>
  <c r="S4" i="3"/>
  <c r="L5" i="3"/>
  <c r="M5" i="3"/>
  <c r="N5" i="3"/>
  <c r="O5" i="3"/>
  <c r="P5" i="3"/>
  <c r="L6" i="3"/>
  <c r="M6" i="3"/>
  <c r="N6" i="3"/>
  <c r="O6" i="3"/>
  <c r="P6" i="3"/>
  <c r="Q6" i="3" s="1"/>
  <c r="L7" i="3"/>
  <c r="M7" i="3"/>
  <c r="N7" i="3"/>
  <c r="O7" i="3"/>
  <c r="P7" i="3"/>
  <c r="L8" i="3"/>
  <c r="M8" i="3"/>
  <c r="N8" i="3"/>
  <c r="O8" i="3"/>
  <c r="P8" i="3"/>
  <c r="L9" i="3"/>
  <c r="M9" i="3"/>
  <c r="N9" i="3"/>
  <c r="O9" i="3"/>
  <c r="P9" i="3"/>
  <c r="L10" i="3"/>
  <c r="R10" i="3" s="1"/>
  <c r="M10" i="3"/>
  <c r="N10" i="3"/>
  <c r="O10" i="3"/>
  <c r="P10" i="3"/>
  <c r="L11" i="3"/>
  <c r="M11" i="3"/>
  <c r="N11" i="3"/>
  <c r="O11" i="3"/>
  <c r="P11" i="3"/>
  <c r="L12" i="3"/>
  <c r="M12" i="3"/>
  <c r="N12" i="3"/>
  <c r="O12" i="3"/>
  <c r="P12" i="3"/>
  <c r="L13" i="3"/>
  <c r="M13" i="3"/>
  <c r="N13" i="3"/>
  <c r="O13" i="3"/>
  <c r="P13" i="3"/>
  <c r="Q13" i="3" s="1"/>
  <c r="L14" i="3"/>
  <c r="M14" i="3"/>
  <c r="N14" i="3"/>
  <c r="O14" i="3"/>
  <c r="P14" i="3"/>
  <c r="L15" i="3"/>
  <c r="M15" i="3"/>
  <c r="N15" i="3"/>
  <c r="O15" i="3"/>
  <c r="Q15" i="3" s="1"/>
  <c r="P15" i="3"/>
  <c r="S15" i="3"/>
  <c r="L16" i="3"/>
  <c r="Q16" i="3" s="1"/>
  <c r="M16" i="3"/>
  <c r="N16" i="3"/>
  <c r="O16" i="3"/>
  <c r="P16" i="3"/>
  <c r="L17" i="3"/>
  <c r="M17" i="3"/>
  <c r="N17" i="3"/>
  <c r="O17" i="3"/>
  <c r="P17" i="3"/>
  <c r="L18" i="3"/>
  <c r="S18" i="3" s="1"/>
  <c r="M18" i="3"/>
  <c r="N18" i="3"/>
  <c r="O18" i="3"/>
  <c r="P18" i="3"/>
  <c r="L19" i="3"/>
  <c r="M19" i="3"/>
  <c r="N19" i="3"/>
  <c r="O19" i="3"/>
  <c r="P19" i="3"/>
  <c r="L20" i="3"/>
  <c r="Q20" i="3" s="1"/>
  <c r="M20" i="3"/>
  <c r="N20" i="3"/>
  <c r="O20" i="3"/>
  <c r="P20" i="3"/>
  <c r="L21" i="3"/>
  <c r="M21" i="3"/>
  <c r="N21" i="3"/>
  <c r="O21" i="3"/>
  <c r="P21" i="3"/>
  <c r="L22" i="3"/>
  <c r="M22" i="3"/>
  <c r="N22" i="3"/>
  <c r="O22" i="3"/>
  <c r="P22" i="3"/>
  <c r="L23" i="3"/>
  <c r="M23" i="3"/>
  <c r="N23" i="3"/>
  <c r="O23" i="3"/>
  <c r="P23" i="3"/>
  <c r="L24" i="3"/>
  <c r="M24" i="3"/>
  <c r="N24" i="3"/>
  <c r="O24" i="3"/>
  <c r="P24" i="3"/>
  <c r="L25" i="3"/>
  <c r="S25" i="3" s="1"/>
  <c r="M25" i="3"/>
  <c r="N25" i="3"/>
  <c r="O25" i="3"/>
  <c r="P25" i="3"/>
  <c r="L26" i="3"/>
  <c r="M26" i="3"/>
  <c r="N26" i="3"/>
  <c r="O26" i="3"/>
  <c r="P26" i="3"/>
  <c r="L27" i="3"/>
  <c r="R27" i="3" s="1"/>
  <c r="M27" i="3"/>
  <c r="N27" i="3"/>
  <c r="O27" i="3"/>
  <c r="P27" i="3"/>
  <c r="L28" i="3"/>
  <c r="M28" i="3"/>
  <c r="N28" i="3"/>
  <c r="O28" i="3"/>
  <c r="P28" i="3"/>
  <c r="Q28" i="3"/>
  <c r="L29" i="3"/>
  <c r="M29" i="3"/>
  <c r="N29" i="3"/>
  <c r="O29" i="3"/>
  <c r="P29" i="3"/>
  <c r="L30" i="3"/>
  <c r="M30" i="3"/>
  <c r="N30" i="3"/>
  <c r="O30" i="3"/>
  <c r="L31" i="3"/>
  <c r="M31" i="3"/>
  <c r="Q31" i="3" s="1"/>
  <c r="N31" i="3"/>
  <c r="O31" i="3"/>
  <c r="L32" i="3"/>
  <c r="M32" i="3"/>
  <c r="N32" i="3"/>
  <c r="O32" i="3"/>
  <c r="L33" i="3"/>
  <c r="M33" i="3"/>
  <c r="N33" i="3"/>
  <c r="O33" i="3"/>
  <c r="L34" i="3"/>
  <c r="M34" i="3"/>
  <c r="N34" i="3"/>
  <c r="O34" i="3"/>
  <c r="S34" i="3"/>
  <c r="L35" i="3"/>
  <c r="M35" i="3"/>
  <c r="N35" i="3"/>
  <c r="O35" i="3"/>
  <c r="L36" i="3"/>
  <c r="M36" i="3"/>
  <c r="N36" i="3"/>
  <c r="O36" i="3"/>
  <c r="L37" i="3"/>
  <c r="M37" i="3"/>
  <c r="N37" i="3"/>
  <c r="R37" i="3" s="1"/>
  <c r="O37" i="3"/>
  <c r="L38" i="3"/>
  <c r="M38" i="3"/>
  <c r="N38" i="3"/>
  <c r="O38" i="3"/>
  <c r="L39" i="3"/>
  <c r="Q39" i="3" s="1"/>
  <c r="M39" i="3"/>
  <c r="N39" i="3"/>
  <c r="O39" i="3"/>
  <c r="S39" i="3" s="1"/>
  <c r="L40" i="3"/>
  <c r="M40" i="3"/>
  <c r="N40" i="3"/>
  <c r="O40" i="3"/>
  <c r="L41" i="3"/>
  <c r="M41" i="3"/>
  <c r="N41" i="3"/>
  <c r="O41" i="3"/>
  <c r="L42" i="3"/>
  <c r="M42" i="3"/>
  <c r="N42" i="3"/>
  <c r="O42" i="3"/>
  <c r="L43" i="3"/>
  <c r="M43" i="3"/>
  <c r="N43" i="3"/>
  <c r="O43" i="3"/>
  <c r="L44" i="3"/>
  <c r="M44" i="3"/>
  <c r="N44" i="3"/>
  <c r="O44" i="3"/>
  <c r="L45" i="3"/>
  <c r="M45" i="3"/>
  <c r="N45" i="3"/>
  <c r="O45" i="3"/>
  <c r="L46" i="3"/>
  <c r="M46" i="3"/>
  <c r="N46" i="3"/>
  <c r="O46" i="3"/>
  <c r="R46" i="3"/>
  <c r="Q46" i="3"/>
  <c r="L47" i="3"/>
  <c r="M47" i="3"/>
  <c r="N47" i="3"/>
  <c r="O47" i="3"/>
  <c r="L48" i="3"/>
  <c r="M48" i="3"/>
  <c r="N48" i="3"/>
  <c r="O48" i="3"/>
  <c r="Q48" i="3"/>
  <c r="L49" i="3"/>
  <c r="Q49" i="3" s="1"/>
  <c r="M49" i="3"/>
  <c r="N49" i="3"/>
  <c r="O49" i="3"/>
  <c r="L50" i="3"/>
  <c r="N50" i="3"/>
  <c r="O50" i="3"/>
  <c r="L51" i="3"/>
  <c r="S51" i="3" s="1"/>
  <c r="N51" i="3"/>
  <c r="O51" i="3"/>
  <c r="L52" i="3"/>
  <c r="N52" i="3"/>
  <c r="O52" i="3"/>
  <c r="L3" i="3"/>
  <c r="M3" i="3"/>
  <c r="N3" i="3"/>
  <c r="O3" i="3"/>
  <c r="P3" i="3"/>
  <c r="B52" i="3"/>
  <c r="C52" i="3"/>
  <c r="D52" i="3"/>
  <c r="E52" i="3"/>
  <c r="F52" i="3"/>
  <c r="C4" i="3"/>
  <c r="D4" i="3"/>
  <c r="E4" i="3"/>
  <c r="F4" i="3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C39" i="3"/>
  <c r="D39" i="3"/>
  <c r="E39" i="3"/>
  <c r="F39" i="3"/>
  <c r="C40" i="3"/>
  <c r="D40" i="3"/>
  <c r="E40" i="3"/>
  <c r="F40" i="3"/>
  <c r="C41" i="3"/>
  <c r="D41" i="3"/>
  <c r="E41" i="3"/>
  <c r="F41" i="3"/>
  <c r="C42" i="3"/>
  <c r="D42" i="3"/>
  <c r="E42" i="3"/>
  <c r="F42" i="3"/>
  <c r="C43" i="3"/>
  <c r="D43" i="3"/>
  <c r="E43" i="3"/>
  <c r="F43" i="3"/>
  <c r="C44" i="3"/>
  <c r="D44" i="3"/>
  <c r="E44" i="3"/>
  <c r="F44" i="3"/>
  <c r="C45" i="3"/>
  <c r="D45" i="3"/>
  <c r="E45" i="3"/>
  <c r="F45" i="3"/>
  <c r="C46" i="3"/>
  <c r="D46" i="3"/>
  <c r="E46" i="3"/>
  <c r="F46" i="3"/>
  <c r="C47" i="3"/>
  <c r="D47" i="3"/>
  <c r="E47" i="3"/>
  <c r="F47" i="3"/>
  <c r="C48" i="3"/>
  <c r="D48" i="3"/>
  <c r="E48" i="3"/>
  <c r="F48" i="3"/>
  <c r="C49" i="3"/>
  <c r="D49" i="3"/>
  <c r="E49" i="3"/>
  <c r="F49" i="3"/>
  <c r="C50" i="3"/>
  <c r="D50" i="3"/>
  <c r="E50" i="3"/>
  <c r="F50" i="3"/>
  <c r="C51" i="3"/>
  <c r="D51" i="3"/>
  <c r="E51" i="3"/>
  <c r="F51" i="3"/>
  <c r="F3" i="3"/>
  <c r="E3" i="3"/>
  <c r="D3" i="3"/>
  <c r="C3" i="3"/>
  <c r="C53" i="3" s="1"/>
  <c r="B4" i="3"/>
  <c r="G4" i="3" s="1"/>
  <c r="B5" i="3"/>
  <c r="B6" i="3"/>
  <c r="G6" i="3" s="1"/>
  <c r="B7" i="3"/>
  <c r="H7" i="3" s="1"/>
  <c r="B8" i="3"/>
  <c r="B9" i="3"/>
  <c r="B10" i="3"/>
  <c r="G10" i="3" s="1"/>
  <c r="B11" i="3"/>
  <c r="B12" i="3"/>
  <c r="G12" i="3" s="1"/>
  <c r="B13" i="3"/>
  <c r="G13" i="3" s="1"/>
  <c r="B14" i="3"/>
  <c r="B15" i="3"/>
  <c r="G15" i="3" s="1"/>
  <c r="B16" i="3"/>
  <c r="G16" i="3" s="1"/>
  <c r="B17" i="3"/>
  <c r="B18" i="3"/>
  <c r="G18" i="3" s="1"/>
  <c r="B19" i="3"/>
  <c r="G19" i="3" s="1"/>
  <c r="B20" i="3"/>
  <c r="B21" i="3"/>
  <c r="B22" i="3"/>
  <c r="G22" i="3" s="1"/>
  <c r="B23" i="3"/>
  <c r="B24" i="3"/>
  <c r="G24" i="3" s="1"/>
  <c r="B25" i="3"/>
  <c r="G25" i="3" s="1"/>
  <c r="B26" i="3"/>
  <c r="B27" i="3"/>
  <c r="G27" i="3" s="1"/>
  <c r="B28" i="3"/>
  <c r="G28" i="3" s="1"/>
  <c r="B29" i="3"/>
  <c r="B30" i="3"/>
  <c r="G30" i="3" s="1"/>
  <c r="B31" i="3"/>
  <c r="H31" i="3" s="1"/>
  <c r="B32" i="3"/>
  <c r="B33" i="3"/>
  <c r="B34" i="3"/>
  <c r="G34" i="3" s="1"/>
  <c r="B35" i="3"/>
  <c r="B36" i="3"/>
  <c r="G36" i="3" s="1"/>
  <c r="B37" i="3"/>
  <c r="G37" i="3" s="1"/>
  <c r="B38" i="3"/>
  <c r="B39" i="3"/>
  <c r="G39" i="3" s="1"/>
  <c r="B40" i="3"/>
  <c r="G40" i="3" s="1"/>
  <c r="B41" i="3"/>
  <c r="B42" i="3"/>
  <c r="G42" i="3" s="1"/>
  <c r="B43" i="3"/>
  <c r="H43" i="3" s="1"/>
  <c r="B44" i="3"/>
  <c r="B45" i="3"/>
  <c r="B46" i="3"/>
  <c r="G46" i="3" s="1"/>
  <c r="B47" i="3"/>
  <c r="B48" i="3"/>
  <c r="G48" i="3" s="1"/>
  <c r="B49" i="3"/>
  <c r="G49" i="3" s="1"/>
  <c r="B50" i="3"/>
  <c r="B51" i="3"/>
  <c r="G51" i="3" s="1"/>
  <c r="B3" i="3"/>
  <c r="I3" i="3" s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3" i="4"/>
  <c r="AB53" i="27" l="1"/>
  <c r="AX4" i="32"/>
  <c r="W54" i="32"/>
  <c r="W50" i="32"/>
  <c r="W46" i="32"/>
  <c r="W42" i="32"/>
  <c r="W38" i="32"/>
  <c r="W34" i="32"/>
  <c r="W30" i="32"/>
  <c r="W26" i="32"/>
  <c r="W22" i="32"/>
  <c r="W18" i="32"/>
  <c r="W14" i="32"/>
  <c r="W10" i="32"/>
  <c r="W6" i="32"/>
  <c r="X53" i="32"/>
  <c r="X49" i="32"/>
  <c r="X45" i="32"/>
  <c r="X41" i="32"/>
  <c r="X37" i="32"/>
  <c r="X33" i="32"/>
  <c r="X29" i="32"/>
  <c r="X25" i="32"/>
  <c r="X21" i="32"/>
  <c r="X17" i="32"/>
  <c r="X13" i="32"/>
  <c r="X9" i="32"/>
  <c r="X5" i="32"/>
  <c r="W53" i="32"/>
  <c r="W41" i="32"/>
  <c r="W29" i="32"/>
  <c r="W17" i="32"/>
  <c r="W5" i="32"/>
  <c r="Y52" i="32"/>
  <c r="Y48" i="32"/>
  <c r="Y44" i="32"/>
  <c r="Y40" i="32"/>
  <c r="Y36" i="32"/>
  <c r="Y32" i="32"/>
  <c r="Y28" i="32"/>
  <c r="Y24" i="32"/>
  <c r="Y20" i="32"/>
  <c r="Y16" i="32"/>
  <c r="Y12" i="32"/>
  <c r="Y8" i="32"/>
  <c r="X52" i="32"/>
  <c r="X48" i="32"/>
  <c r="X44" i="32"/>
  <c r="X40" i="32"/>
  <c r="X36" i="32"/>
  <c r="X32" i="32"/>
  <c r="X28" i="32"/>
  <c r="X24" i="32"/>
  <c r="X20" i="32"/>
  <c r="X16" i="32"/>
  <c r="X12" i="32"/>
  <c r="X8" i="32"/>
  <c r="Y51" i="32"/>
  <c r="Y47" i="32"/>
  <c r="Y43" i="32"/>
  <c r="Y39" i="32"/>
  <c r="Y35" i="32"/>
  <c r="Y31" i="32"/>
  <c r="Y27" i="32"/>
  <c r="Y23" i="32"/>
  <c r="Y19" i="32"/>
  <c r="Y15" i="32"/>
  <c r="Y11" i="32"/>
  <c r="Y7" i="32"/>
  <c r="X4" i="32"/>
  <c r="X51" i="32"/>
  <c r="X47" i="32"/>
  <c r="X43" i="32"/>
  <c r="X39" i="32"/>
  <c r="X35" i="32"/>
  <c r="X31" i="32"/>
  <c r="X27" i="32"/>
  <c r="X23" i="32"/>
  <c r="X19" i="32"/>
  <c r="X15" i="32"/>
  <c r="X11" i="32"/>
  <c r="X7" i="32"/>
  <c r="Y54" i="32"/>
  <c r="Y50" i="32"/>
  <c r="Y46" i="32"/>
  <c r="Y42" i="32"/>
  <c r="Y38" i="32"/>
  <c r="Y34" i="32"/>
  <c r="Y30" i="32"/>
  <c r="Y26" i="32"/>
  <c r="Y22" i="32"/>
  <c r="Y18" i="32"/>
  <c r="Y14" i="32"/>
  <c r="Y10" i="32"/>
  <c r="Y6" i="32"/>
  <c r="W24" i="33"/>
  <c r="W54" i="33"/>
  <c r="W50" i="33"/>
  <c r="W46" i="33"/>
  <c r="W42" i="33"/>
  <c r="W38" i="33"/>
  <c r="W34" i="33"/>
  <c r="W30" i="33"/>
  <c r="W26" i="33"/>
  <c r="W22" i="33"/>
  <c r="W18" i="33"/>
  <c r="W14" i="33"/>
  <c r="W10" i="33"/>
  <c r="W6" i="33"/>
  <c r="Y53" i="33"/>
  <c r="Y49" i="33"/>
  <c r="Y45" i="33"/>
  <c r="Y41" i="33"/>
  <c r="Y37" i="33"/>
  <c r="Y33" i="33"/>
  <c r="Y29" i="33"/>
  <c r="Y25" i="33"/>
  <c r="Y21" i="33"/>
  <c r="Y17" i="33"/>
  <c r="Y13" i="33"/>
  <c r="Y9" i="33"/>
  <c r="X53" i="33"/>
  <c r="X49" i="33"/>
  <c r="X45" i="33"/>
  <c r="X41" i="33"/>
  <c r="X37" i="33"/>
  <c r="X33" i="33"/>
  <c r="X29" i="33"/>
  <c r="X25" i="33"/>
  <c r="X21" i="33"/>
  <c r="X13" i="33"/>
  <c r="X9" i="33"/>
  <c r="X5" i="33"/>
  <c r="Y52" i="33"/>
  <c r="Y48" i="33"/>
  <c r="Y40" i="33"/>
  <c r="Y28" i="33"/>
  <c r="Y20" i="33"/>
  <c r="Y16" i="33"/>
  <c r="Y12" i="33"/>
  <c r="Y8" i="33"/>
  <c r="W44" i="33"/>
  <c r="W20" i="33"/>
  <c r="X36" i="33"/>
  <c r="X32" i="33"/>
  <c r="X12" i="33"/>
  <c r="X8" i="33"/>
  <c r="W4" i="33"/>
  <c r="Y51" i="33"/>
  <c r="Y47" i="33"/>
  <c r="Y43" i="33"/>
  <c r="Y39" i="33"/>
  <c r="Y35" i="33"/>
  <c r="Y31" i="33"/>
  <c r="Y27" i="33"/>
  <c r="Y23" i="33"/>
  <c r="Y19" i="33"/>
  <c r="Y15" i="33"/>
  <c r="Y11" i="33"/>
  <c r="Y7" i="33"/>
  <c r="X4" i="33"/>
  <c r="X51" i="33"/>
  <c r="X47" i="33"/>
  <c r="X43" i="33"/>
  <c r="X39" i="33"/>
  <c r="X35" i="33"/>
  <c r="X31" i="33"/>
  <c r="X27" i="33"/>
  <c r="X23" i="33"/>
  <c r="X19" i="33"/>
  <c r="X15" i="33"/>
  <c r="X11" i="33"/>
  <c r="X7" i="33"/>
  <c r="Y54" i="33"/>
  <c r="Y50" i="33"/>
  <c r="Y46" i="33"/>
  <c r="Y42" i="33"/>
  <c r="Y38" i="33"/>
  <c r="Y34" i="33"/>
  <c r="Y30" i="33"/>
  <c r="Y26" i="33"/>
  <c r="Y22" i="33"/>
  <c r="Y18" i="33"/>
  <c r="Y14" i="33"/>
  <c r="Y10" i="33"/>
  <c r="Y6" i="33"/>
  <c r="AC11" i="29"/>
  <c r="AC18" i="29"/>
  <c r="AC47" i="29"/>
  <c r="AC20" i="29"/>
  <c r="AC27" i="29"/>
  <c r="AC6" i="29"/>
  <c r="AC13" i="29"/>
  <c r="AC35" i="29"/>
  <c r="AB6" i="29"/>
  <c r="AC50" i="29"/>
  <c r="AC8" i="29"/>
  <c r="AC15" i="29"/>
  <c r="AC44" i="29"/>
  <c r="AC51" i="29"/>
  <c r="AB8" i="29"/>
  <c r="AB15" i="29"/>
  <c r="AC23" i="29"/>
  <c r="AC30" i="29"/>
  <c r="V55" i="29"/>
  <c r="AL6" i="29"/>
  <c r="AL15" i="29"/>
  <c r="AL18" i="29"/>
  <c r="AL27" i="29"/>
  <c r="AL36" i="29"/>
  <c r="AL39" i="29"/>
  <c r="AL42" i="29"/>
  <c r="AL45" i="29"/>
  <c r="AL48" i="29"/>
  <c r="AM3" i="29"/>
  <c r="AM12" i="29"/>
  <c r="AM33" i="29"/>
  <c r="AM51" i="29"/>
  <c r="AL21" i="29"/>
  <c r="AM24" i="29"/>
  <c r="AK5" i="29"/>
  <c r="AK8" i="29"/>
  <c r="AK11" i="29"/>
  <c r="AK14" i="29"/>
  <c r="AK17" i="29"/>
  <c r="AK20" i="29"/>
  <c r="AK23" i="29"/>
  <c r="AK26" i="29"/>
  <c r="AK29" i="29"/>
  <c r="AK32" i="29"/>
  <c r="AK35" i="29"/>
  <c r="AK38" i="29"/>
  <c r="AK41" i="29"/>
  <c r="AK44" i="29"/>
  <c r="AK47" i="29"/>
  <c r="AK50" i="29"/>
  <c r="AL9" i="29"/>
  <c r="AL30" i="29"/>
  <c r="AL38" i="29"/>
  <c r="AL41" i="29"/>
  <c r="AL44" i="29"/>
  <c r="AL47" i="29"/>
  <c r="AL50" i="29"/>
  <c r="AH55" i="29"/>
  <c r="AL4" i="29"/>
  <c r="AL7" i="29"/>
  <c r="AL10" i="29"/>
  <c r="AL13" i="29"/>
  <c r="AL16" i="29"/>
  <c r="AL19" i="29"/>
  <c r="AL22" i="29"/>
  <c r="AL25" i="29"/>
  <c r="AL28" i="29"/>
  <c r="AL31" i="29"/>
  <c r="AL34" i="29"/>
  <c r="AL37" i="29"/>
  <c r="AL40" i="29"/>
  <c r="AL43" i="29"/>
  <c r="AL46" i="29"/>
  <c r="AL49" i="29"/>
  <c r="AL52" i="29"/>
  <c r="AF53" i="29"/>
  <c r="Z55" i="29"/>
  <c r="AA3" i="29"/>
  <c r="AA6" i="29"/>
  <c r="AA9" i="29"/>
  <c r="AA12" i="29"/>
  <c r="AA15" i="29"/>
  <c r="AA18" i="29"/>
  <c r="AA21" i="29"/>
  <c r="AA24" i="29"/>
  <c r="AA27" i="29"/>
  <c r="AA30" i="29"/>
  <c r="AA33" i="29"/>
  <c r="AA36" i="29"/>
  <c r="AA39" i="29"/>
  <c r="AA42" i="29"/>
  <c r="AA45" i="29"/>
  <c r="AA48" i="29"/>
  <c r="AA51" i="29"/>
  <c r="AG53" i="29"/>
  <c r="V53" i="29"/>
  <c r="AJ53" i="29"/>
  <c r="AF55" i="29"/>
  <c r="AC3" i="29"/>
  <c r="AA4" i="29"/>
  <c r="AA7" i="29"/>
  <c r="AA10" i="29"/>
  <c r="AA13" i="29"/>
  <c r="AA16" i="29"/>
  <c r="AA19" i="29"/>
  <c r="AA22" i="29"/>
  <c r="AA25" i="29"/>
  <c r="AA28" i="29"/>
  <c r="AA31" i="29"/>
  <c r="AA34" i="29"/>
  <c r="AA37" i="29"/>
  <c r="AA40" i="29"/>
  <c r="AA43" i="29"/>
  <c r="AA46" i="29"/>
  <c r="AA49" i="29"/>
  <c r="AA52" i="29"/>
  <c r="W53" i="29"/>
  <c r="AB4" i="29"/>
  <c r="AB7" i="29"/>
  <c r="AB10" i="29"/>
  <c r="AB13" i="29"/>
  <c r="AB16" i="29"/>
  <c r="AB19" i="29"/>
  <c r="AB22" i="29"/>
  <c r="AB25" i="29"/>
  <c r="AB28" i="29"/>
  <c r="AB31" i="29"/>
  <c r="AB34" i="29"/>
  <c r="AB37" i="29"/>
  <c r="AB40" i="29"/>
  <c r="AB43" i="29"/>
  <c r="AB46" i="29"/>
  <c r="AB49" i="29"/>
  <c r="AB52" i="29"/>
  <c r="X53" i="29"/>
  <c r="Y53" i="29"/>
  <c r="AJ55" i="29"/>
  <c r="AA20" i="29"/>
  <c r="AA23" i="29"/>
  <c r="AA26" i="29"/>
  <c r="AA29" i="29"/>
  <c r="AA5" i="29"/>
  <c r="AA8" i="29"/>
  <c r="AA17" i="29"/>
  <c r="AB11" i="29"/>
  <c r="AB14" i="29"/>
  <c r="AB32" i="29"/>
  <c r="AB35" i="29"/>
  <c r="AB38" i="29"/>
  <c r="AB41" i="29"/>
  <c r="AB44" i="29"/>
  <c r="AB47" i="29"/>
  <c r="AB50" i="29"/>
  <c r="AC13" i="3"/>
  <c r="W55" i="3"/>
  <c r="AC8" i="3"/>
  <c r="AC20" i="3"/>
  <c r="AC32" i="3"/>
  <c r="AC44" i="3"/>
  <c r="AA8" i="3"/>
  <c r="AA20" i="3"/>
  <c r="AA32" i="3"/>
  <c r="AC51" i="3"/>
  <c r="Y53" i="3"/>
  <c r="AC15" i="3"/>
  <c r="AC27" i="3"/>
  <c r="AC39" i="3"/>
  <c r="W53" i="3"/>
  <c r="AC47" i="3"/>
  <c r="AC11" i="3"/>
  <c r="AC23" i="3"/>
  <c r="AC35" i="3"/>
  <c r="AA47" i="3"/>
  <c r="AA11" i="3"/>
  <c r="AA23" i="3"/>
  <c r="AA35" i="3"/>
  <c r="AC6" i="3"/>
  <c r="AC18" i="3"/>
  <c r="AC30" i="3"/>
  <c r="AC42" i="3"/>
  <c r="AL32" i="3"/>
  <c r="AM14" i="3"/>
  <c r="AK7" i="3"/>
  <c r="AK23" i="3"/>
  <c r="AK41" i="3"/>
  <c r="AM10" i="3"/>
  <c r="AM4" i="3"/>
  <c r="AM30" i="3"/>
  <c r="AL8" i="3"/>
  <c r="AM24" i="3"/>
  <c r="AM38" i="3"/>
  <c r="AL14" i="3"/>
  <c r="AM13" i="3"/>
  <c r="AL17" i="3"/>
  <c r="AM31" i="3"/>
  <c r="AM43" i="3"/>
  <c r="AM18" i="3"/>
  <c r="AM15" i="3"/>
  <c r="AM45" i="3"/>
  <c r="AK53" i="3"/>
  <c r="AL6" i="3"/>
  <c r="AH53" i="3"/>
  <c r="AM26" i="3"/>
  <c r="AM3" i="3"/>
  <c r="AM12" i="3"/>
  <c r="AM20" i="3"/>
  <c r="AL27" i="3"/>
  <c r="AM47" i="3"/>
  <c r="AM11" i="3"/>
  <c r="AM21" i="3"/>
  <c r="AM29" i="3"/>
  <c r="AM23" i="3"/>
  <c r="AM41" i="3"/>
  <c r="AM8" i="3"/>
  <c r="AM16" i="3"/>
  <c r="AL35" i="3"/>
  <c r="AL44" i="3"/>
  <c r="AL50" i="3"/>
  <c r="AM5" i="3"/>
  <c r="AF55" i="3"/>
  <c r="AL38" i="3"/>
  <c r="AL4" i="3"/>
  <c r="AL7" i="3"/>
  <c r="AL10" i="3"/>
  <c r="AL13" i="3"/>
  <c r="AL16" i="3"/>
  <c r="AL19" i="3"/>
  <c r="AL22" i="3"/>
  <c r="AL25" i="3"/>
  <c r="AL28" i="3"/>
  <c r="AL31" i="3"/>
  <c r="AL34" i="3"/>
  <c r="AL37" i="3"/>
  <c r="AL40" i="3"/>
  <c r="AL43" i="3"/>
  <c r="AL46" i="3"/>
  <c r="AL49" i="3"/>
  <c r="AL52" i="3"/>
  <c r="AH55" i="3"/>
  <c r="AI55" i="3"/>
  <c r="AL3" i="3"/>
  <c r="AL9" i="3"/>
  <c r="AL15" i="3"/>
  <c r="AL24" i="3"/>
  <c r="AL33" i="3"/>
  <c r="AL36" i="3"/>
  <c r="AL39" i="3"/>
  <c r="AL42" i="3"/>
  <c r="AL45" i="3"/>
  <c r="AL48" i="3"/>
  <c r="AL51" i="3"/>
  <c r="V53" i="3"/>
  <c r="AA9" i="3"/>
  <c r="AA18" i="3"/>
  <c r="AA21" i="3"/>
  <c r="AA30" i="3"/>
  <c r="AA36" i="3"/>
  <c r="AA39" i="3"/>
  <c r="AA42" i="3"/>
  <c r="AA45" i="3"/>
  <c r="AA48" i="3"/>
  <c r="Z53" i="3"/>
  <c r="AB44" i="3"/>
  <c r="V55" i="3"/>
  <c r="AA4" i="3"/>
  <c r="AA7" i="3"/>
  <c r="AA10" i="3"/>
  <c r="AA13" i="3"/>
  <c r="AA16" i="3"/>
  <c r="AA19" i="3"/>
  <c r="AA22" i="3"/>
  <c r="AA25" i="3"/>
  <c r="AA28" i="3"/>
  <c r="AA31" i="3"/>
  <c r="AA34" i="3"/>
  <c r="AA37" i="3"/>
  <c r="AA40" i="3"/>
  <c r="AA43" i="3"/>
  <c r="AA46" i="3"/>
  <c r="AA49" i="3"/>
  <c r="AA52" i="3"/>
  <c r="AB50" i="3"/>
  <c r="AB4" i="3"/>
  <c r="AB7" i="3"/>
  <c r="AB10" i="3"/>
  <c r="AB13" i="3"/>
  <c r="AB16" i="3"/>
  <c r="AB19" i="3"/>
  <c r="AB22" i="3"/>
  <c r="AB25" i="3"/>
  <c r="AB28" i="3"/>
  <c r="AB31" i="3"/>
  <c r="AB34" i="3"/>
  <c r="AB37" i="3"/>
  <c r="AB40" i="3"/>
  <c r="AB43" i="3"/>
  <c r="AB46" i="3"/>
  <c r="AB49" i="3"/>
  <c r="AB52" i="3"/>
  <c r="X55" i="3"/>
  <c r="Y55" i="3"/>
  <c r="Z55" i="3"/>
  <c r="AA3" i="3"/>
  <c r="AA12" i="3"/>
  <c r="AA27" i="3"/>
  <c r="AA33" i="3"/>
  <c r="AB6" i="3"/>
  <c r="AB15" i="3"/>
  <c r="AB24" i="3"/>
  <c r="AB51" i="3"/>
  <c r="AM18" i="27"/>
  <c r="AJ55" i="27"/>
  <c r="AM20" i="27"/>
  <c r="AM27" i="27"/>
  <c r="AK27" i="27"/>
  <c r="AM42" i="27"/>
  <c r="AG53" i="27"/>
  <c r="AM50" i="27"/>
  <c r="AH53" i="27"/>
  <c r="AM29" i="27"/>
  <c r="AM30" i="27"/>
  <c r="AL5" i="27"/>
  <c r="AL8" i="27"/>
  <c r="AL11" i="27"/>
  <c r="AL14" i="27"/>
  <c r="AK4" i="27"/>
  <c r="AK7" i="27"/>
  <c r="AK10" i="27"/>
  <c r="AK13" i="27"/>
  <c r="AL4" i="27"/>
  <c r="AL7" i="27"/>
  <c r="AL10" i="27"/>
  <c r="AL13" i="27"/>
  <c r="AK3" i="27"/>
  <c r="AK6" i="27"/>
  <c r="AK9" i="27"/>
  <c r="AK12" i="27"/>
  <c r="AK15" i="27"/>
  <c r="AL3" i="27"/>
  <c r="AL6" i="27"/>
  <c r="AL9" i="27"/>
  <c r="AL12" i="27"/>
  <c r="AL15" i="27"/>
  <c r="AJ53" i="27"/>
  <c r="AL17" i="27"/>
  <c r="AL20" i="27"/>
  <c r="AL23" i="27"/>
  <c r="AL26" i="27"/>
  <c r="AL29" i="27"/>
  <c r="AL32" i="27"/>
  <c r="AL35" i="27"/>
  <c r="AL38" i="27"/>
  <c r="AL41" i="27"/>
  <c r="AL44" i="27"/>
  <c r="AL47" i="27"/>
  <c r="AL50" i="27"/>
  <c r="AF55" i="27"/>
  <c r="AK16" i="27"/>
  <c r="AK19" i="27"/>
  <c r="AK22" i="27"/>
  <c r="AK25" i="27"/>
  <c r="AK28" i="27"/>
  <c r="AK31" i="27"/>
  <c r="AK34" i="27"/>
  <c r="AK37" i="27"/>
  <c r="AK40" i="27"/>
  <c r="AK43" i="27"/>
  <c r="AK46" i="27"/>
  <c r="AK49" i="27"/>
  <c r="AK52" i="27"/>
  <c r="AG55" i="27"/>
  <c r="AL16" i="27"/>
  <c r="AL19" i="27"/>
  <c r="AL22" i="27"/>
  <c r="AL25" i="27"/>
  <c r="AL28" i="27"/>
  <c r="AL31" i="27"/>
  <c r="AL34" i="27"/>
  <c r="AL37" i="27"/>
  <c r="AL40" i="27"/>
  <c r="AL43" i="27"/>
  <c r="AL46" i="27"/>
  <c r="AL49" i="27"/>
  <c r="AL52" i="27"/>
  <c r="AH55" i="27"/>
  <c r="AI55" i="27"/>
  <c r="AF53" i="27"/>
  <c r="AL18" i="27"/>
  <c r="AL21" i="27"/>
  <c r="AL24" i="27"/>
  <c r="AL27" i="27"/>
  <c r="AL30" i="27"/>
  <c r="AL33" i="27"/>
  <c r="AL36" i="27"/>
  <c r="AL39" i="27"/>
  <c r="AL42" i="27"/>
  <c r="AL45" i="27"/>
  <c r="AL48" i="27"/>
  <c r="AL51" i="27"/>
  <c r="AA30" i="27"/>
  <c r="AA39" i="27"/>
  <c r="AA44" i="27"/>
  <c r="AC49" i="27"/>
  <c r="AA8" i="27"/>
  <c r="V55" i="27"/>
  <c r="AB13" i="27"/>
  <c r="AB22" i="27"/>
  <c r="AC27" i="27"/>
  <c r="AC32" i="27"/>
  <c r="AC41" i="27"/>
  <c r="AB18" i="27"/>
  <c r="AC5" i="27"/>
  <c r="AC18" i="27"/>
  <c r="AB37" i="27"/>
  <c r="AC51" i="27"/>
  <c r="AA5" i="27"/>
  <c r="AB42" i="27"/>
  <c r="AB10" i="27"/>
  <c r="AC29" i="27"/>
  <c r="AC42" i="27"/>
  <c r="AB6" i="27"/>
  <c r="AB15" i="27"/>
  <c r="AB48" i="27"/>
  <c r="AC6" i="27"/>
  <c r="AC15" i="27"/>
  <c r="AB25" i="27"/>
  <c r="AB34" i="27"/>
  <c r="AC48" i="27"/>
  <c r="AA20" i="27"/>
  <c r="AB30" i="27"/>
  <c r="AB39" i="27"/>
  <c r="Z55" i="27"/>
  <c r="AA3" i="27"/>
  <c r="AA4" i="27"/>
  <c r="AA7" i="27"/>
  <c r="AA10" i="27"/>
  <c r="AA13" i="27"/>
  <c r="AA16" i="27"/>
  <c r="AA19" i="27"/>
  <c r="AA22" i="27"/>
  <c r="AA25" i="27"/>
  <c r="AA28" i="27"/>
  <c r="AA31" i="27"/>
  <c r="AA34" i="27"/>
  <c r="AA37" i="27"/>
  <c r="AA40" i="27"/>
  <c r="AA43" i="27"/>
  <c r="AA46" i="27"/>
  <c r="AA49" i="27"/>
  <c r="AA52" i="27"/>
  <c r="W55" i="27"/>
  <c r="X55" i="27"/>
  <c r="AB23" i="27"/>
  <c r="AB44" i="27"/>
  <c r="AB47" i="27"/>
  <c r="AC23" i="27"/>
  <c r="AC4" i="27"/>
  <c r="Y55" i="27"/>
  <c r="AK11" i="28"/>
  <c r="AK17" i="28"/>
  <c r="AK23" i="28"/>
  <c r="AM42" i="28"/>
  <c r="AM48" i="28"/>
  <c r="AM12" i="28"/>
  <c r="AM18" i="28"/>
  <c r="AM24" i="28"/>
  <c r="AM30" i="28"/>
  <c r="AM36" i="28"/>
  <c r="AI53" i="28"/>
  <c r="AK14" i="28"/>
  <c r="AK20" i="28"/>
  <c r="AK26" i="28"/>
  <c r="AK32" i="28"/>
  <c r="AG53" i="28"/>
  <c r="AL5" i="28"/>
  <c r="AK5" i="28"/>
  <c r="AK8" i="28"/>
  <c r="AL8" i="28"/>
  <c r="AJ55" i="28"/>
  <c r="AJ53" i="28"/>
  <c r="AL38" i="28"/>
  <c r="AF55" i="28"/>
  <c r="AK4" i="28"/>
  <c r="AK7" i="28"/>
  <c r="AK10" i="28"/>
  <c r="AK13" i="28"/>
  <c r="AK16" i="28"/>
  <c r="AK19" i="28"/>
  <c r="AK22" i="28"/>
  <c r="AK25" i="28"/>
  <c r="AK28" i="28"/>
  <c r="AK31" i="28"/>
  <c r="AK34" i="28"/>
  <c r="AK37" i="28"/>
  <c r="AK40" i="28"/>
  <c r="AK43" i="28"/>
  <c r="AK46" i="28"/>
  <c r="AK49" i="28"/>
  <c r="AK52" i="28"/>
  <c r="AG55" i="28"/>
  <c r="AL4" i="28"/>
  <c r="AL7" i="28"/>
  <c r="AL10" i="28"/>
  <c r="AL13" i="28"/>
  <c r="AL16" i="28"/>
  <c r="AL19" i="28"/>
  <c r="AL22" i="28"/>
  <c r="AL25" i="28"/>
  <c r="AL28" i="28"/>
  <c r="AL31" i="28"/>
  <c r="AL34" i="28"/>
  <c r="AL37" i="28"/>
  <c r="AL40" i="28"/>
  <c r="AL43" i="28"/>
  <c r="AL46" i="28"/>
  <c r="AL49" i="28"/>
  <c r="AL52" i="28"/>
  <c r="AH55" i="28"/>
  <c r="AI55" i="28"/>
  <c r="AF53" i="28"/>
  <c r="AL3" i="28"/>
  <c r="AL6" i="28"/>
  <c r="AL9" i="28"/>
  <c r="AL12" i="28"/>
  <c r="AL15" i="28"/>
  <c r="AL18" i="28"/>
  <c r="AL21" i="28"/>
  <c r="AL24" i="28"/>
  <c r="AL27" i="28"/>
  <c r="AL30" i="28"/>
  <c r="AL33" i="28"/>
  <c r="AL36" i="28"/>
  <c r="AL39" i="28"/>
  <c r="AL42" i="28"/>
  <c r="AL45" i="28"/>
  <c r="AL48" i="28"/>
  <c r="AL51" i="28"/>
  <c r="AA55" i="28"/>
  <c r="AC55" i="28" s="1"/>
  <c r="AC20" i="28"/>
  <c r="AA18" i="28"/>
  <c r="AC49" i="28"/>
  <c r="AC31" i="28"/>
  <c r="AC37" i="28"/>
  <c r="AB44" i="28"/>
  <c r="AB9" i="28"/>
  <c r="AB15" i="28"/>
  <c r="AB21" i="28"/>
  <c r="AB47" i="28"/>
  <c r="AA20" i="28"/>
  <c r="AC41" i="28"/>
  <c r="AA29" i="28"/>
  <c r="AA42" i="28"/>
  <c r="AB6" i="28"/>
  <c r="AB12" i="28"/>
  <c r="AB18" i="28"/>
  <c r="AB24" i="28"/>
  <c r="AA31" i="28"/>
  <c r="AA37" i="28"/>
  <c r="AB42" i="28"/>
  <c r="AA6" i="28"/>
  <c r="AA52" i="28"/>
  <c r="AC52" i="28"/>
  <c r="AB5" i="28"/>
  <c r="AB8" i="28"/>
  <c r="AB11" i="28"/>
  <c r="AB14" i="28"/>
  <c r="AB17" i="28"/>
  <c r="AB20" i="28"/>
  <c r="AB23" i="28"/>
  <c r="AA28" i="28"/>
  <c r="AB38" i="28"/>
  <c r="AA43" i="28"/>
  <c r="AC45" i="28"/>
  <c r="AB50" i="28"/>
  <c r="V53" i="28"/>
  <c r="AC40" i="28"/>
  <c r="AB28" i="28"/>
  <c r="AA36" i="28"/>
  <c r="AC38" i="28"/>
  <c r="AB43" i="28"/>
  <c r="AA48" i="28"/>
  <c r="AC50" i="28"/>
  <c r="AB40" i="28"/>
  <c r="AA30" i="28"/>
  <c r="AA32" i="28"/>
  <c r="AA34" i="28"/>
  <c r="AB36" i="28"/>
  <c r="AA41" i="28"/>
  <c r="AB48" i="28"/>
  <c r="AA4" i="28"/>
  <c r="AA7" i="28"/>
  <c r="AA10" i="28"/>
  <c r="AA13" i="28"/>
  <c r="AA16" i="28"/>
  <c r="AA19" i="28"/>
  <c r="AA22" i="28"/>
  <c r="AA25" i="28"/>
  <c r="AB30" i="28"/>
  <c r="AB32" i="28"/>
  <c r="AB34" i="28"/>
  <c r="AA46" i="28"/>
  <c r="AA26" i="28"/>
  <c r="AA45" i="28"/>
  <c r="AB4" i="28"/>
  <c r="AB7" i="28"/>
  <c r="AB10" i="28"/>
  <c r="AB13" i="28"/>
  <c r="AB16" i="28"/>
  <c r="AB19" i="28"/>
  <c r="AB22" i="28"/>
  <c r="AB25" i="28"/>
  <c r="AA39" i="28"/>
  <c r="AB46" i="28"/>
  <c r="AA51" i="28"/>
  <c r="AA27" i="28"/>
  <c r="AA44" i="28"/>
  <c r="S52" i="29"/>
  <c r="Q39" i="29"/>
  <c r="S50" i="29"/>
  <c r="Q52" i="29"/>
  <c r="Q45" i="29"/>
  <c r="S39" i="29"/>
  <c r="S47" i="29"/>
  <c r="S35" i="29"/>
  <c r="R37" i="29"/>
  <c r="S41" i="29"/>
  <c r="S29" i="29"/>
  <c r="R52" i="29"/>
  <c r="R40" i="29"/>
  <c r="Q28" i="29"/>
  <c r="Q48" i="29"/>
  <c r="S40" i="29"/>
  <c r="Q46" i="29"/>
  <c r="S38" i="29"/>
  <c r="Q40" i="29"/>
  <c r="Q7" i="29"/>
  <c r="Q10" i="29"/>
  <c r="R13" i="29"/>
  <c r="Q24" i="29"/>
  <c r="S8" i="29"/>
  <c r="Q25" i="29"/>
  <c r="S36" i="29"/>
  <c r="S49" i="29"/>
  <c r="S22" i="29"/>
  <c r="S33" i="29"/>
  <c r="S45" i="29"/>
  <c r="Q49" i="29"/>
  <c r="S15" i="29"/>
  <c r="S19" i="29"/>
  <c r="Q22" i="29"/>
  <c r="S30" i="29"/>
  <c r="M53" i="29"/>
  <c r="S46" i="29"/>
  <c r="S6" i="29"/>
  <c r="S9" i="29"/>
  <c r="S27" i="29"/>
  <c r="S31" i="29"/>
  <c r="Q34" i="29"/>
  <c r="S12" i="29"/>
  <c r="Q31" i="29"/>
  <c r="S43" i="29"/>
  <c r="Q43" i="29"/>
  <c r="S13" i="29"/>
  <c r="I13" i="29"/>
  <c r="I6" i="29"/>
  <c r="G6" i="29"/>
  <c r="I15" i="29"/>
  <c r="I18" i="29"/>
  <c r="I27" i="29"/>
  <c r="I30" i="29"/>
  <c r="I39" i="29"/>
  <c r="I42" i="29"/>
  <c r="G15" i="29"/>
  <c r="G18" i="29"/>
  <c r="G27" i="29"/>
  <c r="G30" i="29"/>
  <c r="G39" i="29"/>
  <c r="G42" i="29"/>
  <c r="G51" i="29"/>
  <c r="I8" i="29"/>
  <c r="S52" i="28"/>
  <c r="L53" i="29"/>
  <c r="G55" i="29"/>
  <c r="I3" i="29"/>
  <c r="O53" i="29"/>
  <c r="B53" i="29"/>
  <c r="P53" i="29"/>
  <c r="Q5" i="29"/>
  <c r="Q14" i="29"/>
  <c r="G16" i="29"/>
  <c r="Q17" i="29"/>
  <c r="G19" i="29"/>
  <c r="Q20" i="29"/>
  <c r="G22" i="29"/>
  <c r="Q23" i="29"/>
  <c r="G25" i="29"/>
  <c r="Q26" i="29"/>
  <c r="G28" i="29"/>
  <c r="Q29" i="29"/>
  <c r="G31" i="29"/>
  <c r="Q32" i="29"/>
  <c r="G34" i="29"/>
  <c r="Q35" i="29"/>
  <c r="G37" i="29"/>
  <c r="Q38" i="29"/>
  <c r="G40" i="29"/>
  <c r="Q41" i="29"/>
  <c r="G43" i="29"/>
  <c r="Q44" i="29"/>
  <c r="G46" i="29"/>
  <c r="Q47" i="29"/>
  <c r="G49" i="29"/>
  <c r="Q50" i="29"/>
  <c r="G52" i="29"/>
  <c r="C53" i="29"/>
  <c r="H4" i="29"/>
  <c r="R5" i="29"/>
  <c r="H7" i="29"/>
  <c r="R8" i="29"/>
  <c r="H10" i="29"/>
  <c r="R11" i="29"/>
  <c r="H13" i="29"/>
  <c r="R14" i="29"/>
  <c r="H16" i="29"/>
  <c r="R17" i="29"/>
  <c r="H19" i="29"/>
  <c r="R20" i="29"/>
  <c r="H22" i="29"/>
  <c r="R23" i="29"/>
  <c r="H25" i="29"/>
  <c r="R26" i="29"/>
  <c r="H28" i="29"/>
  <c r="R29" i="29"/>
  <c r="H31" i="29"/>
  <c r="R32" i="29"/>
  <c r="H34" i="29"/>
  <c r="R35" i="29"/>
  <c r="H37" i="29"/>
  <c r="R38" i="29"/>
  <c r="H40" i="29"/>
  <c r="R41" i="29"/>
  <c r="H43" i="29"/>
  <c r="R44" i="29"/>
  <c r="H46" i="29"/>
  <c r="R47" i="29"/>
  <c r="H49" i="29"/>
  <c r="R50" i="29"/>
  <c r="H52" i="29"/>
  <c r="D53" i="29"/>
  <c r="E53" i="29"/>
  <c r="Q51" i="29"/>
  <c r="R3" i="29"/>
  <c r="H5" i="29"/>
  <c r="R6" i="29"/>
  <c r="H8" i="29"/>
  <c r="R9" i="29"/>
  <c r="H11" i="29"/>
  <c r="R12" i="29"/>
  <c r="H14" i="29"/>
  <c r="R15" i="29"/>
  <c r="H17" i="29"/>
  <c r="R18" i="29"/>
  <c r="H20" i="29"/>
  <c r="R21" i="29"/>
  <c r="H23" i="29"/>
  <c r="R24" i="29"/>
  <c r="H26" i="29"/>
  <c r="R27" i="29"/>
  <c r="H29" i="29"/>
  <c r="R30" i="29"/>
  <c r="H32" i="29"/>
  <c r="R33" i="29"/>
  <c r="H35" i="29"/>
  <c r="R36" i="29"/>
  <c r="H38" i="29"/>
  <c r="R39" i="29"/>
  <c r="H41" i="29"/>
  <c r="R42" i="29"/>
  <c r="H44" i="29"/>
  <c r="R45" i="29"/>
  <c r="H47" i="29"/>
  <c r="R48" i="29"/>
  <c r="H50" i="29"/>
  <c r="R51" i="29"/>
  <c r="Q37" i="28"/>
  <c r="S7" i="28"/>
  <c r="Q31" i="28"/>
  <c r="S40" i="28"/>
  <c r="S16" i="28"/>
  <c r="S10" i="28"/>
  <c r="S49" i="28"/>
  <c r="S19" i="28"/>
  <c r="S25" i="28"/>
  <c r="Q7" i="28"/>
  <c r="Q55" i="28"/>
  <c r="O53" i="28"/>
  <c r="Q13" i="28"/>
  <c r="I18" i="28"/>
  <c r="I39" i="28"/>
  <c r="I5" i="28"/>
  <c r="G9" i="28"/>
  <c r="H21" i="28"/>
  <c r="G27" i="28"/>
  <c r="G33" i="28"/>
  <c r="I15" i="28"/>
  <c r="G55" i="28"/>
  <c r="I55" i="28" s="1"/>
  <c r="H55" i="28"/>
  <c r="H55" i="3"/>
  <c r="C4" i="30" s="1"/>
  <c r="G6" i="28"/>
  <c r="G12" i="28"/>
  <c r="G18" i="28"/>
  <c r="G24" i="28"/>
  <c r="G30" i="28"/>
  <c r="G36" i="28"/>
  <c r="G42" i="28"/>
  <c r="G48" i="28"/>
  <c r="G51" i="28"/>
  <c r="P53" i="28"/>
  <c r="G4" i="28"/>
  <c r="Q5" i="28"/>
  <c r="G7" i="28"/>
  <c r="Q8" i="28"/>
  <c r="G10" i="28"/>
  <c r="Q11" i="28"/>
  <c r="G13" i="28"/>
  <c r="Q14" i="28"/>
  <c r="G16" i="28"/>
  <c r="Q17" i="28"/>
  <c r="G19" i="28"/>
  <c r="Q20" i="28"/>
  <c r="G22" i="28"/>
  <c r="Q23" i="28"/>
  <c r="G25" i="28"/>
  <c r="Q26" i="28"/>
  <c r="G28" i="28"/>
  <c r="Q29" i="28"/>
  <c r="G31" i="28"/>
  <c r="Q32" i="28"/>
  <c r="G34" i="28"/>
  <c r="Q35" i="28"/>
  <c r="G37" i="28"/>
  <c r="Q38" i="28"/>
  <c r="G40" i="28"/>
  <c r="Q41" i="28"/>
  <c r="G43" i="28"/>
  <c r="Q44" i="28"/>
  <c r="G46" i="28"/>
  <c r="Q47" i="28"/>
  <c r="G49" i="28"/>
  <c r="Q50" i="28"/>
  <c r="G52" i="28"/>
  <c r="H4" i="28"/>
  <c r="R20" i="28"/>
  <c r="H25" i="28"/>
  <c r="H28" i="28"/>
  <c r="H31" i="28"/>
  <c r="S17" i="28"/>
  <c r="I22" i="28"/>
  <c r="S32" i="28"/>
  <c r="S35" i="28"/>
  <c r="S38" i="28"/>
  <c r="R5" i="28"/>
  <c r="R8" i="28"/>
  <c r="R11" i="28"/>
  <c r="R14" i="28"/>
  <c r="H19" i="28"/>
  <c r="H34" i="28"/>
  <c r="H37" i="28"/>
  <c r="H46" i="28"/>
  <c r="H52" i="28"/>
  <c r="S23" i="28"/>
  <c r="S26" i="28"/>
  <c r="Q3" i="28"/>
  <c r="G5" i="28"/>
  <c r="Q6" i="28"/>
  <c r="G8" i="28"/>
  <c r="Q9" i="28"/>
  <c r="G11" i="28"/>
  <c r="Q12" i="28"/>
  <c r="G14" i="28"/>
  <c r="Q15" i="28"/>
  <c r="G17" i="28"/>
  <c r="Q18" i="28"/>
  <c r="G20" i="28"/>
  <c r="Q21" i="28"/>
  <c r="G23" i="28"/>
  <c r="Q24" i="28"/>
  <c r="G26" i="28"/>
  <c r="Q27" i="28"/>
  <c r="G29" i="28"/>
  <c r="Q30" i="28"/>
  <c r="G32" i="28"/>
  <c r="Q33" i="28"/>
  <c r="G35" i="28"/>
  <c r="Q36" i="28"/>
  <c r="G38" i="28"/>
  <c r="Q39" i="28"/>
  <c r="G41" i="28"/>
  <c r="Q42" i="28"/>
  <c r="G44" i="28"/>
  <c r="Q45" i="28"/>
  <c r="G47" i="28"/>
  <c r="Q48" i="28"/>
  <c r="G50" i="28"/>
  <c r="Q51" i="28"/>
  <c r="H16" i="28"/>
  <c r="R41" i="28"/>
  <c r="I7" i="28"/>
  <c r="I10" i="28"/>
  <c r="I13" i="28"/>
  <c r="S29" i="28"/>
  <c r="S44" i="28"/>
  <c r="R3" i="28"/>
  <c r="H5" i="28"/>
  <c r="R6" i="28"/>
  <c r="H8" i="28"/>
  <c r="R9" i="28"/>
  <c r="H11" i="28"/>
  <c r="R12" i="28"/>
  <c r="H14" i="28"/>
  <c r="R15" i="28"/>
  <c r="H17" i="28"/>
  <c r="R18" i="28"/>
  <c r="H20" i="28"/>
  <c r="R21" i="28"/>
  <c r="H23" i="28"/>
  <c r="R24" i="28"/>
  <c r="H26" i="28"/>
  <c r="R27" i="28"/>
  <c r="H29" i="28"/>
  <c r="R30" i="28"/>
  <c r="H32" i="28"/>
  <c r="R33" i="28"/>
  <c r="H35" i="28"/>
  <c r="R36" i="28"/>
  <c r="H38" i="28"/>
  <c r="R39" i="28"/>
  <c r="H41" i="28"/>
  <c r="R42" i="28"/>
  <c r="H44" i="28"/>
  <c r="R45" i="28"/>
  <c r="H47" i="28"/>
  <c r="R48" i="28"/>
  <c r="H50" i="28"/>
  <c r="R51" i="28"/>
  <c r="H40" i="28"/>
  <c r="H43" i="28"/>
  <c r="R47" i="28"/>
  <c r="H49" i="28"/>
  <c r="R50" i="28"/>
  <c r="S5" i="28"/>
  <c r="Q4" i="28"/>
  <c r="H3" i="28"/>
  <c r="R4" i="28"/>
  <c r="H6" i="28"/>
  <c r="R7" i="28"/>
  <c r="H9" i="28"/>
  <c r="R10" i="28"/>
  <c r="H12" i="28"/>
  <c r="R13" i="28"/>
  <c r="H15" i="28"/>
  <c r="R16" i="28"/>
  <c r="H24" i="28"/>
  <c r="R25" i="28"/>
  <c r="H27" i="28"/>
  <c r="R28" i="28"/>
  <c r="H30" i="28"/>
  <c r="R31" i="28"/>
  <c r="H33" i="28"/>
  <c r="R34" i="28"/>
  <c r="H36" i="28"/>
  <c r="R37" i="28"/>
  <c r="H39" i="28"/>
  <c r="R40" i="28"/>
  <c r="H42" i="28"/>
  <c r="R43" i="28"/>
  <c r="H45" i="28"/>
  <c r="R46" i="28"/>
  <c r="H48" i="28"/>
  <c r="R49" i="28"/>
  <c r="H51" i="28"/>
  <c r="R52" i="28"/>
  <c r="R55" i="27"/>
  <c r="S55" i="3"/>
  <c r="R55" i="3"/>
  <c r="I4" i="30" s="1"/>
  <c r="B53" i="27"/>
  <c r="H47" i="3"/>
  <c r="H35" i="3"/>
  <c r="H23" i="3"/>
  <c r="H11" i="3"/>
  <c r="R51" i="3"/>
  <c r="Q27" i="3"/>
  <c r="G41" i="3"/>
  <c r="G5" i="3"/>
  <c r="Q40" i="3"/>
  <c r="Q38" i="3"/>
  <c r="S31" i="3"/>
  <c r="S24" i="3"/>
  <c r="Q14" i="3"/>
  <c r="S12" i="3"/>
  <c r="S30" i="3"/>
  <c r="R22" i="3"/>
  <c r="R15" i="3"/>
  <c r="S13" i="3"/>
  <c r="Q12" i="3"/>
  <c r="G29" i="3"/>
  <c r="R42" i="3"/>
  <c r="Q33" i="3"/>
  <c r="Q24" i="3"/>
  <c r="R13" i="3"/>
  <c r="Q7" i="3"/>
  <c r="G17" i="3"/>
  <c r="G50" i="3"/>
  <c r="G38" i="3"/>
  <c r="G26" i="3"/>
  <c r="G14" i="3"/>
  <c r="D53" i="3"/>
  <c r="R48" i="3"/>
  <c r="Q37" i="3"/>
  <c r="S6" i="3"/>
  <c r="E53" i="3"/>
  <c r="Q50" i="3"/>
  <c r="S46" i="3"/>
  <c r="R28" i="3"/>
  <c r="Q26" i="3"/>
  <c r="Q19" i="3"/>
  <c r="S16" i="3"/>
  <c r="Q9" i="3"/>
  <c r="F53" i="3"/>
  <c r="S3" i="3"/>
  <c r="Q52" i="3"/>
  <c r="R49" i="3"/>
  <c r="R39" i="3"/>
  <c r="Q30" i="3"/>
  <c r="S27" i="3"/>
  <c r="R16" i="3"/>
  <c r="G47" i="3"/>
  <c r="G35" i="3"/>
  <c r="G23" i="3"/>
  <c r="G11" i="3"/>
  <c r="H51" i="3"/>
  <c r="Q21" i="3"/>
  <c r="H39" i="3"/>
  <c r="Q3" i="3"/>
  <c r="Q51" i="3"/>
  <c r="Q43" i="3"/>
  <c r="Q36" i="3"/>
  <c r="Q32" i="3"/>
  <c r="Q10" i="3"/>
  <c r="G45" i="3"/>
  <c r="G33" i="3"/>
  <c r="G21" i="3"/>
  <c r="G9" i="3"/>
  <c r="H27" i="3"/>
  <c r="S45" i="3"/>
  <c r="S42" i="3"/>
  <c r="Q25" i="3"/>
  <c r="G44" i="3"/>
  <c r="G32" i="3"/>
  <c r="G20" i="3"/>
  <c r="G8" i="3"/>
  <c r="H15" i="3"/>
  <c r="S49" i="3"/>
  <c r="Q45" i="3"/>
  <c r="Q42" i="3"/>
  <c r="R36" i="3"/>
  <c r="Q22" i="3"/>
  <c r="Q18" i="3"/>
  <c r="I51" i="3"/>
  <c r="I47" i="3"/>
  <c r="I43" i="3"/>
  <c r="I39" i="3"/>
  <c r="I35" i="3"/>
  <c r="I31" i="3"/>
  <c r="I27" i="3"/>
  <c r="I23" i="3"/>
  <c r="I19" i="3"/>
  <c r="I15" i="3"/>
  <c r="I11" i="3"/>
  <c r="I7" i="3"/>
  <c r="G52" i="3"/>
  <c r="Q34" i="3"/>
  <c r="H19" i="3"/>
  <c r="G43" i="3"/>
  <c r="G31" i="3"/>
  <c r="G7" i="3"/>
  <c r="S37" i="3"/>
  <c r="R25" i="3"/>
  <c r="I50" i="3"/>
  <c r="I46" i="3"/>
  <c r="I42" i="3"/>
  <c r="I38" i="3"/>
  <c r="I34" i="3"/>
  <c r="I30" i="3"/>
  <c r="I26" i="3"/>
  <c r="I22" i="3"/>
  <c r="I18" i="3"/>
  <c r="I14" i="3"/>
  <c r="I10" i="3"/>
  <c r="I6" i="3"/>
  <c r="B53" i="3"/>
  <c r="R34" i="3"/>
  <c r="Q29" i="3"/>
  <c r="Q17" i="3"/>
  <c r="Q5" i="3"/>
  <c r="H50" i="3"/>
  <c r="H46" i="3"/>
  <c r="H42" i="3"/>
  <c r="H38" i="3"/>
  <c r="H34" i="3"/>
  <c r="H30" i="3"/>
  <c r="H26" i="3"/>
  <c r="H22" i="3"/>
  <c r="H18" i="3"/>
  <c r="H14" i="3"/>
  <c r="H10" i="3"/>
  <c r="H6" i="3"/>
  <c r="Q41" i="3"/>
  <c r="R30" i="3"/>
  <c r="S28" i="3"/>
  <c r="R18" i="3"/>
  <c r="R6" i="3"/>
  <c r="S52" i="3"/>
  <c r="S40" i="3"/>
  <c r="I49" i="3"/>
  <c r="I45" i="3"/>
  <c r="I41" i="3"/>
  <c r="I37" i="3"/>
  <c r="I33" i="3"/>
  <c r="I29" i="3"/>
  <c r="I25" i="3"/>
  <c r="I21" i="3"/>
  <c r="I17" i="3"/>
  <c r="I13" i="3"/>
  <c r="I9" i="3"/>
  <c r="I5" i="3"/>
  <c r="S53" i="3"/>
  <c r="R52" i="3"/>
  <c r="R40" i="3"/>
  <c r="S33" i="3"/>
  <c r="S21" i="3"/>
  <c r="S9" i="3"/>
  <c r="Q8" i="3"/>
  <c r="H49" i="3"/>
  <c r="H45" i="3"/>
  <c r="H41" i="3"/>
  <c r="H37" i="3"/>
  <c r="H33" i="3"/>
  <c r="H29" i="3"/>
  <c r="H25" i="3"/>
  <c r="H21" i="3"/>
  <c r="H17" i="3"/>
  <c r="H13" i="3"/>
  <c r="H9" i="3"/>
  <c r="H5" i="3"/>
  <c r="R53" i="3"/>
  <c r="Q44" i="3"/>
  <c r="R33" i="3"/>
  <c r="R21" i="3"/>
  <c r="S19" i="3"/>
  <c r="R9" i="3"/>
  <c r="S7" i="3"/>
  <c r="R45" i="3"/>
  <c r="S43" i="3"/>
  <c r="R31" i="3"/>
  <c r="R19" i="3"/>
  <c r="R7" i="3"/>
  <c r="H3" i="3"/>
  <c r="I48" i="3"/>
  <c r="I44" i="3"/>
  <c r="I40" i="3"/>
  <c r="I36" i="3"/>
  <c r="I32" i="3"/>
  <c r="I28" i="3"/>
  <c r="I24" i="3"/>
  <c r="I20" i="3"/>
  <c r="I16" i="3"/>
  <c r="I12" i="3"/>
  <c r="I8" i="3"/>
  <c r="I4" i="3"/>
  <c r="R43" i="3"/>
  <c r="Q23" i="3"/>
  <c r="Q11" i="3"/>
  <c r="G3" i="3"/>
  <c r="H48" i="3"/>
  <c r="H44" i="3"/>
  <c r="H40" i="3"/>
  <c r="H36" i="3"/>
  <c r="H32" i="3"/>
  <c r="H28" i="3"/>
  <c r="H24" i="3"/>
  <c r="H20" i="3"/>
  <c r="H16" i="3"/>
  <c r="H12" i="3"/>
  <c r="H8" i="3"/>
  <c r="H4" i="3"/>
  <c r="S48" i="3"/>
  <c r="Q47" i="3"/>
  <c r="S36" i="3"/>
  <c r="Q35" i="3"/>
  <c r="R24" i="3"/>
  <c r="S22" i="3"/>
  <c r="R12" i="3"/>
  <c r="S10" i="3"/>
  <c r="S50" i="3"/>
  <c r="S47" i="3"/>
  <c r="S44" i="3"/>
  <c r="S41" i="3"/>
  <c r="S38" i="3"/>
  <c r="S35" i="3"/>
  <c r="S32" i="3"/>
  <c r="S29" i="3"/>
  <c r="S26" i="3"/>
  <c r="S23" i="3"/>
  <c r="S20" i="3"/>
  <c r="S17" i="3"/>
  <c r="S14" i="3"/>
  <c r="S11" i="3"/>
  <c r="S8" i="3"/>
  <c r="S5" i="3"/>
  <c r="R50" i="3"/>
  <c r="R47" i="3"/>
  <c r="R44" i="3"/>
  <c r="R41" i="3"/>
  <c r="R38" i="3"/>
  <c r="R35" i="3"/>
  <c r="R32" i="3"/>
  <c r="R29" i="3"/>
  <c r="R26" i="3"/>
  <c r="R23" i="3"/>
  <c r="R20" i="3"/>
  <c r="R17" i="3"/>
  <c r="R14" i="3"/>
  <c r="R11" i="3"/>
  <c r="R8" i="3"/>
  <c r="R5" i="3"/>
  <c r="R3" i="3"/>
  <c r="I52" i="3"/>
  <c r="H52" i="3"/>
  <c r="P3" i="30" l="1"/>
  <c r="AB53" i="29"/>
  <c r="AC53" i="29"/>
  <c r="AK55" i="29"/>
  <c r="AL55" i="29" s="1"/>
  <c r="AA53" i="29"/>
  <c r="AM53" i="29"/>
  <c r="AL53" i="29"/>
  <c r="AA55" i="29"/>
  <c r="AC55" i="29" s="1"/>
  <c r="AK53" i="29"/>
  <c r="AM53" i="3"/>
  <c r="AL53" i="3"/>
  <c r="AK55" i="3"/>
  <c r="AL55" i="3" s="1"/>
  <c r="AA53" i="3"/>
  <c r="AA55" i="3"/>
  <c r="AB55" i="3" s="1"/>
  <c r="AC53" i="3"/>
  <c r="AB53" i="3"/>
  <c r="AM53" i="27"/>
  <c r="AL53" i="27"/>
  <c r="AK53" i="27"/>
  <c r="AK55" i="27"/>
  <c r="AL55" i="27" s="1"/>
  <c r="AA55" i="27"/>
  <c r="AC55" i="27" s="1"/>
  <c r="AM53" i="28"/>
  <c r="AL53" i="28"/>
  <c r="AK53" i="28"/>
  <c r="AK55" i="28"/>
  <c r="AM55" i="28" s="1"/>
  <c r="AB55" i="28"/>
  <c r="AA53" i="28"/>
  <c r="AC53" i="28"/>
  <c r="AB53" i="28"/>
  <c r="Q53" i="29"/>
  <c r="G53" i="29"/>
  <c r="H53" i="29"/>
  <c r="I53" i="29"/>
  <c r="S53" i="29"/>
  <c r="R53" i="29"/>
  <c r="I55" i="29"/>
  <c r="H55" i="29"/>
  <c r="B4" i="30" s="1"/>
  <c r="Q55" i="29"/>
  <c r="R55" i="29" s="1"/>
  <c r="S55" i="28"/>
  <c r="R53" i="28"/>
  <c r="G53" i="28"/>
  <c r="I53" i="28"/>
  <c r="Q53" i="28"/>
  <c r="S53" i="28"/>
  <c r="H53" i="28"/>
  <c r="I53" i="3"/>
  <c r="H53" i="3"/>
  <c r="AB55" i="29" l="1"/>
  <c r="AM55" i="29"/>
  <c r="AM55" i="3"/>
  <c r="AC55" i="3"/>
  <c r="AM55" i="27"/>
  <c r="AL55" i="28"/>
  <c r="S55" i="29"/>
</calcChain>
</file>

<file path=xl/sharedStrings.xml><?xml version="1.0" encoding="utf-8"?>
<sst xmlns="http://schemas.openxmlformats.org/spreadsheetml/2006/main" count="530" uniqueCount="159">
  <si>
    <t>Step</t>
  </si>
  <si>
    <t>Susceptible</t>
  </si>
  <si>
    <t>Infected</t>
  </si>
  <si>
    <t>Recovered</t>
  </si>
  <si>
    <t># Home</t>
  </si>
  <si>
    <t># Grid</t>
  </si>
  <si>
    <t>New Infections</t>
  </si>
  <si>
    <t>Cumulative Infections</t>
  </si>
  <si>
    <t>Total Contact</t>
  </si>
  <si>
    <t>Daily New Cases Day 4</t>
  </si>
  <si>
    <t>Time</t>
  </si>
  <si>
    <t>New Infection</t>
  </si>
  <si>
    <t>Min</t>
  </si>
  <si>
    <t>Max</t>
  </si>
  <si>
    <t>Sum</t>
  </si>
  <si>
    <t>Mobility</t>
  </si>
  <si>
    <t>NI_Aware1</t>
  </si>
  <si>
    <t>NI_Aware2</t>
  </si>
  <si>
    <t>NI_Aware3</t>
  </si>
  <si>
    <t>NI_Aware4</t>
  </si>
  <si>
    <t>NI_Aware5</t>
  </si>
  <si>
    <t>NI_Min</t>
  </si>
  <si>
    <t>NI_Mean</t>
  </si>
  <si>
    <t>NI_Max</t>
  </si>
  <si>
    <t>Mob_Aware1</t>
  </si>
  <si>
    <t>Mob_Aware2</t>
  </si>
  <si>
    <t>Mob_Aware3</t>
  </si>
  <si>
    <t>Mob_Aware4</t>
  </si>
  <si>
    <t>Mob_Aware5</t>
  </si>
  <si>
    <t>Mob_Min</t>
  </si>
  <si>
    <t>Mob_Mean</t>
  </si>
  <si>
    <t>Mob_Max</t>
  </si>
  <si>
    <t>NI_Learn1</t>
  </si>
  <si>
    <t>NI_Learn2</t>
  </si>
  <si>
    <t>NI_Learn3</t>
  </si>
  <si>
    <t>NI_Learn4</t>
  </si>
  <si>
    <t>NI_Learn5</t>
  </si>
  <si>
    <t>Mob_Learn1</t>
  </si>
  <si>
    <t>Mob_Learn2</t>
  </si>
  <si>
    <t>Mob_Learn3</t>
  </si>
  <si>
    <t>Mob_Learn4</t>
  </si>
  <si>
    <t>Mob_Learn5</t>
  </si>
  <si>
    <t>Average per ts</t>
  </si>
  <si>
    <t>NI_Rich1</t>
  </si>
  <si>
    <t>NI_Rich2</t>
  </si>
  <si>
    <t>NI_Rich3</t>
  </si>
  <si>
    <t>NI_Rich4</t>
  </si>
  <si>
    <t>NI_Rich5</t>
  </si>
  <si>
    <t>Mob_Rich1</t>
  </si>
  <si>
    <t>Mob_Rich2</t>
  </si>
  <si>
    <t>Mob_Rich3</t>
  </si>
  <si>
    <t>Mob_Rich4</t>
  </si>
  <si>
    <t>Mob_Rich5</t>
  </si>
  <si>
    <t>NI_Baserun1</t>
  </si>
  <si>
    <t>NI_Baserun2</t>
  </si>
  <si>
    <t>NI_Baserun3</t>
  </si>
  <si>
    <t>NI_Baserun4</t>
  </si>
  <si>
    <t>NI_Baserun5</t>
  </si>
  <si>
    <t>Mob_Baserun1</t>
  </si>
  <si>
    <t>Mob_Baserun2</t>
  </si>
  <si>
    <t>Mob_Baserun3</t>
  </si>
  <si>
    <t>Mob_Baserun4</t>
  </si>
  <si>
    <t>Mob_Baserun5</t>
  </si>
  <si>
    <t>Cummulative (50ts)</t>
  </si>
  <si>
    <t>Baserun</t>
  </si>
  <si>
    <t>Aware of</t>
  </si>
  <si>
    <t>Rich</t>
  </si>
  <si>
    <t>Learn</t>
  </si>
  <si>
    <t>Base run</t>
  </si>
  <si>
    <t>Average</t>
  </si>
  <si>
    <t>Mobility 6 time period average</t>
  </si>
  <si>
    <t>Mobility Day 6 Average</t>
  </si>
  <si>
    <t>Mobility 6 Day Average</t>
  </si>
  <si>
    <t>Mobility (6 Day Average)</t>
  </si>
  <si>
    <t>I am dumb… Idk why I got this data for bar charts lol</t>
  </si>
  <si>
    <t>I_Baserun1</t>
  </si>
  <si>
    <t>I_Baserun2</t>
  </si>
  <si>
    <t>I_Baserun3</t>
  </si>
  <si>
    <t>I_Baserun4</t>
  </si>
  <si>
    <t>I_Baserun5</t>
  </si>
  <si>
    <t>Mob6_Baserun1</t>
  </si>
  <si>
    <t>Mob6_Baserun2</t>
  </si>
  <si>
    <t>Mob6_Baserun3</t>
  </si>
  <si>
    <t>Mob6_Baserun4</t>
  </si>
  <si>
    <t>Mob6_Baserun5</t>
  </si>
  <si>
    <t>I_Aware1</t>
  </si>
  <si>
    <t>I_Aware2</t>
  </si>
  <si>
    <t>I_Aware3</t>
  </si>
  <si>
    <t>I_Aware4</t>
  </si>
  <si>
    <t>I_Aware5</t>
  </si>
  <si>
    <t>I_Min</t>
  </si>
  <si>
    <t>I_Mean</t>
  </si>
  <si>
    <t>I_Max</t>
  </si>
  <si>
    <t>Mob6_Aware1</t>
  </si>
  <si>
    <t>Mob6_Aware2</t>
  </si>
  <si>
    <t>Mob6_Aware3</t>
  </si>
  <si>
    <t>Mob6_Aware4</t>
  </si>
  <si>
    <t>Mob6_Aware5</t>
  </si>
  <si>
    <t>Mob6_Min</t>
  </si>
  <si>
    <t>Mob6_Mean</t>
  </si>
  <si>
    <t>Mob6_Max</t>
  </si>
  <si>
    <t>I_Learn1</t>
  </si>
  <si>
    <t>I_Learn2</t>
  </si>
  <si>
    <t>I_Learn3</t>
  </si>
  <si>
    <t>I_Learn4</t>
  </si>
  <si>
    <t>I_Learn5</t>
  </si>
  <si>
    <t>Mob6_Learn1</t>
  </si>
  <si>
    <t>Mob6_Learn2</t>
  </si>
  <si>
    <t>Mob6_Learn3</t>
  </si>
  <si>
    <t>Mob6_Learn4</t>
  </si>
  <si>
    <t>Mob6_Learn5</t>
  </si>
  <si>
    <t>I_Rich1</t>
  </si>
  <si>
    <t>I_Rich2</t>
  </si>
  <si>
    <t>I_Rich3</t>
  </si>
  <si>
    <t>I_Rich4</t>
  </si>
  <si>
    <t>I_Rich5</t>
  </si>
  <si>
    <t>Mob6_Rich1</t>
  </si>
  <si>
    <t>Mob6_Rich2</t>
  </si>
  <si>
    <t>Mob6_Rich3</t>
  </si>
  <si>
    <t>Mob6_Rich4</t>
  </si>
  <si>
    <t>Mob6_Rich5</t>
  </si>
  <si>
    <t>Cummulative (%)</t>
  </si>
  <si>
    <t>75th</t>
  </si>
  <si>
    <t>50th</t>
  </si>
  <si>
    <t>25th</t>
  </si>
  <si>
    <t>Rich Normalized</t>
  </si>
  <si>
    <t>Mob6_norm</t>
  </si>
  <si>
    <t>I_Norm</t>
  </si>
  <si>
    <t>Know</t>
  </si>
  <si>
    <t>Aware</t>
  </si>
  <si>
    <t>infec</t>
  </si>
  <si>
    <t>mob</t>
  </si>
  <si>
    <t>Savings</t>
  </si>
  <si>
    <t>Baseline Full</t>
  </si>
  <si>
    <t>New cases</t>
  </si>
  <si>
    <t>New Cases</t>
  </si>
  <si>
    <t>Aware1</t>
  </si>
  <si>
    <t>Aware2</t>
  </si>
  <si>
    <t>Aware3</t>
  </si>
  <si>
    <t>Aware4</t>
  </si>
  <si>
    <t>Aware5</t>
  </si>
  <si>
    <t>Learn1</t>
  </si>
  <si>
    <t>Learn2</t>
  </si>
  <si>
    <t>Learn3</t>
  </si>
  <si>
    <t>Learn4</t>
  </si>
  <si>
    <t>Learn5</t>
  </si>
  <si>
    <t>Rich1</t>
  </si>
  <si>
    <t>Rich2</t>
  </si>
  <si>
    <t>Rich3</t>
  </si>
  <si>
    <t>Rich4</t>
  </si>
  <si>
    <t>Rich5</t>
  </si>
  <si>
    <t>Baserun1</t>
  </si>
  <si>
    <t>Baserun2</t>
  </si>
  <si>
    <t>Baserun3</t>
  </si>
  <si>
    <t>Baserun4</t>
  </si>
  <si>
    <t>Baserun5</t>
  </si>
  <si>
    <t>Aware Full</t>
  </si>
  <si>
    <t>Learn Full</t>
  </si>
  <si>
    <t>Rich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</si>
</sst>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0" borderId="0" xfId="0" applyFont="1"/>
    <xf numFmtId="2" fontId="0" fillId="0" borderId="0" xfId="1" applyNumberFormat="1" applyFont="1"/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 Baseline Run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38100" cap="rnd">
                <a:solidFill>
                  <a:srgbClr val="00B05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87839020122485E-2"/>
                  <c:y val="-0.50753098571011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'Full Mobility Curves'!$AU$3:$AU$166</c:f>
              <c:numCache>
                <c:formatCode>0%</c:formatCode>
                <c:ptCount val="1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0.05</c:v>
                </c:pt>
                <c:pt idx="6">
                  <c:v>0.08</c:v>
                </c:pt>
                <c:pt idx="7">
                  <c:v>0.04</c:v>
                </c:pt>
                <c:pt idx="8">
                  <c:v>0.15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0.01</c:v>
                </c:pt>
                <c:pt idx="16">
                  <c:v>0.05</c:v>
                </c:pt>
                <c:pt idx="17">
                  <c:v>0.05</c:v>
                </c:pt>
                <c:pt idx="18">
                  <c:v>0.03</c:v>
                </c:pt>
                <c:pt idx="19">
                  <c:v>0.01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0.04</c:v>
                </c:pt>
                <c:pt idx="27">
                  <c:v>0.09</c:v>
                </c:pt>
                <c:pt idx="28">
                  <c:v>0.1</c:v>
                </c:pt>
                <c:pt idx="29">
                  <c:v>0.06</c:v>
                </c:pt>
                <c:pt idx="30">
                  <c:v>0.05</c:v>
                </c:pt>
                <c:pt idx="31">
                  <c:v>7.0000000000000007E-2</c:v>
                </c:pt>
                <c:pt idx="32">
                  <c:v>0.02</c:v>
                </c:pt>
                <c:pt idx="33">
                  <c:v>0.05</c:v>
                </c:pt>
                <c:pt idx="34">
                  <c:v>0.04</c:v>
                </c:pt>
                <c:pt idx="35">
                  <c:v>0.04</c:v>
                </c:pt>
                <c:pt idx="36">
                  <c:v>0</c:v>
                </c:pt>
                <c:pt idx="37">
                  <c:v>0.01</c:v>
                </c:pt>
                <c:pt idx="38">
                  <c:v>0</c:v>
                </c:pt>
                <c:pt idx="39">
                  <c:v>0</c:v>
                </c:pt>
                <c:pt idx="40">
                  <c:v>0.01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0.02</c:v>
                </c:pt>
                <c:pt idx="47">
                  <c:v>0.01</c:v>
                </c:pt>
                <c:pt idx="48">
                  <c:v>0.03</c:v>
                </c:pt>
                <c:pt idx="49">
                  <c:v>0.03</c:v>
                </c:pt>
                <c:pt idx="50">
                  <c:v>0.03</c:v>
                </c:pt>
                <c:pt idx="51">
                  <c:v>0.02</c:v>
                </c:pt>
                <c:pt idx="52">
                  <c:v>0.04</c:v>
                </c:pt>
                <c:pt idx="53">
                  <c:v>0.05</c:v>
                </c:pt>
                <c:pt idx="54">
                  <c:v>0.02</c:v>
                </c:pt>
                <c:pt idx="55">
                  <c:v>0.02</c:v>
                </c:pt>
                <c:pt idx="56">
                  <c:v>0.03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0.01</c:v>
                </c:pt>
                <c:pt idx="61">
                  <c:v>0.01</c:v>
                </c:pt>
                <c:pt idx="62">
                  <c:v>0</c:v>
                </c:pt>
                <c:pt idx="63">
                  <c:v>0.01</c:v>
                </c:pt>
                <c:pt idx="64">
                  <c:v>0.01</c:v>
                </c:pt>
                <c:pt idx="65">
                  <c:v>0</c:v>
                </c:pt>
                <c:pt idx="66">
                  <c:v>0.02</c:v>
                </c:pt>
                <c:pt idx="67">
                  <c:v>0</c:v>
                </c:pt>
                <c:pt idx="68">
                  <c:v>0</c:v>
                </c:pt>
                <c:pt idx="69">
                  <c:v>0.01</c:v>
                </c:pt>
                <c:pt idx="70">
                  <c:v>0.01</c:v>
                </c:pt>
                <c:pt idx="71">
                  <c:v>0.04</c:v>
                </c:pt>
                <c:pt idx="72">
                  <c:v>0.03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0.02</c:v>
                </c:pt>
                <c:pt idx="79">
                  <c:v>0.03</c:v>
                </c:pt>
                <c:pt idx="80">
                  <c:v>0.04</c:v>
                </c:pt>
                <c:pt idx="81">
                  <c:v>0.06</c:v>
                </c:pt>
                <c:pt idx="82">
                  <c:v>0.03</c:v>
                </c:pt>
                <c:pt idx="83">
                  <c:v>0.06</c:v>
                </c:pt>
                <c:pt idx="84">
                  <c:v>7.0000000000000007E-2</c:v>
                </c:pt>
                <c:pt idx="85">
                  <c:v>0.04</c:v>
                </c:pt>
                <c:pt idx="86">
                  <c:v>7.0000000000000007E-2</c:v>
                </c:pt>
                <c:pt idx="87">
                  <c:v>0.03</c:v>
                </c:pt>
                <c:pt idx="88">
                  <c:v>0.03</c:v>
                </c:pt>
                <c:pt idx="89">
                  <c:v>0.02</c:v>
                </c:pt>
                <c:pt idx="90">
                  <c:v>0.01</c:v>
                </c:pt>
                <c:pt idx="91">
                  <c:v>0.05</c:v>
                </c:pt>
                <c:pt idx="92">
                  <c:v>0.04</c:v>
                </c:pt>
                <c:pt idx="93">
                  <c:v>0</c:v>
                </c:pt>
                <c:pt idx="94">
                  <c:v>0.01</c:v>
                </c:pt>
                <c:pt idx="95">
                  <c:v>0</c:v>
                </c:pt>
                <c:pt idx="96">
                  <c:v>0</c:v>
                </c:pt>
                <c:pt idx="97">
                  <c:v>0.02</c:v>
                </c:pt>
                <c:pt idx="98">
                  <c:v>0</c:v>
                </c:pt>
                <c:pt idx="99">
                  <c:v>0.01</c:v>
                </c:pt>
                <c:pt idx="100">
                  <c:v>0.02</c:v>
                </c:pt>
                <c:pt idx="101">
                  <c:v>0</c:v>
                </c:pt>
                <c:pt idx="102">
                  <c:v>0.01</c:v>
                </c:pt>
                <c:pt idx="103">
                  <c:v>0</c:v>
                </c:pt>
                <c:pt idx="104">
                  <c:v>0</c:v>
                </c:pt>
                <c:pt idx="105">
                  <c:v>0.01</c:v>
                </c:pt>
                <c:pt idx="106">
                  <c:v>0</c:v>
                </c:pt>
                <c:pt idx="107">
                  <c:v>0</c:v>
                </c:pt>
                <c:pt idx="108">
                  <c:v>0.01</c:v>
                </c:pt>
                <c:pt idx="109">
                  <c:v>0</c:v>
                </c:pt>
                <c:pt idx="110">
                  <c:v>0.01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0.02</c:v>
                </c:pt>
                <c:pt idx="123">
                  <c:v>0.01</c:v>
                </c:pt>
                <c:pt idx="124">
                  <c:v>0.02</c:v>
                </c:pt>
                <c:pt idx="125">
                  <c:v>0.06</c:v>
                </c:pt>
                <c:pt idx="126">
                  <c:v>0.02</c:v>
                </c:pt>
                <c:pt idx="127">
                  <c:v>0.06</c:v>
                </c:pt>
                <c:pt idx="128">
                  <c:v>0.04</c:v>
                </c:pt>
                <c:pt idx="129">
                  <c:v>0.03</c:v>
                </c:pt>
                <c:pt idx="130">
                  <c:v>0.05</c:v>
                </c:pt>
                <c:pt idx="131">
                  <c:v>0.05</c:v>
                </c:pt>
                <c:pt idx="132">
                  <c:v>0.03</c:v>
                </c:pt>
                <c:pt idx="133">
                  <c:v>0.02</c:v>
                </c:pt>
                <c:pt idx="134">
                  <c:v>0</c:v>
                </c:pt>
                <c:pt idx="135">
                  <c:v>0.02</c:v>
                </c:pt>
                <c:pt idx="136">
                  <c:v>0</c:v>
                </c:pt>
                <c:pt idx="137">
                  <c:v>0.01</c:v>
                </c:pt>
                <c:pt idx="138">
                  <c:v>0</c:v>
                </c:pt>
                <c:pt idx="139">
                  <c:v>0</c:v>
                </c:pt>
                <c:pt idx="140">
                  <c:v>0.03</c:v>
                </c:pt>
                <c:pt idx="141">
                  <c:v>0</c:v>
                </c:pt>
                <c:pt idx="142">
                  <c:v>0.01</c:v>
                </c:pt>
                <c:pt idx="143">
                  <c:v>0.04</c:v>
                </c:pt>
                <c:pt idx="144">
                  <c:v>0</c:v>
                </c:pt>
                <c:pt idx="145">
                  <c:v>0.04</c:v>
                </c:pt>
                <c:pt idx="146">
                  <c:v>0</c:v>
                </c:pt>
                <c:pt idx="147">
                  <c:v>0</c:v>
                </c:pt>
                <c:pt idx="148">
                  <c:v>0.02</c:v>
                </c:pt>
                <c:pt idx="149">
                  <c:v>0</c:v>
                </c:pt>
                <c:pt idx="150">
                  <c:v>0.02</c:v>
                </c:pt>
                <c:pt idx="151">
                  <c:v>0.02</c:v>
                </c:pt>
                <c:pt idx="152">
                  <c:v>0</c:v>
                </c:pt>
                <c:pt idx="153">
                  <c:v>0.02</c:v>
                </c:pt>
                <c:pt idx="154">
                  <c:v>0</c:v>
                </c:pt>
                <c:pt idx="155">
                  <c:v>0</c:v>
                </c:pt>
                <c:pt idx="156">
                  <c:v>0.03</c:v>
                </c:pt>
                <c:pt idx="157">
                  <c:v>0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</c:v>
                </c:pt>
                <c:pt idx="163">
                  <c:v>0</c:v>
                </c:pt>
              </c:numCache>
            </c:numRef>
          </c:xVal>
          <c:yVal>
            <c:numRef>
              <c:f>'Full Mobility Curves'!$AV$3:$AV$166</c:f>
              <c:numCache>
                <c:formatCode>General</c:formatCode>
                <c:ptCount val="16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0.39</c:v>
                </c:pt>
                <c:pt idx="4">
                  <c:v>0.97</c:v>
                </c:pt>
                <c:pt idx="5">
                  <c:v>0.37</c:v>
                </c:pt>
                <c:pt idx="6">
                  <c:v>0.3</c:v>
                </c:pt>
                <c:pt idx="7">
                  <c:v>0.3</c:v>
                </c:pt>
                <c:pt idx="8">
                  <c:v>0.22</c:v>
                </c:pt>
                <c:pt idx="9">
                  <c:v>0.2</c:v>
                </c:pt>
                <c:pt idx="10">
                  <c:v>0.18</c:v>
                </c:pt>
                <c:pt idx="11">
                  <c:v>0.17</c:v>
                </c:pt>
                <c:pt idx="12">
                  <c:v>0.92</c:v>
                </c:pt>
                <c:pt idx="13">
                  <c:v>0.97</c:v>
                </c:pt>
                <c:pt idx="14">
                  <c:v>1</c:v>
                </c:pt>
                <c:pt idx="15">
                  <c:v>0.56000000000000005</c:v>
                </c:pt>
                <c:pt idx="16">
                  <c:v>0.33</c:v>
                </c:pt>
                <c:pt idx="17">
                  <c:v>0.35</c:v>
                </c:pt>
                <c:pt idx="18">
                  <c:v>0.34</c:v>
                </c:pt>
                <c:pt idx="19">
                  <c:v>0.51</c:v>
                </c:pt>
                <c:pt idx="20">
                  <c:v>0.98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0.99</c:v>
                </c:pt>
                <c:pt idx="25">
                  <c:v>0.37</c:v>
                </c:pt>
                <c:pt idx="26">
                  <c:v>0.36</c:v>
                </c:pt>
                <c:pt idx="27">
                  <c:v>0.28000000000000003</c:v>
                </c:pt>
                <c:pt idx="28">
                  <c:v>0.14000000000000001</c:v>
                </c:pt>
                <c:pt idx="29">
                  <c:v>0.26</c:v>
                </c:pt>
                <c:pt idx="30">
                  <c:v>0.18</c:v>
                </c:pt>
                <c:pt idx="31">
                  <c:v>0.27</c:v>
                </c:pt>
                <c:pt idx="32">
                  <c:v>0.26</c:v>
                </c:pt>
                <c:pt idx="33">
                  <c:v>0.23</c:v>
                </c:pt>
                <c:pt idx="34">
                  <c:v>0.27</c:v>
                </c:pt>
                <c:pt idx="35">
                  <c:v>0.28999999999999998</c:v>
                </c:pt>
                <c:pt idx="36">
                  <c:v>0.95</c:v>
                </c:pt>
                <c:pt idx="37">
                  <c:v>0.44</c:v>
                </c:pt>
                <c:pt idx="38">
                  <c:v>0.99</c:v>
                </c:pt>
                <c:pt idx="39">
                  <c:v>0.99</c:v>
                </c:pt>
                <c:pt idx="40">
                  <c:v>0.48</c:v>
                </c:pt>
                <c:pt idx="41">
                  <c:v>0.99</c:v>
                </c:pt>
                <c:pt idx="42">
                  <c:v>0.99</c:v>
                </c:pt>
                <c:pt idx="43">
                  <c:v>1</c:v>
                </c:pt>
                <c:pt idx="44">
                  <c:v>1</c:v>
                </c:pt>
                <c:pt idx="45">
                  <c:v>0.99</c:v>
                </c:pt>
                <c:pt idx="46">
                  <c:v>0.38</c:v>
                </c:pt>
                <c:pt idx="47">
                  <c:v>0.52</c:v>
                </c:pt>
                <c:pt idx="48">
                  <c:v>0.37</c:v>
                </c:pt>
                <c:pt idx="49">
                  <c:v>0.34</c:v>
                </c:pt>
                <c:pt idx="50">
                  <c:v>0.28999999999999998</c:v>
                </c:pt>
                <c:pt idx="51">
                  <c:v>0.32</c:v>
                </c:pt>
                <c:pt idx="52">
                  <c:v>0.35</c:v>
                </c:pt>
                <c:pt idx="53">
                  <c:v>0.41</c:v>
                </c:pt>
                <c:pt idx="54">
                  <c:v>0.3</c:v>
                </c:pt>
                <c:pt idx="55">
                  <c:v>0.35</c:v>
                </c:pt>
                <c:pt idx="56">
                  <c:v>0.36</c:v>
                </c:pt>
                <c:pt idx="57">
                  <c:v>0.34</c:v>
                </c:pt>
                <c:pt idx="58">
                  <c:v>0.34</c:v>
                </c:pt>
                <c:pt idx="59">
                  <c:v>0.31</c:v>
                </c:pt>
                <c:pt idx="60">
                  <c:v>0.52</c:v>
                </c:pt>
                <c:pt idx="61">
                  <c:v>0.55000000000000004</c:v>
                </c:pt>
                <c:pt idx="62">
                  <c:v>0.99</c:v>
                </c:pt>
                <c:pt idx="63">
                  <c:v>0.59</c:v>
                </c:pt>
                <c:pt idx="64">
                  <c:v>0.62</c:v>
                </c:pt>
                <c:pt idx="65">
                  <c:v>0.99</c:v>
                </c:pt>
                <c:pt idx="66">
                  <c:v>0.4</c:v>
                </c:pt>
                <c:pt idx="67">
                  <c:v>0.99</c:v>
                </c:pt>
                <c:pt idx="68">
                  <c:v>1</c:v>
                </c:pt>
                <c:pt idx="69">
                  <c:v>0.56000000000000005</c:v>
                </c:pt>
                <c:pt idx="70">
                  <c:v>0.55000000000000004</c:v>
                </c:pt>
                <c:pt idx="71">
                  <c:v>0.46</c:v>
                </c:pt>
                <c:pt idx="72">
                  <c:v>0.4</c:v>
                </c:pt>
                <c:pt idx="73">
                  <c:v>0.97</c:v>
                </c:pt>
                <c:pt idx="74">
                  <c:v>0.97</c:v>
                </c:pt>
                <c:pt idx="75">
                  <c:v>1</c:v>
                </c:pt>
                <c:pt idx="76">
                  <c:v>1</c:v>
                </c:pt>
                <c:pt idx="77">
                  <c:v>0.99</c:v>
                </c:pt>
                <c:pt idx="78">
                  <c:v>0.37</c:v>
                </c:pt>
                <c:pt idx="79">
                  <c:v>0.42</c:v>
                </c:pt>
                <c:pt idx="80">
                  <c:v>0.34</c:v>
                </c:pt>
                <c:pt idx="81">
                  <c:v>0.3</c:v>
                </c:pt>
                <c:pt idx="82">
                  <c:v>0.32</c:v>
                </c:pt>
                <c:pt idx="83">
                  <c:v>0.21</c:v>
                </c:pt>
                <c:pt idx="84">
                  <c:v>0.23</c:v>
                </c:pt>
                <c:pt idx="85">
                  <c:v>0.25</c:v>
                </c:pt>
                <c:pt idx="86">
                  <c:v>0.23</c:v>
                </c:pt>
                <c:pt idx="87">
                  <c:v>0.34</c:v>
                </c:pt>
                <c:pt idx="88">
                  <c:v>0.35</c:v>
                </c:pt>
                <c:pt idx="89">
                  <c:v>0.32</c:v>
                </c:pt>
                <c:pt idx="90">
                  <c:v>0.45</c:v>
                </c:pt>
                <c:pt idx="91">
                  <c:v>0.34</c:v>
                </c:pt>
                <c:pt idx="92">
                  <c:v>0.41</c:v>
                </c:pt>
                <c:pt idx="93">
                  <c:v>0.94</c:v>
                </c:pt>
                <c:pt idx="94">
                  <c:v>0.53</c:v>
                </c:pt>
                <c:pt idx="95">
                  <c:v>0.99</c:v>
                </c:pt>
                <c:pt idx="96">
                  <c:v>0.98</c:v>
                </c:pt>
                <c:pt idx="97">
                  <c:v>0.35</c:v>
                </c:pt>
                <c:pt idx="98">
                  <c:v>0.98</c:v>
                </c:pt>
                <c:pt idx="99">
                  <c:v>0.53</c:v>
                </c:pt>
                <c:pt idx="100">
                  <c:v>0.38</c:v>
                </c:pt>
                <c:pt idx="101">
                  <c:v>0.99</c:v>
                </c:pt>
                <c:pt idx="102">
                  <c:v>0.53</c:v>
                </c:pt>
                <c:pt idx="103">
                  <c:v>0.99</c:v>
                </c:pt>
                <c:pt idx="104">
                  <c:v>1</c:v>
                </c:pt>
                <c:pt idx="105">
                  <c:v>0.52</c:v>
                </c:pt>
                <c:pt idx="106">
                  <c:v>0.99</c:v>
                </c:pt>
                <c:pt idx="107">
                  <c:v>0.99</c:v>
                </c:pt>
                <c:pt idx="108">
                  <c:v>0.5</c:v>
                </c:pt>
                <c:pt idx="109">
                  <c:v>0.99</c:v>
                </c:pt>
                <c:pt idx="110">
                  <c:v>0.55000000000000004</c:v>
                </c:pt>
                <c:pt idx="111">
                  <c:v>0.99</c:v>
                </c:pt>
                <c:pt idx="112">
                  <c:v>1</c:v>
                </c:pt>
                <c:pt idx="113">
                  <c:v>1</c:v>
                </c:pt>
                <c:pt idx="114">
                  <c:v>0.5</c:v>
                </c:pt>
                <c:pt idx="115">
                  <c:v>0.51</c:v>
                </c:pt>
                <c:pt idx="116">
                  <c:v>0.5</c:v>
                </c:pt>
                <c:pt idx="117">
                  <c:v>1</c:v>
                </c:pt>
                <c:pt idx="118">
                  <c:v>1</c:v>
                </c:pt>
                <c:pt idx="119">
                  <c:v>0.99</c:v>
                </c:pt>
                <c:pt idx="120">
                  <c:v>0.99</c:v>
                </c:pt>
                <c:pt idx="121">
                  <c:v>0.99</c:v>
                </c:pt>
                <c:pt idx="122">
                  <c:v>0.3</c:v>
                </c:pt>
                <c:pt idx="123">
                  <c:v>0.46</c:v>
                </c:pt>
                <c:pt idx="124">
                  <c:v>0.28999999999999998</c:v>
                </c:pt>
                <c:pt idx="125">
                  <c:v>0.26</c:v>
                </c:pt>
                <c:pt idx="126">
                  <c:v>0.21</c:v>
                </c:pt>
                <c:pt idx="127">
                  <c:v>0.23</c:v>
                </c:pt>
                <c:pt idx="128">
                  <c:v>0.26</c:v>
                </c:pt>
                <c:pt idx="129">
                  <c:v>0.26</c:v>
                </c:pt>
                <c:pt idx="130">
                  <c:v>0.21</c:v>
                </c:pt>
                <c:pt idx="131">
                  <c:v>0.25</c:v>
                </c:pt>
                <c:pt idx="132">
                  <c:v>0.31</c:v>
                </c:pt>
                <c:pt idx="133">
                  <c:v>0.26</c:v>
                </c:pt>
                <c:pt idx="134">
                  <c:v>0.96</c:v>
                </c:pt>
                <c:pt idx="135">
                  <c:v>0.3</c:v>
                </c:pt>
                <c:pt idx="136">
                  <c:v>0.98</c:v>
                </c:pt>
                <c:pt idx="137">
                  <c:v>0.46</c:v>
                </c:pt>
                <c:pt idx="138">
                  <c:v>0.99</c:v>
                </c:pt>
                <c:pt idx="139">
                  <c:v>0.98</c:v>
                </c:pt>
                <c:pt idx="140">
                  <c:v>0.4</c:v>
                </c:pt>
                <c:pt idx="141">
                  <c:v>0.96</c:v>
                </c:pt>
                <c:pt idx="142">
                  <c:v>0.48</c:v>
                </c:pt>
                <c:pt idx="143">
                  <c:v>0.4</c:v>
                </c:pt>
                <c:pt idx="144">
                  <c:v>0.96</c:v>
                </c:pt>
                <c:pt idx="145">
                  <c:v>0.35</c:v>
                </c:pt>
                <c:pt idx="146">
                  <c:v>0.97</c:v>
                </c:pt>
                <c:pt idx="147">
                  <c:v>0.98</c:v>
                </c:pt>
                <c:pt idx="148">
                  <c:v>0.31</c:v>
                </c:pt>
                <c:pt idx="149">
                  <c:v>0.98</c:v>
                </c:pt>
                <c:pt idx="150">
                  <c:v>0.28999999999999998</c:v>
                </c:pt>
                <c:pt idx="151">
                  <c:v>0.28999999999999998</c:v>
                </c:pt>
                <c:pt idx="152">
                  <c:v>0.98</c:v>
                </c:pt>
                <c:pt idx="153">
                  <c:v>0.3</c:v>
                </c:pt>
                <c:pt idx="154">
                  <c:v>0.98</c:v>
                </c:pt>
                <c:pt idx="155">
                  <c:v>0.99</c:v>
                </c:pt>
                <c:pt idx="156">
                  <c:v>0.42</c:v>
                </c:pt>
                <c:pt idx="157">
                  <c:v>0.97</c:v>
                </c:pt>
                <c:pt idx="158">
                  <c:v>0.45</c:v>
                </c:pt>
                <c:pt idx="159">
                  <c:v>0.43</c:v>
                </c:pt>
                <c:pt idx="160">
                  <c:v>0.48</c:v>
                </c:pt>
                <c:pt idx="161">
                  <c:v>0.49</c:v>
                </c:pt>
                <c:pt idx="162">
                  <c:v>0.98</c:v>
                </c:pt>
                <c:pt idx="163">
                  <c:v>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1-48B4-9F75-25503E403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29440"/>
        <c:axId val="88619584"/>
      </c:scatterChart>
      <c:valAx>
        <c:axId val="1411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Population 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9584"/>
        <c:crosses val="autoZero"/>
        <c:crossBetween val="midCat"/>
      </c:valAx>
      <c:valAx>
        <c:axId val="88619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944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 Savings Run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3341885389326333"/>
                  <c:y val="-0.449168489355497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'Full Mobility Curves'!$AS$3:$AS$154</c:f>
              <c:numCache>
                <c:formatCode>0%</c:formatCode>
                <c:ptCount val="1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0.04</c:v>
                </c:pt>
                <c:pt idx="7">
                  <c:v>0.05</c:v>
                </c:pt>
                <c:pt idx="8">
                  <c:v>0.06</c:v>
                </c:pt>
                <c:pt idx="9">
                  <c:v>0.1</c:v>
                </c:pt>
                <c:pt idx="10">
                  <c:v>0.04</c:v>
                </c:pt>
                <c:pt idx="11">
                  <c:v>0.05</c:v>
                </c:pt>
                <c:pt idx="12">
                  <c:v>0.09</c:v>
                </c:pt>
                <c:pt idx="13">
                  <c:v>7.0000000000000007E-2</c:v>
                </c:pt>
                <c:pt idx="14">
                  <c:v>0.06</c:v>
                </c:pt>
                <c:pt idx="15">
                  <c:v>0.02</c:v>
                </c:pt>
                <c:pt idx="16">
                  <c:v>0.03</c:v>
                </c:pt>
                <c:pt idx="17">
                  <c:v>0.02</c:v>
                </c:pt>
                <c:pt idx="18">
                  <c:v>0</c:v>
                </c:pt>
                <c:pt idx="19">
                  <c:v>0.04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0.01</c:v>
                </c:pt>
                <c:pt idx="27">
                  <c:v>0.02</c:v>
                </c:pt>
                <c:pt idx="28">
                  <c:v>0.04</c:v>
                </c:pt>
                <c:pt idx="29">
                  <c:v>0.05</c:v>
                </c:pt>
                <c:pt idx="30">
                  <c:v>7.0000000000000007E-2</c:v>
                </c:pt>
                <c:pt idx="31">
                  <c:v>0.08</c:v>
                </c:pt>
                <c:pt idx="32">
                  <c:v>0.06</c:v>
                </c:pt>
                <c:pt idx="33">
                  <c:v>0.11</c:v>
                </c:pt>
                <c:pt idx="34">
                  <c:v>0.04</c:v>
                </c:pt>
                <c:pt idx="35">
                  <c:v>0.08</c:v>
                </c:pt>
                <c:pt idx="36">
                  <c:v>0.06</c:v>
                </c:pt>
                <c:pt idx="37">
                  <c:v>0.01</c:v>
                </c:pt>
                <c:pt idx="38">
                  <c:v>0.04</c:v>
                </c:pt>
                <c:pt idx="39">
                  <c:v>0.01</c:v>
                </c:pt>
                <c:pt idx="40">
                  <c:v>0</c:v>
                </c:pt>
                <c:pt idx="41">
                  <c:v>0.03</c:v>
                </c:pt>
                <c:pt idx="42">
                  <c:v>0</c:v>
                </c:pt>
                <c:pt idx="43">
                  <c:v>0.01</c:v>
                </c:pt>
                <c:pt idx="44">
                  <c:v>0.01</c:v>
                </c:pt>
                <c:pt idx="45">
                  <c:v>0</c:v>
                </c:pt>
                <c:pt idx="46">
                  <c:v>0.02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0.02</c:v>
                </c:pt>
                <c:pt idx="53">
                  <c:v>0.02</c:v>
                </c:pt>
                <c:pt idx="54">
                  <c:v>0</c:v>
                </c:pt>
                <c:pt idx="55">
                  <c:v>0</c:v>
                </c:pt>
                <c:pt idx="56">
                  <c:v>0.03</c:v>
                </c:pt>
                <c:pt idx="57">
                  <c:v>0.03</c:v>
                </c:pt>
                <c:pt idx="58">
                  <c:v>7.0000000000000007E-2</c:v>
                </c:pt>
                <c:pt idx="59">
                  <c:v>0.1</c:v>
                </c:pt>
                <c:pt idx="60">
                  <c:v>0.08</c:v>
                </c:pt>
                <c:pt idx="61">
                  <c:v>0.1</c:v>
                </c:pt>
                <c:pt idx="62">
                  <c:v>7.0000000000000007E-2</c:v>
                </c:pt>
                <c:pt idx="63">
                  <c:v>0.08</c:v>
                </c:pt>
                <c:pt idx="64">
                  <c:v>0.04</c:v>
                </c:pt>
                <c:pt idx="65">
                  <c:v>0.01</c:v>
                </c:pt>
                <c:pt idx="66">
                  <c:v>0.02</c:v>
                </c:pt>
                <c:pt idx="67">
                  <c:v>0</c:v>
                </c:pt>
                <c:pt idx="68">
                  <c:v>0.01</c:v>
                </c:pt>
                <c:pt idx="69">
                  <c:v>0.02</c:v>
                </c:pt>
                <c:pt idx="70">
                  <c:v>0.01</c:v>
                </c:pt>
                <c:pt idx="71">
                  <c:v>0.01</c:v>
                </c:pt>
                <c:pt idx="72">
                  <c:v>0</c:v>
                </c:pt>
                <c:pt idx="73">
                  <c:v>0.01</c:v>
                </c:pt>
                <c:pt idx="74">
                  <c:v>0.03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0.02</c:v>
                </c:pt>
                <c:pt idx="85">
                  <c:v>0.03</c:v>
                </c:pt>
                <c:pt idx="86">
                  <c:v>0.05</c:v>
                </c:pt>
                <c:pt idx="87">
                  <c:v>0.06</c:v>
                </c:pt>
                <c:pt idx="88">
                  <c:v>7.0000000000000007E-2</c:v>
                </c:pt>
                <c:pt idx="89">
                  <c:v>7.0000000000000007E-2</c:v>
                </c:pt>
                <c:pt idx="90">
                  <c:v>0.06</c:v>
                </c:pt>
                <c:pt idx="91">
                  <c:v>0.06</c:v>
                </c:pt>
                <c:pt idx="92">
                  <c:v>7.0000000000000007E-2</c:v>
                </c:pt>
                <c:pt idx="93">
                  <c:v>0.04</c:v>
                </c:pt>
                <c:pt idx="94">
                  <c:v>0.03</c:v>
                </c:pt>
                <c:pt idx="95">
                  <c:v>0.03</c:v>
                </c:pt>
                <c:pt idx="96">
                  <c:v>0.01</c:v>
                </c:pt>
                <c:pt idx="97">
                  <c:v>0.01</c:v>
                </c:pt>
                <c:pt idx="98">
                  <c:v>0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0.02</c:v>
                </c:pt>
                <c:pt idx="103">
                  <c:v>0.01</c:v>
                </c:pt>
                <c:pt idx="104">
                  <c:v>0.01</c:v>
                </c:pt>
                <c:pt idx="105">
                  <c:v>0</c:v>
                </c:pt>
                <c:pt idx="106">
                  <c:v>0.02</c:v>
                </c:pt>
                <c:pt idx="107">
                  <c:v>0.03</c:v>
                </c:pt>
                <c:pt idx="108">
                  <c:v>0.02</c:v>
                </c:pt>
                <c:pt idx="109">
                  <c:v>0.05</c:v>
                </c:pt>
                <c:pt idx="110">
                  <c:v>0</c:v>
                </c:pt>
                <c:pt idx="111">
                  <c:v>0</c:v>
                </c:pt>
                <c:pt idx="112">
                  <c:v>0.01</c:v>
                </c:pt>
                <c:pt idx="113">
                  <c:v>0</c:v>
                </c:pt>
                <c:pt idx="114">
                  <c:v>0</c:v>
                </c:pt>
                <c:pt idx="115">
                  <c:v>0.02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0.02</c:v>
                </c:pt>
                <c:pt idx="122">
                  <c:v>0.05</c:v>
                </c:pt>
                <c:pt idx="123">
                  <c:v>0.05</c:v>
                </c:pt>
                <c:pt idx="124">
                  <c:v>0.06</c:v>
                </c:pt>
                <c:pt idx="125">
                  <c:v>0.02</c:v>
                </c:pt>
                <c:pt idx="126">
                  <c:v>0.05</c:v>
                </c:pt>
                <c:pt idx="127">
                  <c:v>0.09</c:v>
                </c:pt>
                <c:pt idx="128">
                  <c:v>0.12</c:v>
                </c:pt>
                <c:pt idx="129">
                  <c:v>0.05</c:v>
                </c:pt>
                <c:pt idx="130">
                  <c:v>0.04</c:v>
                </c:pt>
                <c:pt idx="131">
                  <c:v>7.0000000000000007E-2</c:v>
                </c:pt>
                <c:pt idx="132">
                  <c:v>0.05</c:v>
                </c:pt>
                <c:pt idx="133">
                  <c:v>0.02</c:v>
                </c:pt>
                <c:pt idx="134">
                  <c:v>0.03</c:v>
                </c:pt>
                <c:pt idx="135">
                  <c:v>0</c:v>
                </c:pt>
                <c:pt idx="136">
                  <c:v>0.01</c:v>
                </c:pt>
                <c:pt idx="137">
                  <c:v>0.02</c:v>
                </c:pt>
                <c:pt idx="138">
                  <c:v>0</c:v>
                </c:pt>
                <c:pt idx="139">
                  <c:v>0.02</c:v>
                </c:pt>
                <c:pt idx="140">
                  <c:v>0.01</c:v>
                </c:pt>
                <c:pt idx="141">
                  <c:v>0</c:v>
                </c:pt>
                <c:pt idx="142">
                  <c:v>0.01</c:v>
                </c:pt>
                <c:pt idx="143">
                  <c:v>0</c:v>
                </c:pt>
                <c:pt idx="144">
                  <c:v>0.01</c:v>
                </c:pt>
                <c:pt idx="145">
                  <c:v>0.01</c:v>
                </c:pt>
                <c:pt idx="146">
                  <c:v>0</c:v>
                </c:pt>
                <c:pt idx="147">
                  <c:v>0.01</c:v>
                </c:pt>
                <c:pt idx="148">
                  <c:v>0</c:v>
                </c:pt>
                <c:pt idx="149">
                  <c:v>0.01</c:v>
                </c:pt>
                <c:pt idx="150">
                  <c:v>0</c:v>
                </c:pt>
                <c:pt idx="151">
                  <c:v>0</c:v>
                </c:pt>
              </c:numCache>
            </c:numRef>
          </c:xVal>
          <c:yVal>
            <c:numRef>
              <c:f>'Full Mobility Curves'!$AT$3:$AT$154</c:f>
              <c:numCache>
                <c:formatCode>General</c:formatCode>
                <c:ptCount val="152"/>
                <c:pt idx="0">
                  <c:v>0.99</c:v>
                </c:pt>
                <c:pt idx="1">
                  <c:v>0.99</c:v>
                </c:pt>
                <c:pt idx="2">
                  <c:v>0.97</c:v>
                </c:pt>
                <c:pt idx="3">
                  <c:v>0.5</c:v>
                </c:pt>
                <c:pt idx="4">
                  <c:v>0.45</c:v>
                </c:pt>
                <c:pt idx="5">
                  <c:v>0.47</c:v>
                </c:pt>
                <c:pt idx="6">
                  <c:v>0.49</c:v>
                </c:pt>
                <c:pt idx="7">
                  <c:v>0.39</c:v>
                </c:pt>
                <c:pt idx="8">
                  <c:v>0.41</c:v>
                </c:pt>
                <c:pt idx="9">
                  <c:v>0.46</c:v>
                </c:pt>
                <c:pt idx="10">
                  <c:v>0.42</c:v>
                </c:pt>
                <c:pt idx="11">
                  <c:v>0.38</c:v>
                </c:pt>
                <c:pt idx="12">
                  <c:v>0.35</c:v>
                </c:pt>
                <c:pt idx="13">
                  <c:v>0.39</c:v>
                </c:pt>
                <c:pt idx="14">
                  <c:v>0.46</c:v>
                </c:pt>
                <c:pt idx="15">
                  <c:v>0.53</c:v>
                </c:pt>
                <c:pt idx="16">
                  <c:v>0.46</c:v>
                </c:pt>
                <c:pt idx="17">
                  <c:v>0.49</c:v>
                </c:pt>
                <c:pt idx="18">
                  <c:v>0.91</c:v>
                </c:pt>
                <c:pt idx="19">
                  <c:v>0.52</c:v>
                </c:pt>
                <c:pt idx="20">
                  <c:v>0.98</c:v>
                </c:pt>
                <c:pt idx="21">
                  <c:v>0.95</c:v>
                </c:pt>
                <c:pt idx="22">
                  <c:v>0.98</c:v>
                </c:pt>
                <c:pt idx="23">
                  <c:v>0.97</c:v>
                </c:pt>
                <c:pt idx="24">
                  <c:v>0.97</c:v>
                </c:pt>
                <c:pt idx="25">
                  <c:v>0.54</c:v>
                </c:pt>
                <c:pt idx="26">
                  <c:v>0.79</c:v>
                </c:pt>
                <c:pt idx="27">
                  <c:v>0.51</c:v>
                </c:pt>
                <c:pt idx="28">
                  <c:v>0.49</c:v>
                </c:pt>
                <c:pt idx="29">
                  <c:v>0.51</c:v>
                </c:pt>
                <c:pt idx="30">
                  <c:v>0.35</c:v>
                </c:pt>
                <c:pt idx="31">
                  <c:v>0.39</c:v>
                </c:pt>
                <c:pt idx="32">
                  <c:v>0.36</c:v>
                </c:pt>
                <c:pt idx="33">
                  <c:v>0.36</c:v>
                </c:pt>
                <c:pt idx="34">
                  <c:v>0.47</c:v>
                </c:pt>
                <c:pt idx="35">
                  <c:v>0.45</c:v>
                </c:pt>
                <c:pt idx="36">
                  <c:v>0.46</c:v>
                </c:pt>
                <c:pt idx="37">
                  <c:v>0.7</c:v>
                </c:pt>
                <c:pt idx="38">
                  <c:v>0.44</c:v>
                </c:pt>
                <c:pt idx="39">
                  <c:v>0.72</c:v>
                </c:pt>
                <c:pt idx="40">
                  <c:v>0.97</c:v>
                </c:pt>
                <c:pt idx="41">
                  <c:v>0.5</c:v>
                </c:pt>
                <c:pt idx="42">
                  <c:v>0.96</c:v>
                </c:pt>
                <c:pt idx="43">
                  <c:v>0.72</c:v>
                </c:pt>
                <c:pt idx="44">
                  <c:v>0.76</c:v>
                </c:pt>
                <c:pt idx="45">
                  <c:v>0.95</c:v>
                </c:pt>
                <c:pt idx="46">
                  <c:v>0.53</c:v>
                </c:pt>
                <c:pt idx="47">
                  <c:v>0.96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0.54</c:v>
                </c:pt>
                <c:pt idx="53">
                  <c:v>0.49</c:v>
                </c:pt>
                <c:pt idx="54">
                  <c:v>0.93</c:v>
                </c:pt>
                <c:pt idx="55">
                  <c:v>0.93</c:v>
                </c:pt>
                <c:pt idx="56">
                  <c:v>0.43</c:v>
                </c:pt>
                <c:pt idx="57">
                  <c:v>0.46</c:v>
                </c:pt>
                <c:pt idx="58">
                  <c:v>0.35</c:v>
                </c:pt>
                <c:pt idx="59">
                  <c:v>0.41</c:v>
                </c:pt>
                <c:pt idx="60">
                  <c:v>0.39</c:v>
                </c:pt>
                <c:pt idx="61">
                  <c:v>0.41</c:v>
                </c:pt>
                <c:pt idx="62">
                  <c:v>0.37</c:v>
                </c:pt>
                <c:pt idx="63">
                  <c:v>0.35</c:v>
                </c:pt>
                <c:pt idx="64">
                  <c:v>0.43</c:v>
                </c:pt>
                <c:pt idx="65">
                  <c:v>0.64</c:v>
                </c:pt>
                <c:pt idx="66">
                  <c:v>0.53</c:v>
                </c:pt>
                <c:pt idx="67">
                  <c:v>0.96</c:v>
                </c:pt>
                <c:pt idx="68">
                  <c:v>0.65</c:v>
                </c:pt>
                <c:pt idx="69">
                  <c:v>0.52</c:v>
                </c:pt>
                <c:pt idx="70">
                  <c:v>0.69</c:v>
                </c:pt>
                <c:pt idx="71">
                  <c:v>0.71</c:v>
                </c:pt>
                <c:pt idx="72">
                  <c:v>0.94</c:v>
                </c:pt>
                <c:pt idx="73">
                  <c:v>0.66</c:v>
                </c:pt>
                <c:pt idx="74">
                  <c:v>0.5</c:v>
                </c:pt>
                <c:pt idx="75">
                  <c:v>0.67</c:v>
                </c:pt>
                <c:pt idx="76">
                  <c:v>0.72</c:v>
                </c:pt>
                <c:pt idx="77">
                  <c:v>0.7</c:v>
                </c:pt>
                <c:pt idx="78">
                  <c:v>0.66</c:v>
                </c:pt>
                <c:pt idx="79">
                  <c:v>0.95</c:v>
                </c:pt>
                <c:pt idx="80">
                  <c:v>0.95</c:v>
                </c:pt>
                <c:pt idx="81">
                  <c:v>0.98</c:v>
                </c:pt>
                <c:pt idx="82">
                  <c:v>0.95</c:v>
                </c:pt>
                <c:pt idx="83">
                  <c:v>0.98</c:v>
                </c:pt>
                <c:pt idx="84">
                  <c:v>0.48</c:v>
                </c:pt>
                <c:pt idx="85">
                  <c:v>0.42</c:v>
                </c:pt>
                <c:pt idx="86">
                  <c:v>0.4</c:v>
                </c:pt>
                <c:pt idx="87">
                  <c:v>0.36</c:v>
                </c:pt>
                <c:pt idx="88">
                  <c:v>0.34</c:v>
                </c:pt>
                <c:pt idx="89">
                  <c:v>0.33</c:v>
                </c:pt>
                <c:pt idx="90">
                  <c:v>0.26</c:v>
                </c:pt>
                <c:pt idx="91">
                  <c:v>0.3</c:v>
                </c:pt>
                <c:pt idx="92">
                  <c:v>0.24</c:v>
                </c:pt>
                <c:pt idx="93">
                  <c:v>0.43</c:v>
                </c:pt>
                <c:pt idx="94">
                  <c:v>0.4</c:v>
                </c:pt>
                <c:pt idx="95">
                  <c:v>0.45</c:v>
                </c:pt>
                <c:pt idx="96">
                  <c:v>0.64</c:v>
                </c:pt>
                <c:pt idx="97">
                  <c:v>0.65</c:v>
                </c:pt>
                <c:pt idx="98">
                  <c:v>0.97</c:v>
                </c:pt>
                <c:pt idx="99">
                  <c:v>0.64</c:v>
                </c:pt>
                <c:pt idx="100">
                  <c:v>0.64</c:v>
                </c:pt>
                <c:pt idx="101">
                  <c:v>0.64</c:v>
                </c:pt>
                <c:pt idx="102">
                  <c:v>0.49</c:v>
                </c:pt>
                <c:pt idx="103">
                  <c:v>0.7</c:v>
                </c:pt>
                <c:pt idx="104">
                  <c:v>0.63</c:v>
                </c:pt>
                <c:pt idx="105">
                  <c:v>0.95</c:v>
                </c:pt>
                <c:pt idx="106">
                  <c:v>0.48</c:v>
                </c:pt>
                <c:pt idx="107">
                  <c:v>0.44</c:v>
                </c:pt>
                <c:pt idx="108">
                  <c:v>0.49</c:v>
                </c:pt>
                <c:pt idx="109">
                  <c:v>0.47</c:v>
                </c:pt>
                <c:pt idx="110">
                  <c:v>0.94</c:v>
                </c:pt>
                <c:pt idx="111">
                  <c:v>0.94</c:v>
                </c:pt>
                <c:pt idx="112">
                  <c:v>0.66</c:v>
                </c:pt>
                <c:pt idx="113">
                  <c:v>0.98</c:v>
                </c:pt>
                <c:pt idx="114">
                  <c:v>0.96</c:v>
                </c:pt>
                <c:pt idx="115">
                  <c:v>0.5</c:v>
                </c:pt>
                <c:pt idx="116">
                  <c:v>0.97</c:v>
                </c:pt>
                <c:pt idx="117">
                  <c:v>0.96</c:v>
                </c:pt>
                <c:pt idx="118">
                  <c:v>0.98</c:v>
                </c:pt>
                <c:pt idx="119">
                  <c:v>0.98</c:v>
                </c:pt>
                <c:pt idx="120">
                  <c:v>0.96</c:v>
                </c:pt>
                <c:pt idx="121">
                  <c:v>0.41</c:v>
                </c:pt>
                <c:pt idx="122">
                  <c:v>0.41</c:v>
                </c:pt>
                <c:pt idx="123">
                  <c:v>0.45</c:v>
                </c:pt>
                <c:pt idx="124">
                  <c:v>0.54</c:v>
                </c:pt>
                <c:pt idx="125">
                  <c:v>0.46</c:v>
                </c:pt>
                <c:pt idx="126">
                  <c:v>0.37</c:v>
                </c:pt>
                <c:pt idx="127">
                  <c:v>0.4</c:v>
                </c:pt>
                <c:pt idx="128">
                  <c:v>0.45</c:v>
                </c:pt>
                <c:pt idx="129">
                  <c:v>0.39</c:v>
                </c:pt>
                <c:pt idx="130">
                  <c:v>0.37</c:v>
                </c:pt>
                <c:pt idx="131">
                  <c:v>0.38</c:v>
                </c:pt>
                <c:pt idx="132">
                  <c:v>0.44</c:v>
                </c:pt>
                <c:pt idx="133">
                  <c:v>0.43</c:v>
                </c:pt>
                <c:pt idx="134">
                  <c:v>0.49</c:v>
                </c:pt>
                <c:pt idx="135">
                  <c:v>0.93</c:v>
                </c:pt>
                <c:pt idx="136">
                  <c:v>0.67</c:v>
                </c:pt>
                <c:pt idx="137">
                  <c:v>0.44</c:v>
                </c:pt>
                <c:pt idx="138">
                  <c:v>0.96</c:v>
                </c:pt>
                <c:pt idx="139">
                  <c:v>0.43</c:v>
                </c:pt>
                <c:pt idx="140">
                  <c:v>0.65</c:v>
                </c:pt>
                <c:pt idx="141">
                  <c:v>0.95</c:v>
                </c:pt>
                <c:pt idx="142">
                  <c:v>0.66</c:v>
                </c:pt>
                <c:pt idx="143">
                  <c:v>0.97</c:v>
                </c:pt>
                <c:pt idx="144">
                  <c:v>0.67</c:v>
                </c:pt>
                <c:pt idx="145">
                  <c:v>0.67</c:v>
                </c:pt>
                <c:pt idx="146">
                  <c:v>0.95</c:v>
                </c:pt>
                <c:pt idx="147">
                  <c:v>0.68</c:v>
                </c:pt>
                <c:pt idx="148">
                  <c:v>0.98</c:v>
                </c:pt>
                <c:pt idx="149">
                  <c:v>0.67</c:v>
                </c:pt>
                <c:pt idx="150">
                  <c:v>0.98</c:v>
                </c:pt>
                <c:pt idx="151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4-4B5F-8491-BCEB1C361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29440"/>
        <c:axId val="88619584"/>
      </c:scatterChart>
      <c:valAx>
        <c:axId val="1411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Population 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9584"/>
        <c:crosses val="autoZero"/>
        <c:crossBetween val="midCat"/>
      </c:valAx>
      <c:valAx>
        <c:axId val="88619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944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 Learns Run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002060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00B0F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8.0688731335968891E-2"/>
                  <c:y val="-0.479753207932341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'Full Mobility Curves'!$AQ$3:$AQ$219</c:f>
              <c:numCache>
                <c:formatCode>0%</c:formatCode>
                <c:ptCount val="2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0.01</c:v>
                </c:pt>
                <c:pt idx="6">
                  <c:v>0.04</c:v>
                </c:pt>
                <c:pt idx="7">
                  <c:v>0.04</c:v>
                </c:pt>
                <c:pt idx="8">
                  <c:v>0.09</c:v>
                </c:pt>
                <c:pt idx="9">
                  <c:v>0.05</c:v>
                </c:pt>
                <c:pt idx="10">
                  <c:v>0.03</c:v>
                </c:pt>
                <c:pt idx="11">
                  <c:v>0.03</c:v>
                </c:pt>
                <c:pt idx="12">
                  <c:v>0.01</c:v>
                </c:pt>
                <c:pt idx="13">
                  <c:v>0.02</c:v>
                </c:pt>
                <c:pt idx="14">
                  <c:v>0.01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0.01</c:v>
                </c:pt>
                <c:pt idx="21">
                  <c:v>0</c:v>
                </c:pt>
                <c:pt idx="22">
                  <c:v>0.01</c:v>
                </c:pt>
                <c:pt idx="23">
                  <c:v>0</c:v>
                </c:pt>
                <c:pt idx="24">
                  <c:v>0</c:v>
                </c:pt>
                <c:pt idx="25">
                  <c:v>0.04</c:v>
                </c:pt>
                <c:pt idx="26">
                  <c:v>0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</c:v>
                </c:pt>
                <c:pt idx="31">
                  <c:v>0.05</c:v>
                </c:pt>
                <c:pt idx="32">
                  <c:v>0</c:v>
                </c:pt>
                <c:pt idx="33">
                  <c:v>0.04</c:v>
                </c:pt>
                <c:pt idx="34">
                  <c:v>0.06</c:v>
                </c:pt>
                <c:pt idx="35">
                  <c:v>0</c:v>
                </c:pt>
                <c:pt idx="36">
                  <c:v>0.01</c:v>
                </c:pt>
                <c:pt idx="37">
                  <c:v>0</c:v>
                </c:pt>
                <c:pt idx="38">
                  <c:v>0</c:v>
                </c:pt>
                <c:pt idx="39">
                  <c:v>0.06</c:v>
                </c:pt>
                <c:pt idx="40">
                  <c:v>0</c:v>
                </c:pt>
                <c:pt idx="41">
                  <c:v>0.02</c:v>
                </c:pt>
                <c:pt idx="42">
                  <c:v>0.03</c:v>
                </c:pt>
                <c:pt idx="43">
                  <c:v>0</c:v>
                </c:pt>
                <c:pt idx="44">
                  <c:v>0.02</c:v>
                </c:pt>
                <c:pt idx="45">
                  <c:v>0</c:v>
                </c:pt>
                <c:pt idx="46">
                  <c:v>0</c:v>
                </c:pt>
                <c:pt idx="47">
                  <c:v>0.01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0.02</c:v>
                </c:pt>
                <c:pt idx="53">
                  <c:v>0</c:v>
                </c:pt>
                <c:pt idx="54">
                  <c:v>0.03</c:v>
                </c:pt>
                <c:pt idx="55">
                  <c:v>0.05</c:v>
                </c:pt>
                <c:pt idx="56">
                  <c:v>0.03</c:v>
                </c:pt>
                <c:pt idx="57">
                  <c:v>0.09</c:v>
                </c:pt>
                <c:pt idx="58">
                  <c:v>0.04</c:v>
                </c:pt>
                <c:pt idx="59">
                  <c:v>0.03</c:v>
                </c:pt>
                <c:pt idx="60">
                  <c:v>0.05</c:v>
                </c:pt>
                <c:pt idx="61">
                  <c:v>0.04</c:v>
                </c:pt>
                <c:pt idx="62">
                  <c:v>0.01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0.03</c:v>
                </c:pt>
                <c:pt idx="68">
                  <c:v>0.01</c:v>
                </c:pt>
                <c:pt idx="69">
                  <c:v>0</c:v>
                </c:pt>
                <c:pt idx="70">
                  <c:v>0.02</c:v>
                </c:pt>
                <c:pt idx="71">
                  <c:v>0</c:v>
                </c:pt>
                <c:pt idx="72">
                  <c:v>0</c:v>
                </c:pt>
                <c:pt idx="73">
                  <c:v>0.02</c:v>
                </c:pt>
                <c:pt idx="74">
                  <c:v>0</c:v>
                </c:pt>
                <c:pt idx="75">
                  <c:v>0</c:v>
                </c:pt>
                <c:pt idx="76">
                  <c:v>0.01</c:v>
                </c:pt>
                <c:pt idx="77">
                  <c:v>0</c:v>
                </c:pt>
                <c:pt idx="78">
                  <c:v>0.01</c:v>
                </c:pt>
                <c:pt idx="79">
                  <c:v>0.02</c:v>
                </c:pt>
                <c:pt idx="80">
                  <c:v>0</c:v>
                </c:pt>
                <c:pt idx="81">
                  <c:v>0.01</c:v>
                </c:pt>
                <c:pt idx="82">
                  <c:v>0</c:v>
                </c:pt>
                <c:pt idx="83">
                  <c:v>0</c:v>
                </c:pt>
                <c:pt idx="84">
                  <c:v>0.01</c:v>
                </c:pt>
                <c:pt idx="85">
                  <c:v>0</c:v>
                </c:pt>
                <c:pt idx="86">
                  <c:v>0</c:v>
                </c:pt>
                <c:pt idx="87">
                  <c:v>0.02</c:v>
                </c:pt>
                <c:pt idx="88">
                  <c:v>0</c:v>
                </c:pt>
                <c:pt idx="89">
                  <c:v>0</c:v>
                </c:pt>
                <c:pt idx="90">
                  <c:v>0.01</c:v>
                </c:pt>
                <c:pt idx="91">
                  <c:v>0</c:v>
                </c:pt>
                <c:pt idx="92">
                  <c:v>0.02</c:v>
                </c:pt>
                <c:pt idx="93">
                  <c:v>0.03</c:v>
                </c:pt>
                <c:pt idx="94">
                  <c:v>0</c:v>
                </c:pt>
                <c:pt idx="95">
                  <c:v>0.01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0.02</c:v>
                </c:pt>
                <c:pt idx="102">
                  <c:v>0.01</c:v>
                </c:pt>
                <c:pt idx="103">
                  <c:v>0.01</c:v>
                </c:pt>
                <c:pt idx="104">
                  <c:v>0.06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0.03</c:v>
                </c:pt>
                <c:pt idx="110">
                  <c:v>0.05</c:v>
                </c:pt>
                <c:pt idx="111">
                  <c:v>0.09</c:v>
                </c:pt>
                <c:pt idx="112">
                  <c:v>0.11</c:v>
                </c:pt>
                <c:pt idx="113">
                  <c:v>0.01</c:v>
                </c:pt>
                <c:pt idx="114">
                  <c:v>0.02</c:v>
                </c:pt>
                <c:pt idx="115">
                  <c:v>0.03</c:v>
                </c:pt>
                <c:pt idx="116">
                  <c:v>0.02</c:v>
                </c:pt>
                <c:pt idx="117">
                  <c:v>0.01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0.01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0.01</c:v>
                </c:pt>
                <c:pt idx="128">
                  <c:v>0.02</c:v>
                </c:pt>
                <c:pt idx="129">
                  <c:v>0</c:v>
                </c:pt>
                <c:pt idx="130">
                  <c:v>0.01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0.02</c:v>
                </c:pt>
                <c:pt idx="137">
                  <c:v>0.02</c:v>
                </c:pt>
                <c:pt idx="138">
                  <c:v>0.03</c:v>
                </c:pt>
                <c:pt idx="139">
                  <c:v>0.06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0.03</c:v>
                </c:pt>
                <c:pt idx="144">
                  <c:v>0.04</c:v>
                </c:pt>
                <c:pt idx="145">
                  <c:v>0.1</c:v>
                </c:pt>
                <c:pt idx="146">
                  <c:v>0.09</c:v>
                </c:pt>
                <c:pt idx="147">
                  <c:v>0.04</c:v>
                </c:pt>
                <c:pt idx="148">
                  <c:v>0</c:v>
                </c:pt>
                <c:pt idx="149">
                  <c:v>0</c:v>
                </c:pt>
                <c:pt idx="150">
                  <c:v>0.02</c:v>
                </c:pt>
                <c:pt idx="151">
                  <c:v>0.02</c:v>
                </c:pt>
                <c:pt idx="152">
                  <c:v>0.04</c:v>
                </c:pt>
                <c:pt idx="153">
                  <c:v>0.03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0.04</c:v>
                </c:pt>
                <c:pt idx="159">
                  <c:v>0.02</c:v>
                </c:pt>
                <c:pt idx="160">
                  <c:v>0.01</c:v>
                </c:pt>
                <c:pt idx="161">
                  <c:v>0.05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0.02</c:v>
                </c:pt>
                <c:pt idx="168">
                  <c:v>0.01</c:v>
                </c:pt>
                <c:pt idx="169">
                  <c:v>0</c:v>
                </c:pt>
                <c:pt idx="170">
                  <c:v>0.02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0.02</c:v>
                </c:pt>
                <c:pt idx="177">
                  <c:v>0.01</c:v>
                </c:pt>
                <c:pt idx="178">
                  <c:v>0.04</c:v>
                </c:pt>
                <c:pt idx="179">
                  <c:v>0.04</c:v>
                </c:pt>
                <c:pt idx="180">
                  <c:v>0.01</c:v>
                </c:pt>
                <c:pt idx="181">
                  <c:v>0.02</c:v>
                </c:pt>
                <c:pt idx="182">
                  <c:v>0.03</c:v>
                </c:pt>
                <c:pt idx="183">
                  <c:v>0.03</c:v>
                </c:pt>
                <c:pt idx="184">
                  <c:v>7.0000000000000007E-2</c:v>
                </c:pt>
                <c:pt idx="185">
                  <c:v>0.03</c:v>
                </c:pt>
                <c:pt idx="186">
                  <c:v>0.03</c:v>
                </c:pt>
                <c:pt idx="187">
                  <c:v>0.02</c:v>
                </c:pt>
                <c:pt idx="188">
                  <c:v>0.02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0.01</c:v>
                </c:pt>
                <c:pt idx="194">
                  <c:v>0</c:v>
                </c:pt>
                <c:pt idx="195">
                  <c:v>0.01</c:v>
                </c:pt>
                <c:pt idx="196">
                  <c:v>0.02</c:v>
                </c:pt>
                <c:pt idx="197">
                  <c:v>0</c:v>
                </c:pt>
                <c:pt idx="198">
                  <c:v>0.02</c:v>
                </c:pt>
                <c:pt idx="199">
                  <c:v>0</c:v>
                </c:pt>
                <c:pt idx="200">
                  <c:v>0</c:v>
                </c:pt>
                <c:pt idx="201">
                  <c:v>0.02</c:v>
                </c:pt>
                <c:pt idx="202">
                  <c:v>0</c:v>
                </c:pt>
                <c:pt idx="203">
                  <c:v>0.02</c:v>
                </c:pt>
                <c:pt idx="204">
                  <c:v>0.05</c:v>
                </c:pt>
                <c:pt idx="205">
                  <c:v>0</c:v>
                </c:pt>
                <c:pt idx="206">
                  <c:v>0.02</c:v>
                </c:pt>
                <c:pt idx="207">
                  <c:v>0</c:v>
                </c:pt>
                <c:pt idx="208">
                  <c:v>0</c:v>
                </c:pt>
                <c:pt idx="209">
                  <c:v>0.04</c:v>
                </c:pt>
                <c:pt idx="210">
                  <c:v>0</c:v>
                </c:pt>
                <c:pt idx="211">
                  <c:v>0.01</c:v>
                </c:pt>
                <c:pt idx="212">
                  <c:v>0.04</c:v>
                </c:pt>
                <c:pt idx="213">
                  <c:v>0</c:v>
                </c:pt>
                <c:pt idx="214">
                  <c:v>0.04</c:v>
                </c:pt>
                <c:pt idx="215">
                  <c:v>0</c:v>
                </c:pt>
                <c:pt idx="216">
                  <c:v>0</c:v>
                </c:pt>
              </c:numCache>
            </c:numRef>
          </c:xVal>
          <c:yVal>
            <c:numRef>
              <c:f>'Full Mobility Curves'!$AR$3:$AR$219</c:f>
              <c:numCache>
                <c:formatCode>General</c:formatCode>
                <c:ptCount val="217"/>
                <c:pt idx="0">
                  <c:v>1</c:v>
                </c:pt>
                <c:pt idx="1">
                  <c:v>0.99</c:v>
                </c:pt>
                <c:pt idx="2">
                  <c:v>1</c:v>
                </c:pt>
                <c:pt idx="3">
                  <c:v>0.19</c:v>
                </c:pt>
                <c:pt idx="4">
                  <c:v>0.98</c:v>
                </c:pt>
                <c:pt idx="5">
                  <c:v>0.23</c:v>
                </c:pt>
                <c:pt idx="6">
                  <c:v>0.14000000000000001</c:v>
                </c:pt>
                <c:pt idx="7">
                  <c:v>0.15</c:v>
                </c:pt>
                <c:pt idx="8">
                  <c:v>0.1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0.2</c:v>
                </c:pt>
                <c:pt idx="13">
                  <c:v>0.13</c:v>
                </c:pt>
                <c:pt idx="14">
                  <c:v>0.25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0.18</c:v>
                </c:pt>
                <c:pt idx="20">
                  <c:v>0.23</c:v>
                </c:pt>
                <c:pt idx="21">
                  <c:v>0.99</c:v>
                </c:pt>
                <c:pt idx="22">
                  <c:v>0.22</c:v>
                </c:pt>
                <c:pt idx="23">
                  <c:v>0.99</c:v>
                </c:pt>
                <c:pt idx="24">
                  <c:v>0.99</c:v>
                </c:pt>
                <c:pt idx="25">
                  <c:v>0.16</c:v>
                </c:pt>
                <c:pt idx="26">
                  <c:v>0.95</c:v>
                </c:pt>
                <c:pt idx="27">
                  <c:v>0.99</c:v>
                </c:pt>
                <c:pt idx="28">
                  <c:v>0.17</c:v>
                </c:pt>
                <c:pt idx="29">
                  <c:v>0.98</c:v>
                </c:pt>
                <c:pt idx="30">
                  <c:v>1</c:v>
                </c:pt>
                <c:pt idx="31">
                  <c:v>0.18</c:v>
                </c:pt>
                <c:pt idx="32">
                  <c:v>0.97</c:v>
                </c:pt>
                <c:pt idx="33">
                  <c:v>0.15</c:v>
                </c:pt>
                <c:pt idx="34">
                  <c:v>0.19</c:v>
                </c:pt>
                <c:pt idx="35">
                  <c:v>0.93</c:v>
                </c:pt>
                <c:pt idx="36">
                  <c:v>0.26</c:v>
                </c:pt>
                <c:pt idx="37">
                  <c:v>0.99</c:v>
                </c:pt>
                <c:pt idx="38">
                  <c:v>0.99</c:v>
                </c:pt>
                <c:pt idx="39">
                  <c:v>0.17</c:v>
                </c:pt>
                <c:pt idx="40">
                  <c:v>0.95</c:v>
                </c:pt>
                <c:pt idx="41">
                  <c:v>0.17</c:v>
                </c:pt>
                <c:pt idx="42">
                  <c:v>0.17</c:v>
                </c:pt>
                <c:pt idx="43">
                  <c:v>0.98</c:v>
                </c:pt>
                <c:pt idx="44">
                  <c:v>0.17</c:v>
                </c:pt>
                <c:pt idx="45">
                  <c:v>0.99</c:v>
                </c:pt>
                <c:pt idx="46">
                  <c:v>1</c:v>
                </c:pt>
                <c:pt idx="47">
                  <c:v>0.23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0.11</c:v>
                </c:pt>
                <c:pt idx="53">
                  <c:v>0.98</c:v>
                </c:pt>
                <c:pt idx="54">
                  <c:v>0.2</c:v>
                </c:pt>
                <c:pt idx="55">
                  <c:v>0.13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0.18</c:v>
                </c:pt>
                <c:pt idx="59">
                  <c:v>0.1</c:v>
                </c:pt>
                <c:pt idx="60">
                  <c:v>0.14000000000000001</c:v>
                </c:pt>
                <c:pt idx="61">
                  <c:v>0.13</c:v>
                </c:pt>
                <c:pt idx="62">
                  <c:v>0.23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0.2</c:v>
                </c:pt>
                <c:pt idx="68">
                  <c:v>0.3</c:v>
                </c:pt>
                <c:pt idx="69">
                  <c:v>0.99</c:v>
                </c:pt>
                <c:pt idx="70">
                  <c:v>0.13</c:v>
                </c:pt>
                <c:pt idx="71">
                  <c:v>0.98</c:v>
                </c:pt>
                <c:pt idx="72">
                  <c:v>1</c:v>
                </c:pt>
                <c:pt idx="73">
                  <c:v>0.1</c:v>
                </c:pt>
                <c:pt idx="74">
                  <c:v>0.98</c:v>
                </c:pt>
                <c:pt idx="75">
                  <c:v>1</c:v>
                </c:pt>
                <c:pt idx="76">
                  <c:v>0.32</c:v>
                </c:pt>
                <c:pt idx="77">
                  <c:v>1</c:v>
                </c:pt>
                <c:pt idx="78">
                  <c:v>0.32</c:v>
                </c:pt>
                <c:pt idx="79">
                  <c:v>0.13</c:v>
                </c:pt>
                <c:pt idx="80">
                  <c:v>0.98</c:v>
                </c:pt>
                <c:pt idx="81">
                  <c:v>0.28000000000000003</c:v>
                </c:pt>
                <c:pt idx="82">
                  <c:v>0.99</c:v>
                </c:pt>
                <c:pt idx="83">
                  <c:v>1</c:v>
                </c:pt>
                <c:pt idx="84">
                  <c:v>0.3</c:v>
                </c:pt>
                <c:pt idx="85">
                  <c:v>0.99</c:v>
                </c:pt>
                <c:pt idx="86">
                  <c:v>1</c:v>
                </c:pt>
                <c:pt idx="87">
                  <c:v>0.11</c:v>
                </c:pt>
                <c:pt idx="88">
                  <c:v>0.99</c:v>
                </c:pt>
                <c:pt idx="89">
                  <c:v>1</c:v>
                </c:pt>
                <c:pt idx="90">
                  <c:v>0.28000000000000003</c:v>
                </c:pt>
                <c:pt idx="91">
                  <c:v>0.99</c:v>
                </c:pt>
                <c:pt idx="92">
                  <c:v>0.12</c:v>
                </c:pt>
                <c:pt idx="93">
                  <c:v>0.18</c:v>
                </c:pt>
                <c:pt idx="94">
                  <c:v>0.99</c:v>
                </c:pt>
                <c:pt idx="95">
                  <c:v>0.28000000000000003</c:v>
                </c:pt>
                <c:pt idx="96">
                  <c:v>1</c:v>
                </c:pt>
                <c:pt idx="97">
                  <c:v>1</c:v>
                </c:pt>
                <c:pt idx="98">
                  <c:v>0.98</c:v>
                </c:pt>
                <c:pt idx="99">
                  <c:v>0.98</c:v>
                </c:pt>
                <c:pt idx="100">
                  <c:v>0.98</c:v>
                </c:pt>
                <c:pt idx="101">
                  <c:v>0.05</c:v>
                </c:pt>
                <c:pt idx="102">
                  <c:v>0.17</c:v>
                </c:pt>
                <c:pt idx="103">
                  <c:v>0.16</c:v>
                </c:pt>
                <c:pt idx="104">
                  <c:v>0.1</c:v>
                </c:pt>
                <c:pt idx="105">
                  <c:v>0.93</c:v>
                </c:pt>
                <c:pt idx="106">
                  <c:v>0.99</c:v>
                </c:pt>
                <c:pt idx="107">
                  <c:v>0.98</c:v>
                </c:pt>
                <c:pt idx="108">
                  <c:v>0.98</c:v>
                </c:pt>
                <c:pt idx="109">
                  <c:v>0.15</c:v>
                </c:pt>
                <c:pt idx="110">
                  <c:v>0.11</c:v>
                </c:pt>
                <c:pt idx="111">
                  <c:v>0.12</c:v>
                </c:pt>
                <c:pt idx="112">
                  <c:v>0.08</c:v>
                </c:pt>
                <c:pt idx="113">
                  <c:v>0.16</c:v>
                </c:pt>
                <c:pt idx="114">
                  <c:v>0.02</c:v>
                </c:pt>
                <c:pt idx="115">
                  <c:v>0.13</c:v>
                </c:pt>
                <c:pt idx="116">
                  <c:v>0.01</c:v>
                </c:pt>
                <c:pt idx="117">
                  <c:v>0.15</c:v>
                </c:pt>
                <c:pt idx="118">
                  <c:v>0.97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0.17</c:v>
                </c:pt>
                <c:pt idx="123">
                  <c:v>0.98</c:v>
                </c:pt>
                <c:pt idx="124">
                  <c:v>0.99</c:v>
                </c:pt>
                <c:pt idx="125">
                  <c:v>0.98</c:v>
                </c:pt>
                <c:pt idx="126">
                  <c:v>0.98</c:v>
                </c:pt>
                <c:pt idx="127">
                  <c:v>0.18</c:v>
                </c:pt>
                <c:pt idx="128">
                  <c:v>0.05</c:v>
                </c:pt>
                <c:pt idx="129">
                  <c:v>0.97</c:v>
                </c:pt>
                <c:pt idx="130">
                  <c:v>0.2</c:v>
                </c:pt>
                <c:pt idx="131">
                  <c:v>0.97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0.97</c:v>
                </c:pt>
                <c:pt idx="136">
                  <c:v>0.14000000000000001</c:v>
                </c:pt>
                <c:pt idx="137">
                  <c:v>0.14000000000000001</c:v>
                </c:pt>
                <c:pt idx="138">
                  <c:v>0.15</c:v>
                </c:pt>
                <c:pt idx="139">
                  <c:v>0.14000000000000001</c:v>
                </c:pt>
                <c:pt idx="140">
                  <c:v>0.93</c:v>
                </c:pt>
                <c:pt idx="141">
                  <c:v>0.98</c:v>
                </c:pt>
                <c:pt idx="142">
                  <c:v>0.98</c:v>
                </c:pt>
                <c:pt idx="143">
                  <c:v>0.19</c:v>
                </c:pt>
                <c:pt idx="144">
                  <c:v>0.14000000000000001</c:v>
                </c:pt>
                <c:pt idx="145">
                  <c:v>7.0000000000000007E-2</c:v>
                </c:pt>
                <c:pt idx="146">
                  <c:v>0.09</c:v>
                </c:pt>
                <c:pt idx="147">
                  <c:v>0.17</c:v>
                </c:pt>
                <c:pt idx="148">
                  <c:v>0.94</c:v>
                </c:pt>
                <c:pt idx="149">
                  <c:v>0.99</c:v>
                </c:pt>
                <c:pt idx="150">
                  <c:v>0.11</c:v>
                </c:pt>
                <c:pt idx="151">
                  <c:v>0.1</c:v>
                </c:pt>
                <c:pt idx="152">
                  <c:v>0.14000000000000001</c:v>
                </c:pt>
                <c:pt idx="153">
                  <c:v>0.19</c:v>
                </c:pt>
                <c:pt idx="154">
                  <c:v>0.95</c:v>
                </c:pt>
                <c:pt idx="155">
                  <c:v>0.98</c:v>
                </c:pt>
                <c:pt idx="156">
                  <c:v>0.98</c:v>
                </c:pt>
                <c:pt idx="157">
                  <c:v>0.98</c:v>
                </c:pt>
                <c:pt idx="158">
                  <c:v>0.15</c:v>
                </c:pt>
                <c:pt idx="159">
                  <c:v>0.14000000000000001</c:v>
                </c:pt>
                <c:pt idx="160">
                  <c:v>0.2</c:v>
                </c:pt>
                <c:pt idx="161">
                  <c:v>0.08</c:v>
                </c:pt>
                <c:pt idx="162">
                  <c:v>0.94</c:v>
                </c:pt>
                <c:pt idx="163">
                  <c:v>0.98</c:v>
                </c:pt>
                <c:pt idx="164">
                  <c:v>0.98</c:v>
                </c:pt>
                <c:pt idx="165">
                  <c:v>0.98</c:v>
                </c:pt>
                <c:pt idx="166">
                  <c:v>0.98</c:v>
                </c:pt>
                <c:pt idx="167">
                  <c:v>0.14000000000000001</c:v>
                </c:pt>
                <c:pt idx="168">
                  <c:v>0.22</c:v>
                </c:pt>
                <c:pt idx="169">
                  <c:v>0.98</c:v>
                </c:pt>
                <c:pt idx="170">
                  <c:v>0.15</c:v>
                </c:pt>
                <c:pt idx="171">
                  <c:v>0.97</c:v>
                </c:pt>
                <c:pt idx="172">
                  <c:v>0.99</c:v>
                </c:pt>
                <c:pt idx="173">
                  <c:v>0.98</c:v>
                </c:pt>
                <c:pt idx="174">
                  <c:v>0.98</c:v>
                </c:pt>
                <c:pt idx="175">
                  <c:v>0.98</c:v>
                </c:pt>
                <c:pt idx="176">
                  <c:v>0.2</c:v>
                </c:pt>
                <c:pt idx="177">
                  <c:v>0.26</c:v>
                </c:pt>
                <c:pt idx="178">
                  <c:v>0.18</c:v>
                </c:pt>
                <c:pt idx="179">
                  <c:v>0.19</c:v>
                </c:pt>
                <c:pt idx="180">
                  <c:v>0.24</c:v>
                </c:pt>
                <c:pt idx="181">
                  <c:v>0.17</c:v>
                </c:pt>
                <c:pt idx="182">
                  <c:v>0.14000000000000001</c:v>
                </c:pt>
                <c:pt idx="183">
                  <c:v>0.11</c:v>
                </c:pt>
                <c:pt idx="184">
                  <c:v>0.09</c:v>
                </c:pt>
                <c:pt idx="185">
                  <c:v>0.1</c:v>
                </c:pt>
                <c:pt idx="186">
                  <c:v>0.11</c:v>
                </c:pt>
                <c:pt idx="187">
                  <c:v>0.14000000000000001</c:v>
                </c:pt>
                <c:pt idx="188">
                  <c:v>0.16</c:v>
                </c:pt>
                <c:pt idx="189">
                  <c:v>0.95</c:v>
                </c:pt>
                <c:pt idx="190">
                  <c:v>0.98</c:v>
                </c:pt>
                <c:pt idx="191">
                  <c:v>0.98</c:v>
                </c:pt>
                <c:pt idx="192">
                  <c:v>0.98</c:v>
                </c:pt>
                <c:pt idx="193">
                  <c:v>0.26</c:v>
                </c:pt>
                <c:pt idx="194">
                  <c:v>0.97</c:v>
                </c:pt>
                <c:pt idx="195">
                  <c:v>0.26</c:v>
                </c:pt>
                <c:pt idx="196">
                  <c:v>0.2</c:v>
                </c:pt>
                <c:pt idx="197">
                  <c:v>0.97</c:v>
                </c:pt>
                <c:pt idx="198">
                  <c:v>0.19</c:v>
                </c:pt>
                <c:pt idx="199">
                  <c:v>0.96</c:v>
                </c:pt>
                <c:pt idx="200">
                  <c:v>0.98</c:v>
                </c:pt>
                <c:pt idx="201">
                  <c:v>0.19</c:v>
                </c:pt>
                <c:pt idx="202">
                  <c:v>0.97</c:v>
                </c:pt>
                <c:pt idx="203">
                  <c:v>0.2</c:v>
                </c:pt>
                <c:pt idx="204">
                  <c:v>0.18</c:v>
                </c:pt>
                <c:pt idx="205">
                  <c:v>0.93</c:v>
                </c:pt>
                <c:pt idx="206">
                  <c:v>0.21</c:v>
                </c:pt>
                <c:pt idx="207">
                  <c:v>0.96</c:v>
                </c:pt>
                <c:pt idx="208">
                  <c:v>0.98</c:v>
                </c:pt>
                <c:pt idx="209">
                  <c:v>0.24</c:v>
                </c:pt>
                <c:pt idx="210">
                  <c:v>0.96</c:v>
                </c:pt>
                <c:pt idx="211">
                  <c:v>0.23</c:v>
                </c:pt>
                <c:pt idx="212">
                  <c:v>0.21</c:v>
                </c:pt>
                <c:pt idx="213">
                  <c:v>0.94</c:v>
                </c:pt>
                <c:pt idx="214">
                  <c:v>0.22</c:v>
                </c:pt>
                <c:pt idx="215">
                  <c:v>0.94</c:v>
                </c:pt>
                <c:pt idx="216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1E-4243-A463-81340A134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29440"/>
        <c:axId val="88619584"/>
      </c:scatterChart>
      <c:valAx>
        <c:axId val="1411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Population 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9584"/>
        <c:crosses val="autoZero"/>
        <c:crossBetween val="midCat"/>
      </c:valAx>
      <c:valAx>
        <c:axId val="88619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944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 Awares Run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8.0688731335968891E-2"/>
                  <c:y val="-0.479753207932341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'Full Mobility Curves'!$AO$3:$AO$221</c:f>
              <c:numCache>
                <c:formatCode>0%</c:formatCode>
                <c:ptCount val="2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0.03</c:v>
                </c:pt>
                <c:pt idx="5">
                  <c:v>0.02</c:v>
                </c:pt>
                <c:pt idx="6">
                  <c:v>7.0000000000000007E-2</c:v>
                </c:pt>
                <c:pt idx="7">
                  <c:v>0.03</c:v>
                </c:pt>
                <c:pt idx="8">
                  <c:v>0</c:v>
                </c:pt>
                <c:pt idx="9">
                  <c:v>0.03</c:v>
                </c:pt>
                <c:pt idx="10">
                  <c:v>0.04</c:v>
                </c:pt>
                <c:pt idx="11">
                  <c:v>0.05</c:v>
                </c:pt>
                <c:pt idx="12">
                  <c:v>0.09</c:v>
                </c:pt>
                <c:pt idx="13">
                  <c:v>0.04</c:v>
                </c:pt>
                <c:pt idx="14">
                  <c:v>0.04</c:v>
                </c:pt>
                <c:pt idx="15">
                  <c:v>0.03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0.01</c:v>
                </c:pt>
                <c:pt idx="31">
                  <c:v>0</c:v>
                </c:pt>
                <c:pt idx="32">
                  <c:v>0.01</c:v>
                </c:pt>
                <c:pt idx="33">
                  <c:v>0.01</c:v>
                </c:pt>
                <c:pt idx="34">
                  <c:v>0.03</c:v>
                </c:pt>
                <c:pt idx="35">
                  <c:v>0.01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0.02</c:v>
                </c:pt>
                <c:pt idx="41">
                  <c:v>0.01</c:v>
                </c:pt>
                <c:pt idx="42">
                  <c:v>0.02</c:v>
                </c:pt>
                <c:pt idx="43">
                  <c:v>0.01</c:v>
                </c:pt>
                <c:pt idx="44">
                  <c:v>0.02</c:v>
                </c:pt>
                <c:pt idx="45">
                  <c:v>0.01</c:v>
                </c:pt>
                <c:pt idx="46">
                  <c:v>0</c:v>
                </c:pt>
                <c:pt idx="47">
                  <c:v>0.01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0.02</c:v>
                </c:pt>
                <c:pt idx="53">
                  <c:v>0</c:v>
                </c:pt>
                <c:pt idx="54">
                  <c:v>0</c:v>
                </c:pt>
                <c:pt idx="55">
                  <c:v>0.01</c:v>
                </c:pt>
                <c:pt idx="56">
                  <c:v>0</c:v>
                </c:pt>
                <c:pt idx="57">
                  <c:v>0.01</c:v>
                </c:pt>
                <c:pt idx="58">
                  <c:v>0.03</c:v>
                </c:pt>
                <c:pt idx="59">
                  <c:v>0.02</c:v>
                </c:pt>
                <c:pt idx="60">
                  <c:v>0.05</c:v>
                </c:pt>
                <c:pt idx="61">
                  <c:v>0.06</c:v>
                </c:pt>
                <c:pt idx="62">
                  <c:v>0.01</c:v>
                </c:pt>
                <c:pt idx="63">
                  <c:v>0.05</c:v>
                </c:pt>
                <c:pt idx="64">
                  <c:v>0.05</c:v>
                </c:pt>
                <c:pt idx="65">
                  <c:v>0.04</c:v>
                </c:pt>
                <c:pt idx="66">
                  <c:v>0.06</c:v>
                </c:pt>
                <c:pt idx="67">
                  <c:v>0.01</c:v>
                </c:pt>
                <c:pt idx="68">
                  <c:v>0.02</c:v>
                </c:pt>
                <c:pt idx="69">
                  <c:v>0</c:v>
                </c:pt>
                <c:pt idx="70">
                  <c:v>0</c:v>
                </c:pt>
                <c:pt idx="71">
                  <c:v>0.01</c:v>
                </c:pt>
                <c:pt idx="72">
                  <c:v>0</c:v>
                </c:pt>
                <c:pt idx="73">
                  <c:v>0.02</c:v>
                </c:pt>
                <c:pt idx="74">
                  <c:v>0.04</c:v>
                </c:pt>
                <c:pt idx="75">
                  <c:v>0.01</c:v>
                </c:pt>
                <c:pt idx="76">
                  <c:v>0.02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0.02</c:v>
                </c:pt>
                <c:pt idx="82">
                  <c:v>0.03</c:v>
                </c:pt>
                <c:pt idx="83">
                  <c:v>0.03</c:v>
                </c:pt>
                <c:pt idx="84">
                  <c:v>0.04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0.01</c:v>
                </c:pt>
                <c:pt idx="90">
                  <c:v>0.01</c:v>
                </c:pt>
                <c:pt idx="91">
                  <c:v>0</c:v>
                </c:pt>
                <c:pt idx="92">
                  <c:v>0.01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0.02</c:v>
                </c:pt>
                <c:pt idx="99">
                  <c:v>0</c:v>
                </c:pt>
                <c:pt idx="100">
                  <c:v>0.01</c:v>
                </c:pt>
                <c:pt idx="101">
                  <c:v>0.02</c:v>
                </c:pt>
                <c:pt idx="102">
                  <c:v>0</c:v>
                </c:pt>
                <c:pt idx="103">
                  <c:v>0.01</c:v>
                </c:pt>
                <c:pt idx="104">
                  <c:v>0.01</c:v>
                </c:pt>
                <c:pt idx="105">
                  <c:v>0.02</c:v>
                </c:pt>
                <c:pt idx="106">
                  <c:v>0.08</c:v>
                </c:pt>
                <c:pt idx="107">
                  <c:v>0.02</c:v>
                </c:pt>
                <c:pt idx="108">
                  <c:v>0.04</c:v>
                </c:pt>
                <c:pt idx="109">
                  <c:v>0.02</c:v>
                </c:pt>
                <c:pt idx="110">
                  <c:v>0</c:v>
                </c:pt>
                <c:pt idx="111">
                  <c:v>0.03</c:v>
                </c:pt>
                <c:pt idx="112">
                  <c:v>0.01</c:v>
                </c:pt>
                <c:pt idx="113">
                  <c:v>0.04</c:v>
                </c:pt>
                <c:pt idx="114">
                  <c:v>0.1</c:v>
                </c:pt>
                <c:pt idx="115">
                  <c:v>0.01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0.03</c:v>
                </c:pt>
                <c:pt idx="121">
                  <c:v>0</c:v>
                </c:pt>
                <c:pt idx="122">
                  <c:v>0.02</c:v>
                </c:pt>
                <c:pt idx="123">
                  <c:v>0.04</c:v>
                </c:pt>
                <c:pt idx="124">
                  <c:v>0.02</c:v>
                </c:pt>
                <c:pt idx="125">
                  <c:v>0.05</c:v>
                </c:pt>
                <c:pt idx="126">
                  <c:v>0.01</c:v>
                </c:pt>
                <c:pt idx="127">
                  <c:v>0.01</c:v>
                </c:pt>
                <c:pt idx="128">
                  <c:v>0</c:v>
                </c:pt>
                <c:pt idx="129">
                  <c:v>0</c:v>
                </c:pt>
                <c:pt idx="130">
                  <c:v>0.01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0.01</c:v>
                </c:pt>
                <c:pt idx="137">
                  <c:v>0</c:v>
                </c:pt>
                <c:pt idx="138">
                  <c:v>0</c:v>
                </c:pt>
                <c:pt idx="139">
                  <c:v>0.01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0.02</c:v>
                </c:pt>
                <c:pt idx="148">
                  <c:v>0.02</c:v>
                </c:pt>
                <c:pt idx="149">
                  <c:v>0.04</c:v>
                </c:pt>
                <c:pt idx="150">
                  <c:v>0.03</c:v>
                </c:pt>
                <c:pt idx="151">
                  <c:v>0.01</c:v>
                </c:pt>
                <c:pt idx="152">
                  <c:v>0.03</c:v>
                </c:pt>
                <c:pt idx="153">
                  <c:v>0.01</c:v>
                </c:pt>
                <c:pt idx="154">
                  <c:v>0.04</c:v>
                </c:pt>
                <c:pt idx="155">
                  <c:v>0.02</c:v>
                </c:pt>
                <c:pt idx="156">
                  <c:v>0.04</c:v>
                </c:pt>
                <c:pt idx="157">
                  <c:v>0.02</c:v>
                </c:pt>
                <c:pt idx="158">
                  <c:v>0</c:v>
                </c:pt>
                <c:pt idx="159">
                  <c:v>0.03</c:v>
                </c:pt>
                <c:pt idx="160">
                  <c:v>0.02</c:v>
                </c:pt>
                <c:pt idx="161">
                  <c:v>0.01</c:v>
                </c:pt>
                <c:pt idx="162">
                  <c:v>0.02</c:v>
                </c:pt>
                <c:pt idx="163">
                  <c:v>0.01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0.02</c:v>
                </c:pt>
                <c:pt idx="170">
                  <c:v>0.01</c:v>
                </c:pt>
                <c:pt idx="171">
                  <c:v>0.02</c:v>
                </c:pt>
                <c:pt idx="172">
                  <c:v>0.02</c:v>
                </c:pt>
                <c:pt idx="173">
                  <c:v>0</c:v>
                </c:pt>
                <c:pt idx="174">
                  <c:v>0.01</c:v>
                </c:pt>
                <c:pt idx="175">
                  <c:v>0</c:v>
                </c:pt>
                <c:pt idx="176">
                  <c:v>0</c:v>
                </c:pt>
                <c:pt idx="177">
                  <c:v>0.02</c:v>
                </c:pt>
                <c:pt idx="178">
                  <c:v>0.01</c:v>
                </c:pt>
                <c:pt idx="179">
                  <c:v>0.04</c:v>
                </c:pt>
                <c:pt idx="180">
                  <c:v>0.03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0.03</c:v>
                </c:pt>
                <c:pt idx="186">
                  <c:v>0.05</c:v>
                </c:pt>
                <c:pt idx="187">
                  <c:v>0.04</c:v>
                </c:pt>
                <c:pt idx="188">
                  <c:v>0.03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0.01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0.02</c:v>
                </c:pt>
                <c:pt idx="197">
                  <c:v>0.02</c:v>
                </c:pt>
                <c:pt idx="198">
                  <c:v>0.05</c:v>
                </c:pt>
                <c:pt idx="199">
                  <c:v>0.08</c:v>
                </c:pt>
                <c:pt idx="200">
                  <c:v>0.01</c:v>
                </c:pt>
                <c:pt idx="201">
                  <c:v>0.09</c:v>
                </c:pt>
                <c:pt idx="202">
                  <c:v>0.05</c:v>
                </c:pt>
                <c:pt idx="203">
                  <c:v>0.04</c:v>
                </c:pt>
                <c:pt idx="204">
                  <c:v>0.1</c:v>
                </c:pt>
                <c:pt idx="205">
                  <c:v>0.02</c:v>
                </c:pt>
                <c:pt idx="206">
                  <c:v>0.02</c:v>
                </c:pt>
                <c:pt idx="207">
                  <c:v>0.01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0.01</c:v>
                </c:pt>
                <c:pt idx="213">
                  <c:v>0</c:v>
                </c:pt>
                <c:pt idx="214">
                  <c:v>0</c:v>
                </c:pt>
                <c:pt idx="215">
                  <c:v>0.01</c:v>
                </c:pt>
                <c:pt idx="216">
                  <c:v>0.01</c:v>
                </c:pt>
                <c:pt idx="217">
                  <c:v>0</c:v>
                </c:pt>
                <c:pt idx="218">
                  <c:v>0</c:v>
                </c:pt>
              </c:numCache>
            </c:numRef>
          </c:xVal>
          <c:yVal>
            <c:numRef>
              <c:f>'Full Mobility Curves'!$AP$3:$AP$221</c:f>
              <c:numCache>
                <c:formatCode>General</c:formatCode>
                <c:ptCount val="2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0.34</c:v>
                </c:pt>
                <c:pt idx="4">
                  <c:v>0.33</c:v>
                </c:pt>
                <c:pt idx="5">
                  <c:v>0.33</c:v>
                </c:pt>
                <c:pt idx="6">
                  <c:v>0.25</c:v>
                </c:pt>
                <c:pt idx="7">
                  <c:v>0.32</c:v>
                </c:pt>
                <c:pt idx="8">
                  <c:v>0.95</c:v>
                </c:pt>
                <c:pt idx="9">
                  <c:v>0.28000000000000003</c:v>
                </c:pt>
                <c:pt idx="10">
                  <c:v>0.19</c:v>
                </c:pt>
                <c:pt idx="11">
                  <c:v>0.26</c:v>
                </c:pt>
                <c:pt idx="12">
                  <c:v>0.16</c:v>
                </c:pt>
                <c:pt idx="13">
                  <c:v>0.17</c:v>
                </c:pt>
                <c:pt idx="14">
                  <c:v>0.24</c:v>
                </c:pt>
                <c:pt idx="15">
                  <c:v>0.27</c:v>
                </c:pt>
                <c:pt idx="16">
                  <c:v>0.55000000000000004</c:v>
                </c:pt>
                <c:pt idx="17">
                  <c:v>0.56999999999999995</c:v>
                </c:pt>
                <c:pt idx="18">
                  <c:v>0.6</c:v>
                </c:pt>
                <c:pt idx="19">
                  <c:v>0.99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0.6</c:v>
                </c:pt>
                <c:pt idx="25">
                  <c:v>0.99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0.62</c:v>
                </c:pt>
                <c:pt idx="31">
                  <c:v>0.99</c:v>
                </c:pt>
                <c:pt idx="32">
                  <c:v>0.56999999999999995</c:v>
                </c:pt>
                <c:pt idx="33">
                  <c:v>0.55000000000000004</c:v>
                </c:pt>
                <c:pt idx="34">
                  <c:v>0.32</c:v>
                </c:pt>
                <c:pt idx="35">
                  <c:v>0.57999999999999996</c:v>
                </c:pt>
                <c:pt idx="36">
                  <c:v>0.98</c:v>
                </c:pt>
                <c:pt idx="37">
                  <c:v>1</c:v>
                </c:pt>
                <c:pt idx="38">
                  <c:v>1</c:v>
                </c:pt>
                <c:pt idx="39">
                  <c:v>0.99</c:v>
                </c:pt>
                <c:pt idx="40">
                  <c:v>0.36</c:v>
                </c:pt>
                <c:pt idx="41">
                  <c:v>0.59</c:v>
                </c:pt>
                <c:pt idx="42">
                  <c:v>0.35</c:v>
                </c:pt>
                <c:pt idx="43">
                  <c:v>0.56999999999999995</c:v>
                </c:pt>
                <c:pt idx="44">
                  <c:v>0.32</c:v>
                </c:pt>
                <c:pt idx="45">
                  <c:v>0.57999999999999996</c:v>
                </c:pt>
                <c:pt idx="46">
                  <c:v>0.97</c:v>
                </c:pt>
                <c:pt idx="47">
                  <c:v>0.6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0.99</c:v>
                </c:pt>
                <c:pt idx="52">
                  <c:v>0.27</c:v>
                </c:pt>
                <c:pt idx="53">
                  <c:v>0.98</c:v>
                </c:pt>
                <c:pt idx="54">
                  <c:v>0.99</c:v>
                </c:pt>
                <c:pt idx="55">
                  <c:v>0.61</c:v>
                </c:pt>
                <c:pt idx="56">
                  <c:v>0.99</c:v>
                </c:pt>
                <c:pt idx="57">
                  <c:v>0.56000000000000005</c:v>
                </c:pt>
                <c:pt idx="58">
                  <c:v>0.28999999999999998</c:v>
                </c:pt>
                <c:pt idx="59">
                  <c:v>0.25</c:v>
                </c:pt>
                <c:pt idx="60">
                  <c:v>0.23</c:v>
                </c:pt>
                <c:pt idx="61">
                  <c:v>0.23</c:v>
                </c:pt>
                <c:pt idx="62">
                  <c:v>0.47</c:v>
                </c:pt>
                <c:pt idx="63">
                  <c:v>0.19</c:v>
                </c:pt>
                <c:pt idx="64">
                  <c:v>0.2</c:v>
                </c:pt>
                <c:pt idx="65">
                  <c:v>0.23</c:v>
                </c:pt>
                <c:pt idx="66">
                  <c:v>0.2</c:v>
                </c:pt>
                <c:pt idx="67">
                  <c:v>0.5</c:v>
                </c:pt>
                <c:pt idx="68">
                  <c:v>0.27</c:v>
                </c:pt>
                <c:pt idx="69">
                  <c:v>0.99</c:v>
                </c:pt>
                <c:pt idx="70">
                  <c:v>0.99</c:v>
                </c:pt>
                <c:pt idx="71">
                  <c:v>0.6</c:v>
                </c:pt>
                <c:pt idx="72">
                  <c:v>1</c:v>
                </c:pt>
                <c:pt idx="73">
                  <c:v>0.26</c:v>
                </c:pt>
                <c:pt idx="74">
                  <c:v>0.3</c:v>
                </c:pt>
                <c:pt idx="75">
                  <c:v>0.59</c:v>
                </c:pt>
                <c:pt idx="76">
                  <c:v>0.28000000000000003</c:v>
                </c:pt>
                <c:pt idx="77">
                  <c:v>0.98</c:v>
                </c:pt>
                <c:pt idx="78">
                  <c:v>1</c:v>
                </c:pt>
                <c:pt idx="79">
                  <c:v>1</c:v>
                </c:pt>
                <c:pt idx="80">
                  <c:v>0.98</c:v>
                </c:pt>
                <c:pt idx="81">
                  <c:v>0.28999999999999998</c:v>
                </c:pt>
                <c:pt idx="82">
                  <c:v>0.34</c:v>
                </c:pt>
                <c:pt idx="83">
                  <c:v>0.31</c:v>
                </c:pt>
                <c:pt idx="84">
                  <c:v>0.32</c:v>
                </c:pt>
                <c:pt idx="85">
                  <c:v>0.95</c:v>
                </c:pt>
                <c:pt idx="86">
                  <c:v>0.98</c:v>
                </c:pt>
                <c:pt idx="87">
                  <c:v>1</c:v>
                </c:pt>
                <c:pt idx="88">
                  <c:v>1</c:v>
                </c:pt>
                <c:pt idx="89">
                  <c:v>0.62</c:v>
                </c:pt>
                <c:pt idx="90">
                  <c:v>0.6</c:v>
                </c:pt>
                <c:pt idx="91">
                  <c:v>1</c:v>
                </c:pt>
                <c:pt idx="92">
                  <c:v>0.62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0.99</c:v>
                </c:pt>
                <c:pt idx="98">
                  <c:v>0.28000000000000003</c:v>
                </c:pt>
                <c:pt idx="99">
                  <c:v>0.98</c:v>
                </c:pt>
                <c:pt idx="100">
                  <c:v>0.5</c:v>
                </c:pt>
                <c:pt idx="101">
                  <c:v>0.3</c:v>
                </c:pt>
                <c:pt idx="102">
                  <c:v>0.98</c:v>
                </c:pt>
                <c:pt idx="103">
                  <c:v>0.47</c:v>
                </c:pt>
                <c:pt idx="104">
                  <c:v>0.48</c:v>
                </c:pt>
                <c:pt idx="105">
                  <c:v>0.23</c:v>
                </c:pt>
                <c:pt idx="106">
                  <c:v>0.2</c:v>
                </c:pt>
                <c:pt idx="107">
                  <c:v>0.25</c:v>
                </c:pt>
                <c:pt idx="108">
                  <c:v>0.22</c:v>
                </c:pt>
                <c:pt idx="109">
                  <c:v>0.28000000000000003</c:v>
                </c:pt>
                <c:pt idx="110">
                  <c:v>0.98</c:v>
                </c:pt>
                <c:pt idx="111">
                  <c:v>0.35</c:v>
                </c:pt>
                <c:pt idx="112">
                  <c:v>0.45</c:v>
                </c:pt>
                <c:pt idx="113">
                  <c:v>0.2</c:v>
                </c:pt>
                <c:pt idx="114">
                  <c:v>0.17</c:v>
                </c:pt>
                <c:pt idx="115">
                  <c:v>0.44</c:v>
                </c:pt>
                <c:pt idx="116">
                  <c:v>0.96</c:v>
                </c:pt>
                <c:pt idx="117">
                  <c:v>1</c:v>
                </c:pt>
                <c:pt idx="118">
                  <c:v>1</c:v>
                </c:pt>
                <c:pt idx="119">
                  <c:v>0.99</c:v>
                </c:pt>
                <c:pt idx="120">
                  <c:v>0.34</c:v>
                </c:pt>
                <c:pt idx="121">
                  <c:v>0.96</c:v>
                </c:pt>
                <c:pt idx="122">
                  <c:v>0.28999999999999998</c:v>
                </c:pt>
                <c:pt idx="123">
                  <c:v>0.24</c:v>
                </c:pt>
                <c:pt idx="124">
                  <c:v>0.28000000000000003</c:v>
                </c:pt>
                <c:pt idx="125">
                  <c:v>0.2</c:v>
                </c:pt>
                <c:pt idx="126">
                  <c:v>0.52</c:v>
                </c:pt>
                <c:pt idx="127">
                  <c:v>0.48</c:v>
                </c:pt>
                <c:pt idx="128">
                  <c:v>0.98</c:v>
                </c:pt>
                <c:pt idx="129">
                  <c:v>0.99</c:v>
                </c:pt>
                <c:pt idx="130">
                  <c:v>0.49</c:v>
                </c:pt>
                <c:pt idx="131">
                  <c:v>0.99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0.49</c:v>
                </c:pt>
                <c:pt idx="137">
                  <c:v>1</c:v>
                </c:pt>
                <c:pt idx="138">
                  <c:v>1</c:v>
                </c:pt>
                <c:pt idx="139">
                  <c:v>0.51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0.99</c:v>
                </c:pt>
                <c:pt idx="147">
                  <c:v>0.32</c:v>
                </c:pt>
                <c:pt idx="148">
                  <c:v>0.28000000000000003</c:v>
                </c:pt>
                <c:pt idx="149">
                  <c:v>0.28000000000000003</c:v>
                </c:pt>
                <c:pt idx="150">
                  <c:v>0.33</c:v>
                </c:pt>
                <c:pt idx="151">
                  <c:v>0.52</c:v>
                </c:pt>
                <c:pt idx="152">
                  <c:v>0.33</c:v>
                </c:pt>
                <c:pt idx="153">
                  <c:v>0.56999999999999995</c:v>
                </c:pt>
                <c:pt idx="154">
                  <c:v>0.24</c:v>
                </c:pt>
                <c:pt idx="155">
                  <c:v>0.28000000000000003</c:v>
                </c:pt>
                <c:pt idx="156">
                  <c:v>0.23</c:v>
                </c:pt>
                <c:pt idx="157">
                  <c:v>0.28000000000000003</c:v>
                </c:pt>
                <c:pt idx="158">
                  <c:v>0.94</c:v>
                </c:pt>
                <c:pt idx="159">
                  <c:v>0.3</c:v>
                </c:pt>
                <c:pt idx="160">
                  <c:v>0.25</c:v>
                </c:pt>
                <c:pt idx="161">
                  <c:v>0.52</c:v>
                </c:pt>
                <c:pt idx="162">
                  <c:v>0.28000000000000003</c:v>
                </c:pt>
                <c:pt idx="163">
                  <c:v>0.55000000000000004</c:v>
                </c:pt>
                <c:pt idx="164">
                  <c:v>0.97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0.31</c:v>
                </c:pt>
                <c:pt idx="170">
                  <c:v>0.57999999999999996</c:v>
                </c:pt>
                <c:pt idx="171">
                  <c:v>0.32</c:v>
                </c:pt>
                <c:pt idx="172">
                  <c:v>0.33</c:v>
                </c:pt>
                <c:pt idx="173">
                  <c:v>0.97</c:v>
                </c:pt>
                <c:pt idx="174">
                  <c:v>0.6</c:v>
                </c:pt>
                <c:pt idx="175">
                  <c:v>1</c:v>
                </c:pt>
                <c:pt idx="176">
                  <c:v>1</c:v>
                </c:pt>
                <c:pt idx="177">
                  <c:v>0.31</c:v>
                </c:pt>
                <c:pt idx="178">
                  <c:v>0.56000000000000005</c:v>
                </c:pt>
                <c:pt idx="179">
                  <c:v>0.25</c:v>
                </c:pt>
                <c:pt idx="180">
                  <c:v>0.28999999999999998</c:v>
                </c:pt>
                <c:pt idx="181">
                  <c:v>0.97</c:v>
                </c:pt>
                <c:pt idx="182">
                  <c:v>1</c:v>
                </c:pt>
                <c:pt idx="183">
                  <c:v>1</c:v>
                </c:pt>
                <c:pt idx="184">
                  <c:v>0.98</c:v>
                </c:pt>
                <c:pt idx="185">
                  <c:v>0.32</c:v>
                </c:pt>
                <c:pt idx="186">
                  <c:v>0.31</c:v>
                </c:pt>
                <c:pt idx="187">
                  <c:v>0.26</c:v>
                </c:pt>
                <c:pt idx="188">
                  <c:v>0.33</c:v>
                </c:pt>
                <c:pt idx="189">
                  <c:v>0.93</c:v>
                </c:pt>
                <c:pt idx="190">
                  <c:v>1</c:v>
                </c:pt>
                <c:pt idx="191">
                  <c:v>1</c:v>
                </c:pt>
                <c:pt idx="192">
                  <c:v>0.61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0.34</c:v>
                </c:pt>
                <c:pt idx="197">
                  <c:v>0.34</c:v>
                </c:pt>
                <c:pt idx="198">
                  <c:v>0.2</c:v>
                </c:pt>
                <c:pt idx="199">
                  <c:v>0.2</c:v>
                </c:pt>
                <c:pt idx="200">
                  <c:v>0.47</c:v>
                </c:pt>
                <c:pt idx="201">
                  <c:v>0.09</c:v>
                </c:pt>
                <c:pt idx="202">
                  <c:v>0.12</c:v>
                </c:pt>
                <c:pt idx="203">
                  <c:v>0.18</c:v>
                </c:pt>
                <c:pt idx="204">
                  <c:v>0.16</c:v>
                </c:pt>
                <c:pt idx="205">
                  <c:v>0.26</c:v>
                </c:pt>
                <c:pt idx="206">
                  <c:v>0.28000000000000003</c:v>
                </c:pt>
                <c:pt idx="207">
                  <c:v>0.57999999999999996</c:v>
                </c:pt>
                <c:pt idx="208">
                  <c:v>0.98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0.62</c:v>
                </c:pt>
                <c:pt idx="213">
                  <c:v>0.99</c:v>
                </c:pt>
                <c:pt idx="214">
                  <c:v>0.99</c:v>
                </c:pt>
                <c:pt idx="215">
                  <c:v>0.61</c:v>
                </c:pt>
                <c:pt idx="216">
                  <c:v>0.62</c:v>
                </c:pt>
                <c:pt idx="217">
                  <c:v>0.98</c:v>
                </c:pt>
                <c:pt idx="218">
                  <c:v>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5-4F8E-96FE-4489CC79F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29440"/>
        <c:axId val="88619584"/>
      </c:scatterChart>
      <c:valAx>
        <c:axId val="1411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Population 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9584"/>
        <c:crosses val="autoZero"/>
        <c:crossBetween val="midCat"/>
      </c:valAx>
      <c:valAx>
        <c:axId val="88619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944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32158083263541404"/>
                  <c:y val="-0.627901356080489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'Full Mobility Curves'!$AO$3:$AO$221</c:f>
              <c:numCache>
                <c:formatCode>0%</c:formatCode>
                <c:ptCount val="2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0.03</c:v>
                </c:pt>
                <c:pt idx="5">
                  <c:v>0.02</c:v>
                </c:pt>
                <c:pt idx="6">
                  <c:v>7.0000000000000007E-2</c:v>
                </c:pt>
                <c:pt idx="7">
                  <c:v>0.03</c:v>
                </c:pt>
                <c:pt idx="8">
                  <c:v>0</c:v>
                </c:pt>
                <c:pt idx="9">
                  <c:v>0.03</c:v>
                </c:pt>
                <c:pt idx="10">
                  <c:v>0.04</c:v>
                </c:pt>
                <c:pt idx="11">
                  <c:v>0.05</c:v>
                </c:pt>
                <c:pt idx="12">
                  <c:v>0.09</c:v>
                </c:pt>
                <c:pt idx="13">
                  <c:v>0.04</c:v>
                </c:pt>
                <c:pt idx="14">
                  <c:v>0.04</c:v>
                </c:pt>
                <c:pt idx="15">
                  <c:v>0.03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0.01</c:v>
                </c:pt>
                <c:pt idx="31">
                  <c:v>0</c:v>
                </c:pt>
                <c:pt idx="32">
                  <c:v>0.01</c:v>
                </c:pt>
                <c:pt idx="33">
                  <c:v>0.01</c:v>
                </c:pt>
                <c:pt idx="34">
                  <c:v>0.03</c:v>
                </c:pt>
                <c:pt idx="35">
                  <c:v>0.01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0.02</c:v>
                </c:pt>
                <c:pt idx="41">
                  <c:v>0.01</c:v>
                </c:pt>
                <c:pt idx="42">
                  <c:v>0.02</c:v>
                </c:pt>
                <c:pt idx="43">
                  <c:v>0.01</c:v>
                </c:pt>
                <c:pt idx="44">
                  <c:v>0.02</c:v>
                </c:pt>
                <c:pt idx="45">
                  <c:v>0.01</c:v>
                </c:pt>
                <c:pt idx="46">
                  <c:v>0</c:v>
                </c:pt>
                <c:pt idx="47">
                  <c:v>0.01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0.02</c:v>
                </c:pt>
                <c:pt idx="53">
                  <c:v>0</c:v>
                </c:pt>
                <c:pt idx="54">
                  <c:v>0</c:v>
                </c:pt>
                <c:pt idx="55">
                  <c:v>0.01</c:v>
                </c:pt>
                <c:pt idx="56">
                  <c:v>0</c:v>
                </c:pt>
                <c:pt idx="57">
                  <c:v>0.01</c:v>
                </c:pt>
                <c:pt idx="58">
                  <c:v>0.03</c:v>
                </c:pt>
                <c:pt idx="59">
                  <c:v>0.02</c:v>
                </c:pt>
                <c:pt idx="60">
                  <c:v>0.05</c:v>
                </c:pt>
                <c:pt idx="61">
                  <c:v>0.06</c:v>
                </c:pt>
                <c:pt idx="62">
                  <c:v>0.01</c:v>
                </c:pt>
                <c:pt idx="63">
                  <c:v>0.05</c:v>
                </c:pt>
                <c:pt idx="64">
                  <c:v>0.05</c:v>
                </c:pt>
                <c:pt idx="65">
                  <c:v>0.04</c:v>
                </c:pt>
                <c:pt idx="66">
                  <c:v>0.06</c:v>
                </c:pt>
                <c:pt idx="67">
                  <c:v>0.01</c:v>
                </c:pt>
                <c:pt idx="68">
                  <c:v>0.02</c:v>
                </c:pt>
                <c:pt idx="69">
                  <c:v>0</c:v>
                </c:pt>
                <c:pt idx="70">
                  <c:v>0</c:v>
                </c:pt>
                <c:pt idx="71">
                  <c:v>0.01</c:v>
                </c:pt>
                <c:pt idx="72">
                  <c:v>0</c:v>
                </c:pt>
                <c:pt idx="73">
                  <c:v>0.02</c:v>
                </c:pt>
                <c:pt idx="74">
                  <c:v>0.04</c:v>
                </c:pt>
                <c:pt idx="75">
                  <c:v>0.01</c:v>
                </c:pt>
                <c:pt idx="76">
                  <c:v>0.02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0.02</c:v>
                </c:pt>
                <c:pt idx="82">
                  <c:v>0.03</c:v>
                </c:pt>
                <c:pt idx="83">
                  <c:v>0.03</c:v>
                </c:pt>
                <c:pt idx="84">
                  <c:v>0.04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0.01</c:v>
                </c:pt>
                <c:pt idx="90">
                  <c:v>0.01</c:v>
                </c:pt>
                <c:pt idx="91">
                  <c:v>0</c:v>
                </c:pt>
                <c:pt idx="92">
                  <c:v>0.01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0.02</c:v>
                </c:pt>
                <c:pt idx="99">
                  <c:v>0</c:v>
                </c:pt>
                <c:pt idx="100">
                  <c:v>0.01</c:v>
                </c:pt>
                <c:pt idx="101">
                  <c:v>0.02</c:v>
                </c:pt>
                <c:pt idx="102">
                  <c:v>0</c:v>
                </c:pt>
                <c:pt idx="103">
                  <c:v>0.01</c:v>
                </c:pt>
                <c:pt idx="104">
                  <c:v>0.01</c:v>
                </c:pt>
                <c:pt idx="105">
                  <c:v>0.02</c:v>
                </c:pt>
                <c:pt idx="106">
                  <c:v>0.08</c:v>
                </c:pt>
                <c:pt idx="107">
                  <c:v>0.02</c:v>
                </c:pt>
                <c:pt idx="108">
                  <c:v>0.04</c:v>
                </c:pt>
                <c:pt idx="109">
                  <c:v>0.02</c:v>
                </c:pt>
                <c:pt idx="110">
                  <c:v>0</c:v>
                </c:pt>
                <c:pt idx="111">
                  <c:v>0.03</c:v>
                </c:pt>
                <c:pt idx="112">
                  <c:v>0.01</c:v>
                </c:pt>
                <c:pt idx="113">
                  <c:v>0.04</c:v>
                </c:pt>
                <c:pt idx="114">
                  <c:v>0.1</c:v>
                </c:pt>
                <c:pt idx="115">
                  <c:v>0.01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0.03</c:v>
                </c:pt>
                <c:pt idx="121">
                  <c:v>0</c:v>
                </c:pt>
                <c:pt idx="122">
                  <c:v>0.02</c:v>
                </c:pt>
                <c:pt idx="123">
                  <c:v>0.04</c:v>
                </c:pt>
                <c:pt idx="124">
                  <c:v>0.02</c:v>
                </c:pt>
                <c:pt idx="125">
                  <c:v>0.05</c:v>
                </c:pt>
                <c:pt idx="126">
                  <c:v>0.01</c:v>
                </c:pt>
                <c:pt idx="127">
                  <c:v>0.01</c:v>
                </c:pt>
                <c:pt idx="128">
                  <c:v>0</c:v>
                </c:pt>
                <c:pt idx="129">
                  <c:v>0</c:v>
                </c:pt>
                <c:pt idx="130">
                  <c:v>0.01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0.01</c:v>
                </c:pt>
                <c:pt idx="137">
                  <c:v>0</c:v>
                </c:pt>
                <c:pt idx="138">
                  <c:v>0</c:v>
                </c:pt>
                <c:pt idx="139">
                  <c:v>0.01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0.02</c:v>
                </c:pt>
                <c:pt idx="148">
                  <c:v>0.02</c:v>
                </c:pt>
                <c:pt idx="149">
                  <c:v>0.04</c:v>
                </c:pt>
                <c:pt idx="150">
                  <c:v>0.03</c:v>
                </c:pt>
                <c:pt idx="151">
                  <c:v>0.01</c:v>
                </c:pt>
                <c:pt idx="152">
                  <c:v>0.03</c:v>
                </c:pt>
                <c:pt idx="153">
                  <c:v>0.01</c:v>
                </c:pt>
                <c:pt idx="154">
                  <c:v>0.04</c:v>
                </c:pt>
                <c:pt idx="155">
                  <c:v>0.02</c:v>
                </c:pt>
                <c:pt idx="156">
                  <c:v>0.04</c:v>
                </c:pt>
                <c:pt idx="157">
                  <c:v>0.02</c:v>
                </c:pt>
                <c:pt idx="158">
                  <c:v>0</c:v>
                </c:pt>
                <c:pt idx="159">
                  <c:v>0.03</c:v>
                </c:pt>
                <c:pt idx="160">
                  <c:v>0.02</c:v>
                </c:pt>
                <c:pt idx="161">
                  <c:v>0.01</c:v>
                </c:pt>
                <c:pt idx="162">
                  <c:v>0.02</c:v>
                </c:pt>
                <c:pt idx="163">
                  <c:v>0.01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0.02</c:v>
                </c:pt>
                <c:pt idx="170">
                  <c:v>0.01</c:v>
                </c:pt>
                <c:pt idx="171">
                  <c:v>0.02</c:v>
                </c:pt>
                <c:pt idx="172">
                  <c:v>0.02</c:v>
                </c:pt>
                <c:pt idx="173">
                  <c:v>0</c:v>
                </c:pt>
                <c:pt idx="174">
                  <c:v>0.01</c:v>
                </c:pt>
                <c:pt idx="175">
                  <c:v>0</c:v>
                </c:pt>
                <c:pt idx="176">
                  <c:v>0</c:v>
                </c:pt>
                <c:pt idx="177">
                  <c:v>0.02</c:v>
                </c:pt>
                <c:pt idx="178">
                  <c:v>0.01</c:v>
                </c:pt>
                <c:pt idx="179">
                  <c:v>0.04</c:v>
                </c:pt>
                <c:pt idx="180">
                  <c:v>0.03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0.03</c:v>
                </c:pt>
                <c:pt idx="186">
                  <c:v>0.05</c:v>
                </c:pt>
                <c:pt idx="187">
                  <c:v>0.04</c:v>
                </c:pt>
                <c:pt idx="188">
                  <c:v>0.03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0.01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0.02</c:v>
                </c:pt>
                <c:pt idx="197">
                  <c:v>0.02</c:v>
                </c:pt>
                <c:pt idx="198">
                  <c:v>0.05</c:v>
                </c:pt>
                <c:pt idx="199">
                  <c:v>0.08</c:v>
                </c:pt>
                <c:pt idx="200">
                  <c:v>0.01</c:v>
                </c:pt>
                <c:pt idx="201">
                  <c:v>0.09</c:v>
                </c:pt>
                <c:pt idx="202">
                  <c:v>0.05</c:v>
                </c:pt>
                <c:pt idx="203">
                  <c:v>0.04</c:v>
                </c:pt>
                <c:pt idx="204">
                  <c:v>0.1</c:v>
                </c:pt>
                <c:pt idx="205">
                  <c:v>0.02</c:v>
                </c:pt>
                <c:pt idx="206">
                  <c:v>0.02</c:v>
                </c:pt>
                <c:pt idx="207">
                  <c:v>0.01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0.01</c:v>
                </c:pt>
                <c:pt idx="213">
                  <c:v>0</c:v>
                </c:pt>
                <c:pt idx="214">
                  <c:v>0</c:v>
                </c:pt>
                <c:pt idx="215">
                  <c:v>0.01</c:v>
                </c:pt>
                <c:pt idx="216">
                  <c:v>0.01</c:v>
                </c:pt>
                <c:pt idx="217">
                  <c:v>0</c:v>
                </c:pt>
                <c:pt idx="218">
                  <c:v>0</c:v>
                </c:pt>
              </c:numCache>
            </c:numRef>
          </c:xVal>
          <c:yVal>
            <c:numRef>
              <c:f>'Full Mobility Curves'!$AP$3:$AP$221</c:f>
              <c:numCache>
                <c:formatCode>General</c:formatCode>
                <c:ptCount val="2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0.34</c:v>
                </c:pt>
                <c:pt idx="4">
                  <c:v>0.33</c:v>
                </c:pt>
                <c:pt idx="5">
                  <c:v>0.33</c:v>
                </c:pt>
                <c:pt idx="6">
                  <c:v>0.25</c:v>
                </c:pt>
                <c:pt idx="7">
                  <c:v>0.32</c:v>
                </c:pt>
                <c:pt idx="8">
                  <c:v>0.95</c:v>
                </c:pt>
                <c:pt idx="9">
                  <c:v>0.28000000000000003</c:v>
                </c:pt>
                <c:pt idx="10">
                  <c:v>0.19</c:v>
                </c:pt>
                <c:pt idx="11">
                  <c:v>0.26</c:v>
                </c:pt>
                <c:pt idx="12">
                  <c:v>0.16</c:v>
                </c:pt>
                <c:pt idx="13">
                  <c:v>0.17</c:v>
                </c:pt>
                <c:pt idx="14">
                  <c:v>0.24</c:v>
                </c:pt>
                <c:pt idx="15">
                  <c:v>0.27</c:v>
                </c:pt>
                <c:pt idx="16">
                  <c:v>0.55000000000000004</c:v>
                </c:pt>
                <c:pt idx="17">
                  <c:v>0.56999999999999995</c:v>
                </c:pt>
                <c:pt idx="18">
                  <c:v>0.6</c:v>
                </c:pt>
                <c:pt idx="19">
                  <c:v>0.99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0.6</c:v>
                </c:pt>
                <c:pt idx="25">
                  <c:v>0.99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0.62</c:v>
                </c:pt>
                <c:pt idx="31">
                  <c:v>0.99</c:v>
                </c:pt>
                <c:pt idx="32">
                  <c:v>0.56999999999999995</c:v>
                </c:pt>
                <c:pt idx="33">
                  <c:v>0.55000000000000004</c:v>
                </c:pt>
                <c:pt idx="34">
                  <c:v>0.32</c:v>
                </c:pt>
                <c:pt idx="35">
                  <c:v>0.57999999999999996</c:v>
                </c:pt>
                <c:pt idx="36">
                  <c:v>0.98</c:v>
                </c:pt>
                <c:pt idx="37">
                  <c:v>1</c:v>
                </c:pt>
                <c:pt idx="38">
                  <c:v>1</c:v>
                </c:pt>
                <c:pt idx="39">
                  <c:v>0.99</c:v>
                </c:pt>
                <c:pt idx="40">
                  <c:v>0.36</c:v>
                </c:pt>
                <c:pt idx="41">
                  <c:v>0.59</c:v>
                </c:pt>
                <c:pt idx="42">
                  <c:v>0.35</c:v>
                </c:pt>
                <c:pt idx="43">
                  <c:v>0.56999999999999995</c:v>
                </c:pt>
                <c:pt idx="44">
                  <c:v>0.32</c:v>
                </c:pt>
                <c:pt idx="45">
                  <c:v>0.57999999999999996</c:v>
                </c:pt>
                <c:pt idx="46">
                  <c:v>0.97</c:v>
                </c:pt>
                <c:pt idx="47">
                  <c:v>0.6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0.99</c:v>
                </c:pt>
                <c:pt idx="52">
                  <c:v>0.27</c:v>
                </c:pt>
                <c:pt idx="53">
                  <c:v>0.98</c:v>
                </c:pt>
                <c:pt idx="54">
                  <c:v>0.99</c:v>
                </c:pt>
                <c:pt idx="55">
                  <c:v>0.61</c:v>
                </c:pt>
                <c:pt idx="56">
                  <c:v>0.99</c:v>
                </c:pt>
                <c:pt idx="57">
                  <c:v>0.56000000000000005</c:v>
                </c:pt>
                <c:pt idx="58">
                  <c:v>0.28999999999999998</c:v>
                </c:pt>
                <c:pt idx="59">
                  <c:v>0.25</c:v>
                </c:pt>
                <c:pt idx="60">
                  <c:v>0.23</c:v>
                </c:pt>
                <c:pt idx="61">
                  <c:v>0.23</c:v>
                </c:pt>
                <c:pt idx="62">
                  <c:v>0.47</c:v>
                </c:pt>
                <c:pt idx="63">
                  <c:v>0.19</c:v>
                </c:pt>
                <c:pt idx="64">
                  <c:v>0.2</c:v>
                </c:pt>
                <c:pt idx="65">
                  <c:v>0.23</c:v>
                </c:pt>
                <c:pt idx="66">
                  <c:v>0.2</c:v>
                </c:pt>
                <c:pt idx="67">
                  <c:v>0.5</c:v>
                </c:pt>
                <c:pt idx="68">
                  <c:v>0.27</c:v>
                </c:pt>
                <c:pt idx="69">
                  <c:v>0.99</c:v>
                </c:pt>
                <c:pt idx="70">
                  <c:v>0.99</c:v>
                </c:pt>
                <c:pt idx="71">
                  <c:v>0.6</c:v>
                </c:pt>
                <c:pt idx="72">
                  <c:v>1</c:v>
                </c:pt>
                <c:pt idx="73">
                  <c:v>0.26</c:v>
                </c:pt>
                <c:pt idx="74">
                  <c:v>0.3</c:v>
                </c:pt>
                <c:pt idx="75">
                  <c:v>0.59</c:v>
                </c:pt>
                <c:pt idx="76">
                  <c:v>0.28000000000000003</c:v>
                </c:pt>
                <c:pt idx="77">
                  <c:v>0.98</c:v>
                </c:pt>
                <c:pt idx="78">
                  <c:v>1</c:v>
                </c:pt>
                <c:pt idx="79">
                  <c:v>1</c:v>
                </c:pt>
                <c:pt idx="80">
                  <c:v>0.98</c:v>
                </c:pt>
                <c:pt idx="81">
                  <c:v>0.28999999999999998</c:v>
                </c:pt>
                <c:pt idx="82">
                  <c:v>0.34</c:v>
                </c:pt>
                <c:pt idx="83">
                  <c:v>0.31</c:v>
                </c:pt>
                <c:pt idx="84">
                  <c:v>0.32</c:v>
                </c:pt>
                <c:pt idx="85">
                  <c:v>0.95</c:v>
                </c:pt>
                <c:pt idx="86">
                  <c:v>0.98</c:v>
                </c:pt>
                <c:pt idx="87">
                  <c:v>1</c:v>
                </c:pt>
                <c:pt idx="88">
                  <c:v>1</c:v>
                </c:pt>
                <c:pt idx="89">
                  <c:v>0.62</c:v>
                </c:pt>
                <c:pt idx="90">
                  <c:v>0.6</c:v>
                </c:pt>
                <c:pt idx="91">
                  <c:v>1</c:v>
                </c:pt>
                <c:pt idx="92">
                  <c:v>0.62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0.99</c:v>
                </c:pt>
                <c:pt idx="98">
                  <c:v>0.28000000000000003</c:v>
                </c:pt>
                <c:pt idx="99">
                  <c:v>0.98</c:v>
                </c:pt>
                <c:pt idx="100">
                  <c:v>0.5</c:v>
                </c:pt>
                <c:pt idx="101">
                  <c:v>0.3</c:v>
                </c:pt>
                <c:pt idx="102">
                  <c:v>0.98</c:v>
                </c:pt>
                <c:pt idx="103">
                  <c:v>0.47</c:v>
                </c:pt>
                <c:pt idx="104">
                  <c:v>0.48</c:v>
                </c:pt>
                <c:pt idx="105">
                  <c:v>0.23</c:v>
                </c:pt>
                <c:pt idx="106">
                  <c:v>0.2</c:v>
                </c:pt>
                <c:pt idx="107">
                  <c:v>0.25</c:v>
                </c:pt>
                <c:pt idx="108">
                  <c:v>0.22</c:v>
                </c:pt>
                <c:pt idx="109">
                  <c:v>0.28000000000000003</c:v>
                </c:pt>
                <c:pt idx="110">
                  <c:v>0.98</c:v>
                </c:pt>
                <c:pt idx="111">
                  <c:v>0.35</c:v>
                </c:pt>
                <c:pt idx="112">
                  <c:v>0.45</c:v>
                </c:pt>
                <c:pt idx="113">
                  <c:v>0.2</c:v>
                </c:pt>
                <c:pt idx="114">
                  <c:v>0.17</c:v>
                </c:pt>
                <c:pt idx="115">
                  <c:v>0.44</c:v>
                </c:pt>
                <c:pt idx="116">
                  <c:v>0.96</c:v>
                </c:pt>
                <c:pt idx="117">
                  <c:v>1</c:v>
                </c:pt>
                <c:pt idx="118">
                  <c:v>1</c:v>
                </c:pt>
                <c:pt idx="119">
                  <c:v>0.99</c:v>
                </c:pt>
                <c:pt idx="120">
                  <c:v>0.34</c:v>
                </c:pt>
                <c:pt idx="121">
                  <c:v>0.96</c:v>
                </c:pt>
                <c:pt idx="122">
                  <c:v>0.28999999999999998</c:v>
                </c:pt>
                <c:pt idx="123">
                  <c:v>0.24</c:v>
                </c:pt>
                <c:pt idx="124">
                  <c:v>0.28000000000000003</c:v>
                </c:pt>
                <c:pt idx="125">
                  <c:v>0.2</c:v>
                </c:pt>
                <c:pt idx="126">
                  <c:v>0.52</c:v>
                </c:pt>
                <c:pt idx="127">
                  <c:v>0.48</c:v>
                </c:pt>
                <c:pt idx="128">
                  <c:v>0.98</c:v>
                </c:pt>
                <c:pt idx="129">
                  <c:v>0.99</c:v>
                </c:pt>
                <c:pt idx="130">
                  <c:v>0.49</c:v>
                </c:pt>
                <c:pt idx="131">
                  <c:v>0.99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0.49</c:v>
                </c:pt>
                <c:pt idx="137">
                  <c:v>1</c:v>
                </c:pt>
                <c:pt idx="138">
                  <c:v>1</c:v>
                </c:pt>
                <c:pt idx="139">
                  <c:v>0.51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0.99</c:v>
                </c:pt>
                <c:pt idx="147">
                  <c:v>0.32</c:v>
                </c:pt>
                <c:pt idx="148">
                  <c:v>0.28000000000000003</c:v>
                </c:pt>
                <c:pt idx="149">
                  <c:v>0.28000000000000003</c:v>
                </c:pt>
                <c:pt idx="150">
                  <c:v>0.33</c:v>
                </c:pt>
                <c:pt idx="151">
                  <c:v>0.52</c:v>
                </c:pt>
                <c:pt idx="152">
                  <c:v>0.33</c:v>
                </c:pt>
                <c:pt idx="153">
                  <c:v>0.56999999999999995</c:v>
                </c:pt>
                <c:pt idx="154">
                  <c:v>0.24</c:v>
                </c:pt>
                <c:pt idx="155">
                  <c:v>0.28000000000000003</c:v>
                </c:pt>
                <c:pt idx="156">
                  <c:v>0.23</c:v>
                </c:pt>
                <c:pt idx="157">
                  <c:v>0.28000000000000003</c:v>
                </c:pt>
                <c:pt idx="158">
                  <c:v>0.94</c:v>
                </c:pt>
                <c:pt idx="159">
                  <c:v>0.3</c:v>
                </c:pt>
                <c:pt idx="160">
                  <c:v>0.25</c:v>
                </c:pt>
                <c:pt idx="161">
                  <c:v>0.52</c:v>
                </c:pt>
                <c:pt idx="162">
                  <c:v>0.28000000000000003</c:v>
                </c:pt>
                <c:pt idx="163">
                  <c:v>0.55000000000000004</c:v>
                </c:pt>
                <c:pt idx="164">
                  <c:v>0.97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0.31</c:v>
                </c:pt>
                <c:pt idx="170">
                  <c:v>0.57999999999999996</c:v>
                </c:pt>
                <c:pt idx="171">
                  <c:v>0.32</c:v>
                </c:pt>
                <c:pt idx="172">
                  <c:v>0.33</c:v>
                </c:pt>
                <c:pt idx="173">
                  <c:v>0.97</c:v>
                </c:pt>
                <c:pt idx="174">
                  <c:v>0.6</c:v>
                </c:pt>
                <c:pt idx="175">
                  <c:v>1</c:v>
                </c:pt>
                <c:pt idx="176">
                  <c:v>1</c:v>
                </c:pt>
                <c:pt idx="177">
                  <c:v>0.31</c:v>
                </c:pt>
                <c:pt idx="178">
                  <c:v>0.56000000000000005</c:v>
                </c:pt>
                <c:pt idx="179">
                  <c:v>0.25</c:v>
                </c:pt>
                <c:pt idx="180">
                  <c:v>0.28999999999999998</c:v>
                </c:pt>
                <c:pt idx="181">
                  <c:v>0.97</c:v>
                </c:pt>
                <c:pt idx="182">
                  <c:v>1</c:v>
                </c:pt>
                <c:pt idx="183">
                  <c:v>1</c:v>
                </c:pt>
                <c:pt idx="184">
                  <c:v>0.98</c:v>
                </c:pt>
                <c:pt idx="185">
                  <c:v>0.32</c:v>
                </c:pt>
                <c:pt idx="186">
                  <c:v>0.31</c:v>
                </c:pt>
                <c:pt idx="187">
                  <c:v>0.26</c:v>
                </c:pt>
                <c:pt idx="188">
                  <c:v>0.33</c:v>
                </c:pt>
                <c:pt idx="189">
                  <c:v>0.93</c:v>
                </c:pt>
                <c:pt idx="190">
                  <c:v>1</c:v>
                </c:pt>
                <c:pt idx="191">
                  <c:v>1</c:v>
                </c:pt>
                <c:pt idx="192">
                  <c:v>0.61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0.34</c:v>
                </c:pt>
                <c:pt idx="197">
                  <c:v>0.34</c:v>
                </c:pt>
                <c:pt idx="198">
                  <c:v>0.2</c:v>
                </c:pt>
                <c:pt idx="199">
                  <c:v>0.2</c:v>
                </c:pt>
                <c:pt idx="200">
                  <c:v>0.47</c:v>
                </c:pt>
                <c:pt idx="201">
                  <c:v>0.09</c:v>
                </c:pt>
                <c:pt idx="202">
                  <c:v>0.12</c:v>
                </c:pt>
                <c:pt idx="203">
                  <c:v>0.18</c:v>
                </c:pt>
                <c:pt idx="204">
                  <c:v>0.16</c:v>
                </c:pt>
                <c:pt idx="205">
                  <c:v>0.26</c:v>
                </c:pt>
                <c:pt idx="206">
                  <c:v>0.28000000000000003</c:v>
                </c:pt>
                <c:pt idx="207">
                  <c:v>0.57999999999999996</c:v>
                </c:pt>
                <c:pt idx="208">
                  <c:v>0.98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0.62</c:v>
                </c:pt>
                <c:pt idx="213">
                  <c:v>0.99</c:v>
                </c:pt>
                <c:pt idx="214">
                  <c:v>0.99</c:v>
                </c:pt>
                <c:pt idx="215">
                  <c:v>0.61</c:v>
                </c:pt>
                <c:pt idx="216">
                  <c:v>0.62</c:v>
                </c:pt>
                <c:pt idx="217">
                  <c:v>0.98</c:v>
                </c:pt>
                <c:pt idx="218">
                  <c:v>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0-4CA0-9A6B-C7A0175B2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29440"/>
        <c:axId val="88619584"/>
      </c:scatterChart>
      <c:valAx>
        <c:axId val="141129440"/>
        <c:scaling>
          <c:orientation val="minMax"/>
          <c:max val="0.16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Population 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9584"/>
        <c:crosses val="autoZero"/>
        <c:crossBetween val="midCat"/>
      </c:valAx>
      <c:valAx>
        <c:axId val="88619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944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trendline>
            <c:spPr>
              <a:ln w="38100" cap="rnd">
                <a:solidFill>
                  <a:srgbClr val="00B05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5748466655609267E-2"/>
                  <c:y val="-0.634470546105640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'Full Mobility Curves'!$AU$3:$AU$166</c:f>
              <c:numCache>
                <c:formatCode>0%</c:formatCode>
                <c:ptCount val="1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0.05</c:v>
                </c:pt>
                <c:pt idx="6">
                  <c:v>0.08</c:v>
                </c:pt>
                <c:pt idx="7">
                  <c:v>0.04</c:v>
                </c:pt>
                <c:pt idx="8">
                  <c:v>0.15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0.01</c:v>
                </c:pt>
                <c:pt idx="16">
                  <c:v>0.05</c:v>
                </c:pt>
                <c:pt idx="17">
                  <c:v>0.05</c:v>
                </c:pt>
                <c:pt idx="18">
                  <c:v>0.03</c:v>
                </c:pt>
                <c:pt idx="19">
                  <c:v>0.01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0.04</c:v>
                </c:pt>
                <c:pt idx="27">
                  <c:v>0.09</c:v>
                </c:pt>
                <c:pt idx="28">
                  <c:v>0.1</c:v>
                </c:pt>
                <c:pt idx="29">
                  <c:v>0.06</c:v>
                </c:pt>
                <c:pt idx="30">
                  <c:v>0.05</c:v>
                </c:pt>
                <c:pt idx="31">
                  <c:v>7.0000000000000007E-2</c:v>
                </c:pt>
                <c:pt idx="32">
                  <c:v>0.02</c:v>
                </c:pt>
                <c:pt idx="33">
                  <c:v>0.05</c:v>
                </c:pt>
                <c:pt idx="34">
                  <c:v>0.04</c:v>
                </c:pt>
                <c:pt idx="35">
                  <c:v>0.04</c:v>
                </c:pt>
                <c:pt idx="36">
                  <c:v>0</c:v>
                </c:pt>
                <c:pt idx="37">
                  <c:v>0.01</c:v>
                </c:pt>
                <c:pt idx="38">
                  <c:v>0</c:v>
                </c:pt>
                <c:pt idx="39">
                  <c:v>0</c:v>
                </c:pt>
                <c:pt idx="40">
                  <c:v>0.01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0.02</c:v>
                </c:pt>
                <c:pt idx="47">
                  <c:v>0.01</c:v>
                </c:pt>
                <c:pt idx="48">
                  <c:v>0.03</c:v>
                </c:pt>
                <c:pt idx="49">
                  <c:v>0.03</c:v>
                </c:pt>
                <c:pt idx="50">
                  <c:v>0.03</c:v>
                </c:pt>
                <c:pt idx="51">
                  <c:v>0.02</c:v>
                </c:pt>
                <c:pt idx="52">
                  <c:v>0.04</c:v>
                </c:pt>
                <c:pt idx="53">
                  <c:v>0.05</c:v>
                </c:pt>
                <c:pt idx="54">
                  <c:v>0.02</c:v>
                </c:pt>
                <c:pt idx="55">
                  <c:v>0.02</c:v>
                </c:pt>
                <c:pt idx="56">
                  <c:v>0.03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0.01</c:v>
                </c:pt>
                <c:pt idx="61">
                  <c:v>0.01</c:v>
                </c:pt>
                <c:pt idx="62">
                  <c:v>0</c:v>
                </c:pt>
                <c:pt idx="63">
                  <c:v>0.01</c:v>
                </c:pt>
                <c:pt idx="64">
                  <c:v>0.01</c:v>
                </c:pt>
                <c:pt idx="65">
                  <c:v>0</c:v>
                </c:pt>
                <c:pt idx="66">
                  <c:v>0.02</c:v>
                </c:pt>
                <c:pt idx="67">
                  <c:v>0</c:v>
                </c:pt>
                <c:pt idx="68">
                  <c:v>0</c:v>
                </c:pt>
                <c:pt idx="69">
                  <c:v>0.01</c:v>
                </c:pt>
                <c:pt idx="70">
                  <c:v>0.01</c:v>
                </c:pt>
                <c:pt idx="71">
                  <c:v>0.04</c:v>
                </c:pt>
                <c:pt idx="72">
                  <c:v>0.03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0.02</c:v>
                </c:pt>
                <c:pt idx="79">
                  <c:v>0.03</c:v>
                </c:pt>
                <c:pt idx="80">
                  <c:v>0.04</c:v>
                </c:pt>
                <c:pt idx="81">
                  <c:v>0.06</c:v>
                </c:pt>
                <c:pt idx="82">
                  <c:v>0.03</c:v>
                </c:pt>
                <c:pt idx="83">
                  <c:v>0.06</c:v>
                </c:pt>
                <c:pt idx="84">
                  <c:v>7.0000000000000007E-2</c:v>
                </c:pt>
                <c:pt idx="85">
                  <c:v>0.04</c:v>
                </c:pt>
                <c:pt idx="86">
                  <c:v>7.0000000000000007E-2</c:v>
                </c:pt>
                <c:pt idx="87">
                  <c:v>0.03</c:v>
                </c:pt>
                <c:pt idx="88">
                  <c:v>0.03</c:v>
                </c:pt>
                <c:pt idx="89">
                  <c:v>0.02</c:v>
                </c:pt>
                <c:pt idx="90">
                  <c:v>0.01</c:v>
                </c:pt>
                <c:pt idx="91">
                  <c:v>0.05</c:v>
                </c:pt>
                <c:pt idx="92">
                  <c:v>0.04</c:v>
                </c:pt>
                <c:pt idx="93">
                  <c:v>0</c:v>
                </c:pt>
                <c:pt idx="94">
                  <c:v>0.01</c:v>
                </c:pt>
                <c:pt idx="95">
                  <c:v>0</c:v>
                </c:pt>
                <c:pt idx="96">
                  <c:v>0</c:v>
                </c:pt>
                <c:pt idx="97">
                  <c:v>0.02</c:v>
                </c:pt>
                <c:pt idx="98">
                  <c:v>0</c:v>
                </c:pt>
                <c:pt idx="99">
                  <c:v>0.01</c:v>
                </c:pt>
                <c:pt idx="100">
                  <c:v>0.02</c:v>
                </c:pt>
                <c:pt idx="101">
                  <c:v>0</c:v>
                </c:pt>
                <c:pt idx="102">
                  <c:v>0.01</c:v>
                </c:pt>
                <c:pt idx="103">
                  <c:v>0</c:v>
                </c:pt>
                <c:pt idx="104">
                  <c:v>0</c:v>
                </c:pt>
                <c:pt idx="105">
                  <c:v>0.01</c:v>
                </c:pt>
                <c:pt idx="106">
                  <c:v>0</c:v>
                </c:pt>
                <c:pt idx="107">
                  <c:v>0</c:v>
                </c:pt>
                <c:pt idx="108">
                  <c:v>0.01</c:v>
                </c:pt>
                <c:pt idx="109">
                  <c:v>0</c:v>
                </c:pt>
                <c:pt idx="110">
                  <c:v>0.01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0.02</c:v>
                </c:pt>
                <c:pt idx="123">
                  <c:v>0.01</c:v>
                </c:pt>
                <c:pt idx="124">
                  <c:v>0.02</c:v>
                </c:pt>
                <c:pt idx="125">
                  <c:v>0.06</c:v>
                </c:pt>
                <c:pt idx="126">
                  <c:v>0.02</c:v>
                </c:pt>
                <c:pt idx="127">
                  <c:v>0.06</c:v>
                </c:pt>
                <c:pt idx="128">
                  <c:v>0.04</c:v>
                </c:pt>
                <c:pt idx="129">
                  <c:v>0.03</c:v>
                </c:pt>
                <c:pt idx="130">
                  <c:v>0.05</c:v>
                </c:pt>
                <c:pt idx="131">
                  <c:v>0.05</c:v>
                </c:pt>
                <c:pt idx="132">
                  <c:v>0.03</c:v>
                </c:pt>
                <c:pt idx="133">
                  <c:v>0.02</c:v>
                </c:pt>
                <c:pt idx="134">
                  <c:v>0</c:v>
                </c:pt>
                <c:pt idx="135">
                  <c:v>0.02</c:v>
                </c:pt>
                <c:pt idx="136">
                  <c:v>0</c:v>
                </c:pt>
                <c:pt idx="137">
                  <c:v>0.01</c:v>
                </c:pt>
                <c:pt idx="138">
                  <c:v>0</c:v>
                </c:pt>
                <c:pt idx="139">
                  <c:v>0</c:v>
                </c:pt>
                <c:pt idx="140">
                  <c:v>0.03</c:v>
                </c:pt>
                <c:pt idx="141">
                  <c:v>0</c:v>
                </c:pt>
                <c:pt idx="142">
                  <c:v>0.01</c:v>
                </c:pt>
                <c:pt idx="143">
                  <c:v>0.04</c:v>
                </c:pt>
                <c:pt idx="144">
                  <c:v>0</c:v>
                </c:pt>
                <c:pt idx="145">
                  <c:v>0.04</c:v>
                </c:pt>
                <c:pt idx="146">
                  <c:v>0</c:v>
                </c:pt>
                <c:pt idx="147">
                  <c:v>0</c:v>
                </c:pt>
                <c:pt idx="148">
                  <c:v>0.02</c:v>
                </c:pt>
                <c:pt idx="149">
                  <c:v>0</c:v>
                </c:pt>
                <c:pt idx="150">
                  <c:v>0.02</c:v>
                </c:pt>
                <c:pt idx="151">
                  <c:v>0.02</c:v>
                </c:pt>
                <c:pt idx="152">
                  <c:v>0</c:v>
                </c:pt>
                <c:pt idx="153">
                  <c:v>0.02</c:v>
                </c:pt>
                <c:pt idx="154">
                  <c:v>0</c:v>
                </c:pt>
                <c:pt idx="155">
                  <c:v>0</c:v>
                </c:pt>
                <c:pt idx="156">
                  <c:v>0.03</c:v>
                </c:pt>
                <c:pt idx="157">
                  <c:v>0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</c:v>
                </c:pt>
                <c:pt idx="163">
                  <c:v>0</c:v>
                </c:pt>
              </c:numCache>
            </c:numRef>
          </c:xVal>
          <c:yVal>
            <c:numRef>
              <c:f>'Full Mobility Curves'!$AV$3:$AV$166</c:f>
              <c:numCache>
                <c:formatCode>General</c:formatCode>
                <c:ptCount val="16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0.39</c:v>
                </c:pt>
                <c:pt idx="4">
                  <c:v>0.97</c:v>
                </c:pt>
                <c:pt idx="5">
                  <c:v>0.37</c:v>
                </c:pt>
                <c:pt idx="6">
                  <c:v>0.3</c:v>
                </c:pt>
                <c:pt idx="7">
                  <c:v>0.3</c:v>
                </c:pt>
                <c:pt idx="8">
                  <c:v>0.22</c:v>
                </c:pt>
                <c:pt idx="9">
                  <c:v>0.2</c:v>
                </c:pt>
                <c:pt idx="10">
                  <c:v>0.18</c:v>
                </c:pt>
                <c:pt idx="11">
                  <c:v>0.17</c:v>
                </c:pt>
                <c:pt idx="12">
                  <c:v>0.92</c:v>
                </c:pt>
                <c:pt idx="13">
                  <c:v>0.97</c:v>
                </c:pt>
                <c:pt idx="14">
                  <c:v>1</c:v>
                </c:pt>
                <c:pt idx="15">
                  <c:v>0.56000000000000005</c:v>
                </c:pt>
                <c:pt idx="16">
                  <c:v>0.33</c:v>
                </c:pt>
                <c:pt idx="17">
                  <c:v>0.35</c:v>
                </c:pt>
                <c:pt idx="18">
                  <c:v>0.34</c:v>
                </c:pt>
                <c:pt idx="19">
                  <c:v>0.51</c:v>
                </c:pt>
                <c:pt idx="20">
                  <c:v>0.98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0.99</c:v>
                </c:pt>
                <c:pt idx="25">
                  <c:v>0.37</c:v>
                </c:pt>
                <c:pt idx="26">
                  <c:v>0.36</c:v>
                </c:pt>
                <c:pt idx="27">
                  <c:v>0.28000000000000003</c:v>
                </c:pt>
                <c:pt idx="28">
                  <c:v>0.14000000000000001</c:v>
                </c:pt>
                <c:pt idx="29">
                  <c:v>0.26</c:v>
                </c:pt>
                <c:pt idx="30">
                  <c:v>0.18</c:v>
                </c:pt>
                <c:pt idx="31">
                  <c:v>0.27</c:v>
                </c:pt>
                <c:pt idx="32">
                  <c:v>0.26</c:v>
                </c:pt>
                <c:pt idx="33">
                  <c:v>0.23</c:v>
                </c:pt>
                <c:pt idx="34">
                  <c:v>0.27</c:v>
                </c:pt>
                <c:pt idx="35">
                  <c:v>0.28999999999999998</c:v>
                </c:pt>
                <c:pt idx="36">
                  <c:v>0.95</c:v>
                </c:pt>
                <c:pt idx="37">
                  <c:v>0.44</c:v>
                </c:pt>
                <c:pt idx="38">
                  <c:v>0.99</c:v>
                </c:pt>
                <c:pt idx="39">
                  <c:v>0.99</c:v>
                </c:pt>
                <c:pt idx="40">
                  <c:v>0.48</c:v>
                </c:pt>
                <c:pt idx="41">
                  <c:v>0.99</c:v>
                </c:pt>
                <c:pt idx="42">
                  <c:v>0.99</c:v>
                </c:pt>
                <c:pt idx="43">
                  <c:v>1</c:v>
                </c:pt>
                <c:pt idx="44">
                  <c:v>1</c:v>
                </c:pt>
                <c:pt idx="45">
                  <c:v>0.99</c:v>
                </c:pt>
                <c:pt idx="46">
                  <c:v>0.38</c:v>
                </c:pt>
                <c:pt idx="47">
                  <c:v>0.52</c:v>
                </c:pt>
                <c:pt idx="48">
                  <c:v>0.37</c:v>
                </c:pt>
                <c:pt idx="49">
                  <c:v>0.34</c:v>
                </c:pt>
                <c:pt idx="50">
                  <c:v>0.28999999999999998</c:v>
                </c:pt>
                <c:pt idx="51">
                  <c:v>0.32</c:v>
                </c:pt>
                <c:pt idx="52">
                  <c:v>0.35</c:v>
                </c:pt>
                <c:pt idx="53">
                  <c:v>0.41</c:v>
                </c:pt>
                <c:pt idx="54">
                  <c:v>0.3</c:v>
                </c:pt>
                <c:pt idx="55">
                  <c:v>0.35</c:v>
                </c:pt>
                <c:pt idx="56">
                  <c:v>0.36</c:v>
                </c:pt>
                <c:pt idx="57">
                  <c:v>0.34</c:v>
                </c:pt>
                <c:pt idx="58">
                  <c:v>0.34</c:v>
                </c:pt>
                <c:pt idx="59">
                  <c:v>0.31</c:v>
                </c:pt>
                <c:pt idx="60">
                  <c:v>0.52</c:v>
                </c:pt>
                <c:pt idx="61">
                  <c:v>0.55000000000000004</c:v>
                </c:pt>
                <c:pt idx="62">
                  <c:v>0.99</c:v>
                </c:pt>
                <c:pt idx="63">
                  <c:v>0.59</c:v>
                </c:pt>
                <c:pt idx="64">
                  <c:v>0.62</c:v>
                </c:pt>
                <c:pt idx="65">
                  <c:v>0.99</c:v>
                </c:pt>
                <c:pt idx="66">
                  <c:v>0.4</c:v>
                </c:pt>
                <c:pt idx="67">
                  <c:v>0.99</c:v>
                </c:pt>
                <c:pt idx="68">
                  <c:v>1</c:v>
                </c:pt>
                <c:pt idx="69">
                  <c:v>0.56000000000000005</c:v>
                </c:pt>
                <c:pt idx="70">
                  <c:v>0.55000000000000004</c:v>
                </c:pt>
                <c:pt idx="71">
                  <c:v>0.46</c:v>
                </c:pt>
                <c:pt idx="72">
                  <c:v>0.4</c:v>
                </c:pt>
                <c:pt idx="73">
                  <c:v>0.97</c:v>
                </c:pt>
                <c:pt idx="74">
                  <c:v>0.97</c:v>
                </c:pt>
                <c:pt idx="75">
                  <c:v>1</c:v>
                </c:pt>
                <c:pt idx="76">
                  <c:v>1</c:v>
                </c:pt>
                <c:pt idx="77">
                  <c:v>0.99</c:v>
                </c:pt>
                <c:pt idx="78">
                  <c:v>0.37</c:v>
                </c:pt>
                <c:pt idx="79">
                  <c:v>0.42</c:v>
                </c:pt>
                <c:pt idx="80">
                  <c:v>0.34</c:v>
                </c:pt>
                <c:pt idx="81">
                  <c:v>0.3</c:v>
                </c:pt>
                <c:pt idx="82">
                  <c:v>0.32</c:v>
                </c:pt>
                <c:pt idx="83">
                  <c:v>0.21</c:v>
                </c:pt>
                <c:pt idx="84">
                  <c:v>0.23</c:v>
                </c:pt>
                <c:pt idx="85">
                  <c:v>0.25</c:v>
                </c:pt>
                <c:pt idx="86">
                  <c:v>0.23</c:v>
                </c:pt>
                <c:pt idx="87">
                  <c:v>0.34</c:v>
                </c:pt>
                <c:pt idx="88">
                  <c:v>0.35</c:v>
                </c:pt>
                <c:pt idx="89">
                  <c:v>0.32</c:v>
                </c:pt>
                <c:pt idx="90">
                  <c:v>0.45</c:v>
                </c:pt>
                <c:pt idx="91">
                  <c:v>0.34</c:v>
                </c:pt>
                <c:pt idx="92">
                  <c:v>0.41</c:v>
                </c:pt>
                <c:pt idx="93">
                  <c:v>0.94</c:v>
                </c:pt>
                <c:pt idx="94">
                  <c:v>0.53</c:v>
                </c:pt>
                <c:pt idx="95">
                  <c:v>0.99</c:v>
                </c:pt>
                <c:pt idx="96">
                  <c:v>0.98</c:v>
                </c:pt>
                <c:pt idx="97">
                  <c:v>0.35</c:v>
                </c:pt>
                <c:pt idx="98">
                  <c:v>0.98</c:v>
                </c:pt>
                <c:pt idx="99">
                  <c:v>0.53</c:v>
                </c:pt>
                <c:pt idx="100">
                  <c:v>0.38</c:v>
                </c:pt>
                <c:pt idx="101">
                  <c:v>0.99</c:v>
                </c:pt>
                <c:pt idx="102">
                  <c:v>0.53</c:v>
                </c:pt>
                <c:pt idx="103">
                  <c:v>0.99</c:v>
                </c:pt>
                <c:pt idx="104">
                  <c:v>1</c:v>
                </c:pt>
                <c:pt idx="105">
                  <c:v>0.52</c:v>
                </c:pt>
                <c:pt idx="106">
                  <c:v>0.99</c:v>
                </c:pt>
                <c:pt idx="107">
                  <c:v>0.99</c:v>
                </c:pt>
                <c:pt idx="108">
                  <c:v>0.5</c:v>
                </c:pt>
                <c:pt idx="109">
                  <c:v>0.99</c:v>
                </c:pt>
                <c:pt idx="110">
                  <c:v>0.55000000000000004</c:v>
                </c:pt>
                <c:pt idx="111">
                  <c:v>0.99</c:v>
                </c:pt>
                <c:pt idx="112">
                  <c:v>1</c:v>
                </c:pt>
                <c:pt idx="113">
                  <c:v>1</c:v>
                </c:pt>
                <c:pt idx="114">
                  <c:v>0.5</c:v>
                </c:pt>
                <c:pt idx="115">
                  <c:v>0.51</c:v>
                </c:pt>
                <c:pt idx="116">
                  <c:v>0.5</c:v>
                </c:pt>
                <c:pt idx="117">
                  <c:v>1</c:v>
                </c:pt>
                <c:pt idx="118">
                  <c:v>1</c:v>
                </c:pt>
                <c:pt idx="119">
                  <c:v>0.99</c:v>
                </c:pt>
                <c:pt idx="120">
                  <c:v>0.99</c:v>
                </c:pt>
                <c:pt idx="121">
                  <c:v>0.99</c:v>
                </c:pt>
                <c:pt idx="122">
                  <c:v>0.3</c:v>
                </c:pt>
                <c:pt idx="123">
                  <c:v>0.46</c:v>
                </c:pt>
                <c:pt idx="124">
                  <c:v>0.28999999999999998</c:v>
                </c:pt>
                <c:pt idx="125">
                  <c:v>0.26</c:v>
                </c:pt>
                <c:pt idx="126">
                  <c:v>0.21</c:v>
                </c:pt>
                <c:pt idx="127">
                  <c:v>0.23</c:v>
                </c:pt>
                <c:pt idx="128">
                  <c:v>0.26</c:v>
                </c:pt>
                <c:pt idx="129">
                  <c:v>0.26</c:v>
                </c:pt>
                <c:pt idx="130">
                  <c:v>0.21</c:v>
                </c:pt>
                <c:pt idx="131">
                  <c:v>0.25</c:v>
                </c:pt>
                <c:pt idx="132">
                  <c:v>0.31</c:v>
                </c:pt>
                <c:pt idx="133">
                  <c:v>0.26</c:v>
                </c:pt>
                <c:pt idx="134">
                  <c:v>0.96</c:v>
                </c:pt>
                <c:pt idx="135">
                  <c:v>0.3</c:v>
                </c:pt>
                <c:pt idx="136">
                  <c:v>0.98</c:v>
                </c:pt>
                <c:pt idx="137">
                  <c:v>0.46</c:v>
                </c:pt>
                <c:pt idx="138">
                  <c:v>0.99</c:v>
                </c:pt>
                <c:pt idx="139">
                  <c:v>0.98</c:v>
                </c:pt>
                <c:pt idx="140">
                  <c:v>0.4</c:v>
                </c:pt>
                <c:pt idx="141">
                  <c:v>0.96</c:v>
                </c:pt>
                <c:pt idx="142">
                  <c:v>0.48</c:v>
                </c:pt>
                <c:pt idx="143">
                  <c:v>0.4</c:v>
                </c:pt>
                <c:pt idx="144">
                  <c:v>0.96</c:v>
                </c:pt>
                <c:pt idx="145">
                  <c:v>0.35</c:v>
                </c:pt>
                <c:pt idx="146">
                  <c:v>0.97</c:v>
                </c:pt>
                <c:pt idx="147">
                  <c:v>0.98</c:v>
                </c:pt>
                <c:pt idx="148">
                  <c:v>0.31</c:v>
                </c:pt>
                <c:pt idx="149">
                  <c:v>0.98</c:v>
                </c:pt>
                <c:pt idx="150">
                  <c:v>0.28999999999999998</c:v>
                </c:pt>
                <c:pt idx="151">
                  <c:v>0.28999999999999998</c:v>
                </c:pt>
                <c:pt idx="152">
                  <c:v>0.98</c:v>
                </c:pt>
                <c:pt idx="153">
                  <c:v>0.3</c:v>
                </c:pt>
                <c:pt idx="154">
                  <c:v>0.98</c:v>
                </c:pt>
                <c:pt idx="155">
                  <c:v>0.99</c:v>
                </c:pt>
                <c:pt idx="156">
                  <c:v>0.42</c:v>
                </c:pt>
                <c:pt idx="157">
                  <c:v>0.97</c:v>
                </c:pt>
                <c:pt idx="158">
                  <c:v>0.45</c:v>
                </c:pt>
                <c:pt idx="159">
                  <c:v>0.43</c:v>
                </c:pt>
                <c:pt idx="160">
                  <c:v>0.48</c:v>
                </c:pt>
                <c:pt idx="161">
                  <c:v>0.49</c:v>
                </c:pt>
                <c:pt idx="162">
                  <c:v>0.98</c:v>
                </c:pt>
                <c:pt idx="163">
                  <c:v>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51-46EE-8CDA-E758CDEA6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29440"/>
        <c:axId val="88619584"/>
      </c:scatterChart>
      <c:valAx>
        <c:axId val="1411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Population 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9584"/>
        <c:crosses val="autoZero"/>
        <c:crossBetween val="midCat"/>
      </c:valAx>
      <c:valAx>
        <c:axId val="88619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944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002060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00B0F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26844541658747545"/>
                  <c:y val="-0.627901356080489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'Full Mobility Curves'!$AQ$3:$AQ$219</c:f>
              <c:numCache>
                <c:formatCode>0%</c:formatCode>
                <c:ptCount val="2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0.01</c:v>
                </c:pt>
                <c:pt idx="6">
                  <c:v>0.04</c:v>
                </c:pt>
                <c:pt idx="7">
                  <c:v>0.04</c:v>
                </c:pt>
                <c:pt idx="8">
                  <c:v>0.09</c:v>
                </c:pt>
                <c:pt idx="9">
                  <c:v>0.05</c:v>
                </c:pt>
                <c:pt idx="10">
                  <c:v>0.03</c:v>
                </c:pt>
                <c:pt idx="11">
                  <c:v>0.03</c:v>
                </c:pt>
                <c:pt idx="12">
                  <c:v>0.01</c:v>
                </c:pt>
                <c:pt idx="13">
                  <c:v>0.02</c:v>
                </c:pt>
                <c:pt idx="14">
                  <c:v>0.01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0.01</c:v>
                </c:pt>
                <c:pt idx="21">
                  <c:v>0</c:v>
                </c:pt>
                <c:pt idx="22">
                  <c:v>0.01</c:v>
                </c:pt>
                <c:pt idx="23">
                  <c:v>0</c:v>
                </c:pt>
                <c:pt idx="24">
                  <c:v>0</c:v>
                </c:pt>
                <c:pt idx="25">
                  <c:v>0.04</c:v>
                </c:pt>
                <c:pt idx="26">
                  <c:v>0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</c:v>
                </c:pt>
                <c:pt idx="31">
                  <c:v>0.05</c:v>
                </c:pt>
                <c:pt idx="32">
                  <c:v>0</c:v>
                </c:pt>
                <c:pt idx="33">
                  <c:v>0.04</c:v>
                </c:pt>
                <c:pt idx="34">
                  <c:v>0.06</c:v>
                </c:pt>
                <c:pt idx="35">
                  <c:v>0</c:v>
                </c:pt>
                <c:pt idx="36">
                  <c:v>0.01</c:v>
                </c:pt>
                <c:pt idx="37">
                  <c:v>0</c:v>
                </c:pt>
                <c:pt idx="38">
                  <c:v>0</c:v>
                </c:pt>
                <c:pt idx="39">
                  <c:v>0.06</c:v>
                </c:pt>
                <c:pt idx="40">
                  <c:v>0</c:v>
                </c:pt>
                <c:pt idx="41">
                  <c:v>0.02</c:v>
                </c:pt>
                <c:pt idx="42">
                  <c:v>0.03</c:v>
                </c:pt>
                <c:pt idx="43">
                  <c:v>0</c:v>
                </c:pt>
                <c:pt idx="44">
                  <c:v>0.02</c:v>
                </c:pt>
                <c:pt idx="45">
                  <c:v>0</c:v>
                </c:pt>
                <c:pt idx="46">
                  <c:v>0</c:v>
                </c:pt>
                <c:pt idx="47">
                  <c:v>0.01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0.02</c:v>
                </c:pt>
                <c:pt idx="53">
                  <c:v>0</c:v>
                </c:pt>
                <c:pt idx="54">
                  <c:v>0.03</c:v>
                </c:pt>
                <c:pt idx="55">
                  <c:v>0.05</c:v>
                </c:pt>
                <c:pt idx="56">
                  <c:v>0.03</c:v>
                </c:pt>
                <c:pt idx="57">
                  <c:v>0.09</c:v>
                </c:pt>
                <c:pt idx="58">
                  <c:v>0.04</c:v>
                </c:pt>
                <c:pt idx="59">
                  <c:v>0.03</c:v>
                </c:pt>
                <c:pt idx="60">
                  <c:v>0.05</c:v>
                </c:pt>
                <c:pt idx="61">
                  <c:v>0.04</c:v>
                </c:pt>
                <c:pt idx="62">
                  <c:v>0.01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0.03</c:v>
                </c:pt>
                <c:pt idx="68">
                  <c:v>0.01</c:v>
                </c:pt>
                <c:pt idx="69">
                  <c:v>0</c:v>
                </c:pt>
                <c:pt idx="70">
                  <c:v>0.02</c:v>
                </c:pt>
                <c:pt idx="71">
                  <c:v>0</c:v>
                </c:pt>
                <c:pt idx="72">
                  <c:v>0</c:v>
                </c:pt>
                <c:pt idx="73">
                  <c:v>0.02</c:v>
                </c:pt>
                <c:pt idx="74">
                  <c:v>0</c:v>
                </c:pt>
                <c:pt idx="75">
                  <c:v>0</c:v>
                </c:pt>
                <c:pt idx="76">
                  <c:v>0.01</c:v>
                </c:pt>
                <c:pt idx="77">
                  <c:v>0</c:v>
                </c:pt>
                <c:pt idx="78">
                  <c:v>0.01</c:v>
                </c:pt>
                <c:pt idx="79">
                  <c:v>0.02</c:v>
                </c:pt>
                <c:pt idx="80">
                  <c:v>0</c:v>
                </c:pt>
                <c:pt idx="81">
                  <c:v>0.01</c:v>
                </c:pt>
                <c:pt idx="82">
                  <c:v>0</c:v>
                </c:pt>
                <c:pt idx="83">
                  <c:v>0</c:v>
                </c:pt>
                <c:pt idx="84">
                  <c:v>0.01</c:v>
                </c:pt>
                <c:pt idx="85">
                  <c:v>0</c:v>
                </c:pt>
                <c:pt idx="86">
                  <c:v>0</c:v>
                </c:pt>
                <c:pt idx="87">
                  <c:v>0.02</c:v>
                </c:pt>
                <c:pt idx="88">
                  <c:v>0</c:v>
                </c:pt>
                <c:pt idx="89">
                  <c:v>0</c:v>
                </c:pt>
                <c:pt idx="90">
                  <c:v>0.01</c:v>
                </c:pt>
                <c:pt idx="91">
                  <c:v>0</c:v>
                </c:pt>
                <c:pt idx="92">
                  <c:v>0.02</c:v>
                </c:pt>
                <c:pt idx="93">
                  <c:v>0.03</c:v>
                </c:pt>
                <c:pt idx="94">
                  <c:v>0</c:v>
                </c:pt>
                <c:pt idx="95">
                  <c:v>0.01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0.02</c:v>
                </c:pt>
                <c:pt idx="102">
                  <c:v>0.01</c:v>
                </c:pt>
                <c:pt idx="103">
                  <c:v>0.01</c:v>
                </c:pt>
                <c:pt idx="104">
                  <c:v>0.06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0.03</c:v>
                </c:pt>
                <c:pt idx="110">
                  <c:v>0.05</c:v>
                </c:pt>
                <c:pt idx="111">
                  <c:v>0.09</c:v>
                </c:pt>
                <c:pt idx="112">
                  <c:v>0.11</c:v>
                </c:pt>
                <c:pt idx="113">
                  <c:v>0.01</c:v>
                </c:pt>
                <c:pt idx="114">
                  <c:v>0.02</c:v>
                </c:pt>
                <c:pt idx="115">
                  <c:v>0.03</c:v>
                </c:pt>
                <c:pt idx="116">
                  <c:v>0.02</c:v>
                </c:pt>
                <c:pt idx="117">
                  <c:v>0.01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0.01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0.01</c:v>
                </c:pt>
                <c:pt idx="128">
                  <c:v>0.02</c:v>
                </c:pt>
                <c:pt idx="129">
                  <c:v>0</c:v>
                </c:pt>
                <c:pt idx="130">
                  <c:v>0.01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0.02</c:v>
                </c:pt>
                <c:pt idx="137">
                  <c:v>0.02</c:v>
                </c:pt>
                <c:pt idx="138">
                  <c:v>0.03</c:v>
                </c:pt>
                <c:pt idx="139">
                  <c:v>0.06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0.03</c:v>
                </c:pt>
                <c:pt idx="144">
                  <c:v>0.04</c:v>
                </c:pt>
                <c:pt idx="145">
                  <c:v>0.1</c:v>
                </c:pt>
                <c:pt idx="146">
                  <c:v>0.09</c:v>
                </c:pt>
                <c:pt idx="147">
                  <c:v>0.04</c:v>
                </c:pt>
                <c:pt idx="148">
                  <c:v>0</c:v>
                </c:pt>
                <c:pt idx="149">
                  <c:v>0</c:v>
                </c:pt>
                <c:pt idx="150">
                  <c:v>0.02</c:v>
                </c:pt>
                <c:pt idx="151">
                  <c:v>0.02</c:v>
                </c:pt>
                <c:pt idx="152">
                  <c:v>0.04</c:v>
                </c:pt>
                <c:pt idx="153">
                  <c:v>0.03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0.04</c:v>
                </c:pt>
                <c:pt idx="159">
                  <c:v>0.02</c:v>
                </c:pt>
                <c:pt idx="160">
                  <c:v>0.01</c:v>
                </c:pt>
                <c:pt idx="161">
                  <c:v>0.05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0.02</c:v>
                </c:pt>
                <c:pt idx="168">
                  <c:v>0.01</c:v>
                </c:pt>
                <c:pt idx="169">
                  <c:v>0</c:v>
                </c:pt>
                <c:pt idx="170">
                  <c:v>0.02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0.02</c:v>
                </c:pt>
                <c:pt idx="177">
                  <c:v>0.01</c:v>
                </c:pt>
                <c:pt idx="178">
                  <c:v>0.04</c:v>
                </c:pt>
                <c:pt idx="179">
                  <c:v>0.04</c:v>
                </c:pt>
                <c:pt idx="180">
                  <c:v>0.01</c:v>
                </c:pt>
                <c:pt idx="181">
                  <c:v>0.02</c:v>
                </c:pt>
                <c:pt idx="182">
                  <c:v>0.03</c:v>
                </c:pt>
                <c:pt idx="183">
                  <c:v>0.03</c:v>
                </c:pt>
                <c:pt idx="184">
                  <c:v>7.0000000000000007E-2</c:v>
                </c:pt>
                <c:pt idx="185">
                  <c:v>0.03</c:v>
                </c:pt>
                <c:pt idx="186">
                  <c:v>0.03</c:v>
                </c:pt>
                <c:pt idx="187">
                  <c:v>0.02</c:v>
                </c:pt>
                <c:pt idx="188">
                  <c:v>0.02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0.01</c:v>
                </c:pt>
                <c:pt idx="194">
                  <c:v>0</c:v>
                </c:pt>
                <c:pt idx="195">
                  <c:v>0.01</c:v>
                </c:pt>
                <c:pt idx="196">
                  <c:v>0.02</c:v>
                </c:pt>
                <c:pt idx="197">
                  <c:v>0</c:v>
                </c:pt>
                <c:pt idx="198">
                  <c:v>0.02</c:v>
                </c:pt>
                <c:pt idx="199">
                  <c:v>0</c:v>
                </c:pt>
                <c:pt idx="200">
                  <c:v>0</c:v>
                </c:pt>
                <c:pt idx="201">
                  <c:v>0.02</c:v>
                </c:pt>
                <c:pt idx="202">
                  <c:v>0</c:v>
                </c:pt>
                <c:pt idx="203">
                  <c:v>0.02</c:v>
                </c:pt>
                <c:pt idx="204">
                  <c:v>0.05</c:v>
                </c:pt>
                <c:pt idx="205">
                  <c:v>0</c:v>
                </c:pt>
                <c:pt idx="206">
                  <c:v>0.02</c:v>
                </c:pt>
                <c:pt idx="207">
                  <c:v>0</c:v>
                </c:pt>
                <c:pt idx="208">
                  <c:v>0</c:v>
                </c:pt>
                <c:pt idx="209">
                  <c:v>0.04</c:v>
                </c:pt>
                <c:pt idx="210">
                  <c:v>0</c:v>
                </c:pt>
                <c:pt idx="211">
                  <c:v>0.01</c:v>
                </c:pt>
                <c:pt idx="212">
                  <c:v>0.04</c:v>
                </c:pt>
                <c:pt idx="213">
                  <c:v>0</c:v>
                </c:pt>
                <c:pt idx="214">
                  <c:v>0.04</c:v>
                </c:pt>
                <c:pt idx="215">
                  <c:v>0</c:v>
                </c:pt>
                <c:pt idx="216">
                  <c:v>0</c:v>
                </c:pt>
              </c:numCache>
            </c:numRef>
          </c:xVal>
          <c:yVal>
            <c:numRef>
              <c:f>'Full Mobility Curves'!$AR$3:$AR$219</c:f>
              <c:numCache>
                <c:formatCode>General</c:formatCode>
                <c:ptCount val="217"/>
                <c:pt idx="0">
                  <c:v>1</c:v>
                </c:pt>
                <c:pt idx="1">
                  <c:v>0.99</c:v>
                </c:pt>
                <c:pt idx="2">
                  <c:v>1</c:v>
                </c:pt>
                <c:pt idx="3">
                  <c:v>0.19</c:v>
                </c:pt>
                <c:pt idx="4">
                  <c:v>0.98</c:v>
                </c:pt>
                <c:pt idx="5">
                  <c:v>0.23</c:v>
                </c:pt>
                <c:pt idx="6">
                  <c:v>0.14000000000000001</c:v>
                </c:pt>
                <c:pt idx="7">
                  <c:v>0.15</c:v>
                </c:pt>
                <c:pt idx="8">
                  <c:v>0.1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0.2</c:v>
                </c:pt>
                <c:pt idx="13">
                  <c:v>0.13</c:v>
                </c:pt>
                <c:pt idx="14">
                  <c:v>0.25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0.18</c:v>
                </c:pt>
                <c:pt idx="20">
                  <c:v>0.23</c:v>
                </c:pt>
                <c:pt idx="21">
                  <c:v>0.99</c:v>
                </c:pt>
                <c:pt idx="22">
                  <c:v>0.22</c:v>
                </c:pt>
                <c:pt idx="23">
                  <c:v>0.99</c:v>
                </c:pt>
                <c:pt idx="24">
                  <c:v>0.99</c:v>
                </c:pt>
                <c:pt idx="25">
                  <c:v>0.16</c:v>
                </c:pt>
                <c:pt idx="26">
                  <c:v>0.95</c:v>
                </c:pt>
                <c:pt idx="27">
                  <c:v>0.99</c:v>
                </c:pt>
                <c:pt idx="28">
                  <c:v>0.17</c:v>
                </c:pt>
                <c:pt idx="29">
                  <c:v>0.98</c:v>
                </c:pt>
                <c:pt idx="30">
                  <c:v>1</c:v>
                </c:pt>
                <c:pt idx="31">
                  <c:v>0.18</c:v>
                </c:pt>
                <c:pt idx="32">
                  <c:v>0.97</c:v>
                </c:pt>
                <c:pt idx="33">
                  <c:v>0.15</c:v>
                </c:pt>
                <c:pt idx="34">
                  <c:v>0.19</c:v>
                </c:pt>
                <c:pt idx="35">
                  <c:v>0.93</c:v>
                </c:pt>
                <c:pt idx="36">
                  <c:v>0.26</c:v>
                </c:pt>
                <c:pt idx="37">
                  <c:v>0.99</c:v>
                </c:pt>
                <c:pt idx="38">
                  <c:v>0.99</c:v>
                </c:pt>
                <c:pt idx="39">
                  <c:v>0.17</c:v>
                </c:pt>
                <c:pt idx="40">
                  <c:v>0.95</c:v>
                </c:pt>
                <c:pt idx="41">
                  <c:v>0.17</c:v>
                </c:pt>
                <c:pt idx="42">
                  <c:v>0.17</c:v>
                </c:pt>
                <c:pt idx="43">
                  <c:v>0.98</c:v>
                </c:pt>
                <c:pt idx="44">
                  <c:v>0.17</c:v>
                </c:pt>
                <c:pt idx="45">
                  <c:v>0.99</c:v>
                </c:pt>
                <c:pt idx="46">
                  <c:v>1</c:v>
                </c:pt>
                <c:pt idx="47">
                  <c:v>0.23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0.11</c:v>
                </c:pt>
                <c:pt idx="53">
                  <c:v>0.98</c:v>
                </c:pt>
                <c:pt idx="54">
                  <c:v>0.2</c:v>
                </c:pt>
                <c:pt idx="55">
                  <c:v>0.13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0.18</c:v>
                </c:pt>
                <c:pt idx="59">
                  <c:v>0.1</c:v>
                </c:pt>
                <c:pt idx="60">
                  <c:v>0.14000000000000001</c:v>
                </c:pt>
                <c:pt idx="61">
                  <c:v>0.13</c:v>
                </c:pt>
                <c:pt idx="62">
                  <c:v>0.23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0.2</c:v>
                </c:pt>
                <c:pt idx="68">
                  <c:v>0.3</c:v>
                </c:pt>
                <c:pt idx="69">
                  <c:v>0.99</c:v>
                </c:pt>
                <c:pt idx="70">
                  <c:v>0.13</c:v>
                </c:pt>
                <c:pt idx="71">
                  <c:v>0.98</c:v>
                </c:pt>
                <c:pt idx="72">
                  <c:v>1</c:v>
                </c:pt>
                <c:pt idx="73">
                  <c:v>0.1</c:v>
                </c:pt>
                <c:pt idx="74">
                  <c:v>0.98</c:v>
                </c:pt>
                <c:pt idx="75">
                  <c:v>1</c:v>
                </c:pt>
                <c:pt idx="76">
                  <c:v>0.32</c:v>
                </c:pt>
                <c:pt idx="77">
                  <c:v>1</c:v>
                </c:pt>
                <c:pt idx="78">
                  <c:v>0.32</c:v>
                </c:pt>
                <c:pt idx="79">
                  <c:v>0.13</c:v>
                </c:pt>
                <c:pt idx="80">
                  <c:v>0.98</c:v>
                </c:pt>
                <c:pt idx="81">
                  <c:v>0.28000000000000003</c:v>
                </c:pt>
                <c:pt idx="82">
                  <c:v>0.99</c:v>
                </c:pt>
                <c:pt idx="83">
                  <c:v>1</c:v>
                </c:pt>
                <c:pt idx="84">
                  <c:v>0.3</c:v>
                </c:pt>
                <c:pt idx="85">
                  <c:v>0.99</c:v>
                </c:pt>
                <c:pt idx="86">
                  <c:v>1</c:v>
                </c:pt>
                <c:pt idx="87">
                  <c:v>0.11</c:v>
                </c:pt>
                <c:pt idx="88">
                  <c:v>0.99</c:v>
                </c:pt>
                <c:pt idx="89">
                  <c:v>1</c:v>
                </c:pt>
                <c:pt idx="90">
                  <c:v>0.28000000000000003</c:v>
                </c:pt>
                <c:pt idx="91">
                  <c:v>0.99</c:v>
                </c:pt>
                <c:pt idx="92">
                  <c:v>0.12</c:v>
                </c:pt>
                <c:pt idx="93">
                  <c:v>0.18</c:v>
                </c:pt>
                <c:pt idx="94">
                  <c:v>0.99</c:v>
                </c:pt>
                <c:pt idx="95">
                  <c:v>0.28000000000000003</c:v>
                </c:pt>
                <c:pt idx="96">
                  <c:v>1</c:v>
                </c:pt>
                <c:pt idx="97">
                  <c:v>1</c:v>
                </c:pt>
                <c:pt idx="98">
                  <c:v>0.98</c:v>
                </c:pt>
                <c:pt idx="99">
                  <c:v>0.98</c:v>
                </c:pt>
                <c:pt idx="100">
                  <c:v>0.98</c:v>
                </c:pt>
                <c:pt idx="101">
                  <c:v>0.05</c:v>
                </c:pt>
                <c:pt idx="102">
                  <c:v>0.17</c:v>
                </c:pt>
                <c:pt idx="103">
                  <c:v>0.16</c:v>
                </c:pt>
                <c:pt idx="104">
                  <c:v>0.1</c:v>
                </c:pt>
                <c:pt idx="105">
                  <c:v>0.93</c:v>
                </c:pt>
                <c:pt idx="106">
                  <c:v>0.99</c:v>
                </c:pt>
                <c:pt idx="107">
                  <c:v>0.98</c:v>
                </c:pt>
                <c:pt idx="108">
                  <c:v>0.98</c:v>
                </c:pt>
                <c:pt idx="109">
                  <c:v>0.15</c:v>
                </c:pt>
                <c:pt idx="110">
                  <c:v>0.11</c:v>
                </c:pt>
                <c:pt idx="111">
                  <c:v>0.12</c:v>
                </c:pt>
                <c:pt idx="112">
                  <c:v>0.08</c:v>
                </c:pt>
                <c:pt idx="113">
                  <c:v>0.16</c:v>
                </c:pt>
                <c:pt idx="114">
                  <c:v>0.02</c:v>
                </c:pt>
                <c:pt idx="115">
                  <c:v>0.13</c:v>
                </c:pt>
                <c:pt idx="116">
                  <c:v>0.01</c:v>
                </c:pt>
                <c:pt idx="117">
                  <c:v>0.15</c:v>
                </c:pt>
                <c:pt idx="118">
                  <c:v>0.97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0.17</c:v>
                </c:pt>
                <c:pt idx="123">
                  <c:v>0.98</c:v>
                </c:pt>
                <c:pt idx="124">
                  <c:v>0.99</c:v>
                </c:pt>
                <c:pt idx="125">
                  <c:v>0.98</c:v>
                </c:pt>
                <c:pt idx="126">
                  <c:v>0.98</c:v>
                </c:pt>
                <c:pt idx="127">
                  <c:v>0.18</c:v>
                </c:pt>
                <c:pt idx="128">
                  <c:v>0.05</c:v>
                </c:pt>
                <c:pt idx="129">
                  <c:v>0.97</c:v>
                </c:pt>
                <c:pt idx="130">
                  <c:v>0.2</c:v>
                </c:pt>
                <c:pt idx="131">
                  <c:v>0.97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0.97</c:v>
                </c:pt>
                <c:pt idx="136">
                  <c:v>0.14000000000000001</c:v>
                </c:pt>
                <c:pt idx="137">
                  <c:v>0.14000000000000001</c:v>
                </c:pt>
                <c:pt idx="138">
                  <c:v>0.15</c:v>
                </c:pt>
                <c:pt idx="139">
                  <c:v>0.14000000000000001</c:v>
                </c:pt>
                <c:pt idx="140">
                  <c:v>0.93</c:v>
                </c:pt>
                <c:pt idx="141">
                  <c:v>0.98</c:v>
                </c:pt>
                <c:pt idx="142">
                  <c:v>0.98</c:v>
                </c:pt>
                <c:pt idx="143">
                  <c:v>0.19</c:v>
                </c:pt>
                <c:pt idx="144">
                  <c:v>0.14000000000000001</c:v>
                </c:pt>
                <c:pt idx="145">
                  <c:v>7.0000000000000007E-2</c:v>
                </c:pt>
                <c:pt idx="146">
                  <c:v>0.09</c:v>
                </c:pt>
                <c:pt idx="147">
                  <c:v>0.17</c:v>
                </c:pt>
                <c:pt idx="148">
                  <c:v>0.94</c:v>
                </c:pt>
                <c:pt idx="149">
                  <c:v>0.99</c:v>
                </c:pt>
                <c:pt idx="150">
                  <c:v>0.11</c:v>
                </c:pt>
                <c:pt idx="151">
                  <c:v>0.1</c:v>
                </c:pt>
                <c:pt idx="152">
                  <c:v>0.14000000000000001</c:v>
                </c:pt>
                <c:pt idx="153">
                  <c:v>0.19</c:v>
                </c:pt>
                <c:pt idx="154">
                  <c:v>0.95</c:v>
                </c:pt>
                <c:pt idx="155">
                  <c:v>0.98</c:v>
                </c:pt>
                <c:pt idx="156">
                  <c:v>0.98</c:v>
                </c:pt>
                <c:pt idx="157">
                  <c:v>0.98</c:v>
                </c:pt>
                <c:pt idx="158">
                  <c:v>0.15</c:v>
                </c:pt>
                <c:pt idx="159">
                  <c:v>0.14000000000000001</c:v>
                </c:pt>
                <c:pt idx="160">
                  <c:v>0.2</c:v>
                </c:pt>
                <c:pt idx="161">
                  <c:v>0.08</c:v>
                </c:pt>
                <c:pt idx="162">
                  <c:v>0.94</c:v>
                </c:pt>
                <c:pt idx="163">
                  <c:v>0.98</c:v>
                </c:pt>
                <c:pt idx="164">
                  <c:v>0.98</c:v>
                </c:pt>
                <c:pt idx="165">
                  <c:v>0.98</c:v>
                </c:pt>
                <c:pt idx="166">
                  <c:v>0.98</c:v>
                </c:pt>
                <c:pt idx="167">
                  <c:v>0.14000000000000001</c:v>
                </c:pt>
                <c:pt idx="168">
                  <c:v>0.22</c:v>
                </c:pt>
                <c:pt idx="169">
                  <c:v>0.98</c:v>
                </c:pt>
                <c:pt idx="170">
                  <c:v>0.15</c:v>
                </c:pt>
                <c:pt idx="171">
                  <c:v>0.97</c:v>
                </c:pt>
                <c:pt idx="172">
                  <c:v>0.99</c:v>
                </c:pt>
                <c:pt idx="173">
                  <c:v>0.98</c:v>
                </c:pt>
                <c:pt idx="174">
                  <c:v>0.98</c:v>
                </c:pt>
                <c:pt idx="175">
                  <c:v>0.98</c:v>
                </c:pt>
                <c:pt idx="176">
                  <c:v>0.2</c:v>
                </c:pt>
                <c:pt idx="177">
                  <c:v>0.26</c:v>
                </c:pt>
                <c:pt idx="178">
                  <c:v>0.18</c:v>
                </c:pt>
                <c:pt idx="179">
                  <c:v>0.19</c:v>
                </c:pt>
                <c:pt idx="180">
                  <c:v>0.24</c:v>
                </c:pt>
                <c:pt idx="181">
                  <c:v>0.17</c:v>
                </c:pt>
                <c:pt idx="182">
                  <c:v>0.14000000000000001</c:v>
                </c:pt>
                <c:pt idx="183">
                  <c:v>0.11</c:v>
                </c:pt>
                <c:pt idx="184">
                  <c:v>0.09</c:v>
                </c:pt>
                <c:pt idx="185">
                  <c:v>0.1</c:v>
                </c:pt>
                <c:pt idx="186">
                  <c:v>0.11</c:v>
                </c:pt>
                <c:pt idx="187">
                  <c:v>0.14000000000000001</c:v>
                </c:pt>
                <c:pt idx="188">
                  <c:v>0.16</c:v>
                </c:pt>
                <c:pt idx="189">
                  <c:v>0.95</c:v>
                </c:pt>
                <c:pt idx="190">
                  <c:v>0.98</c:v>
                </c:pt>
                <c:pt idx="191">
                  <c:v>0.98</c:v>
                </c:pt>
                <c:pt idx="192">
                  <c:v>0.98</c:v>
                </c:pt>
                <c:pt idx="193">
                  <c:v>0.26</c:v>
                </c:pt>
                <c:pt idx="194">
                  <c:v>0.97</c:v>
                </c:pt>
                <c:pt idx="195">
                  <c:v>0.26</c:v>
                </c:pt>
                <c:pt idx="196">
                  <c:v>0.2</c:v>
                </c:pt>
                <c:pt idx="197">
                  <c:v>0.97</c:v>
                </c:pt>
                <c:pt idx="198">
                  <c:v>0.19</c:v>
                </c:pt>
                <c:pt idx="199">
                  <c:v>0.96</c:v>
                </c:pt>
                <c:pt idx="200">
                  <c:v>0.98</c:v>
                </c:pt>
                <c:pt idx="201">
                  <c:v>0.19</c:v>
                </c:pt>
                <c:pt idx="202">
                  <c:v>0.97</c:v>
                </c:pt>
                <c:pt idx="203">
                  <c:v>0.2</c:v>
                </c:pt>
                <c:pt idx="204">
                  <c:v>0.18</c:v>
                </c:pt>
                <c:pt idx="205">
                  <c:v>0.93</c:v>
                </c:pt>
                <c:pt idx="206">
                  <c:v>0.21</c:v>
                </c:pt>
                <c:pt idx="207">
                  <c:v>0.96</c:v>
                </c:pt>
                <c:pt idx="208">
                  <c:v>0.98</c:v>
                </c:pt>
                <c:pt idx="209">
                  <c:v>0.24</c:v>
                </c:pt>
                <c:pt idx="210">
                  <c:v>0.96</c:v>
                </c:pt>
                <c:pt idx="211">
                  <c:v>0.23</c:v>
                </c:pt>
                <c:pt idx="212">
                  <c:v>0.21</c:v>
                </c:pt>
                <c:pt idx="213">
                  <c:v>0.94</c:v>
                </c:pt>
                <c:pt idx="214">
                  <c:v>0.22</c:v>
                </c:pt>
                <c:pt idx="215">
                  <c:v>0.94</c:v>
                </c:pt>
                <c:pt idx="216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72-47DB-917F-0A8E86890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29440"/>
        <c:axId val="88619584"/>
      </c:scatterChart>
      <c:valAx>
        <c:axId val="141129440"/>
        <c:scaling>
          <c:orientation val="minMax"/>
          <c:max val="0.16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Population 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9584"/>
        <c:crosses val="autoZero"/>
        <c:crossBetween val="midCat"/>
      </c:valAx>
      <c:valAx>
        <c:axId val="88619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944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21603556776290617"/>
                  <c:y val="-0.52590077282006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'Full Mobility Curves'!$AS$3:$AS$154</c:f>
              <c:numCache>
                <c:formatCode>0%</c:formatCode>
                <c:ptCount val="1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0.04</c:v>
                </c:pt>
                <c:pt idx="7">
                  <c:v>0.05</c:v>
                </c:pt>
                <c:pt idx="8">
                  <c:v>0.06</c:v>
                </c:pt>
                <c:pt idx="9">
                  <c:v>0.1</c:v>
                </c:pt>
                <c:pt idx="10">
                  <c:v>0.04</c:v>
                </c:pt>
                <c:pt idx="11">
                  <c:v>0.05</c:v>
                </c:pt>
                <c:pt idx="12">
                  <c:v>0.09</c:v>
                </c:pt>
                <c:pt idx="13">
                  <c:v>7.0000000000000007E-2</c:v>
                </c:pt>
                <c:pt idx="14">
                  <c:v>0.06</c:v>
                </c:pt>
                <c:pt idx="15">
                  <c:v>0.02</c:v>
                </c:pt>
                <c:pt idx="16">
                  <c:v>0.03</c:v>
                </c:pt>
                <c:pt idx="17">
                  <c:v>0.02</c:v>
                </c:pt>
                <c:pt idx="18">
                  <c:v>0</c:v>
                </c:pt>
                <c:pt idx="19">
                  <c:v>0.04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0.01</c:v>
                </c:pt>
                <c:pt idx="27">
                  <c:v>0.02</c:v>
                </c:pt>
                <c:pt idx="28">
                  <c:v>0.04</c:v>
                </c:pt>
                <c:pt idx="29">
                  <c:v>0.05</c:v>
                </c:pt>
                <c:pt idx="30">
                  <c:v>7.0000000000000007E-2</c:v>
                </c:pt>
                <c:pt idx="31">
                  <c:v>0.08</c:v>
                </c:pt>
                <c:pt idx="32">
                  <c:v>0.06</c:v>
                </c:pt>
                <c:pt idx="33">
                  <c:v>0.11</c:v>
                </c:pt>
                <c:pt idx="34">
                  <c:v>0.04</c:v>
                </c:pt>
                <c:pt idx="35">
                  <c:v>0.08</c:v>
                </c:pt>
                <c:pt idx="36">
                  <c:v>0.06</c:v>
                </c:pt>
                <c:pt idx="37">
                  <c:v>0.01</c:v>
                </c:pt>
                <c:pt idx="38">
                  <c:v>0.04</c:v>
                </c:pt>
                <c:pt idx="39">
                  <c:v>0.01</c:v>
                </c:pt>
                <c:pt idx="40">
                  <c:v>0</c:v>
                </c:pt>
                <c:pt idx="41">
                  <c:v>0.03</c:v>
                </c:pt>
                <c:pt idx="42">
                  <c:v>0</c:v>
                </c:pt>
                <c:pt idx="43">
                  <c:v>0.01</c:v>
                </c:pt>
                <c:pt idx="44">
                  <c:v>0.01</c:v>
                </c:pt>
                <c:pt idx="45">
                  <c:v>0</c:v>
                </c:pt>
                <c:pt idx="46">
                  <c:v>0.02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0.02</c:v>
                </c:pt>
                <c:pt idx="53">
                  <c:v>0.02</c:v>
                </c:pt>
                <c:pt idx="54">
                  <c:v>0</c:v>
                </c:pt>
                <c:pt idx="55">
                  <c:v>0</c:v>
                </c:pt>
                <c:pt idx="56">
                  <c:v>0.03</c:v>
                </c:pt>
                <c:pt idx="57">
                  <c:v>0.03</c:v>
                </c:pt>
                <c:pt idx="58">
                  <c:v>7.0000000000000007E-2</c:v>
                </c:pt>
                <c:pt idx="59">
                  <c:v>0.1</c:v>
                </c:pt>
                <c:pt idx="60">
                  <c:v>0.08</c:v>
                </c:pt>
                <c:pt idx="61">
                  <c:v>0.1</c:v>
                </c:pt>
                <c:pt idx="62">
                  <c:v>7.0000000000000007E-2</c:v>
                </c:pt>
                <c:pt idx="63">
                  <c:v>0.08</c:v>
                </c:pt>
                <c:pt idx="64">
                  <c:v>0.04</c:v>
                </c:pt>
                <c:pt idx="65">
                  <c:v>0.01</c:v>
                </c:pt>
                <c:pt idx="66">
                  <c:v>0.02</c:v>
                </c:pt>
                <c:pt idx="67">
                  <c:v>0</c:v>
                </c:pt>
                <c:pt idx="68">
                  <c:v>0.01</c:v>
                </c:pt>
                <c:pt idx="69">
                  <c:v>0.02</c:v>
                </c:pt>
                <c:pt idx="70">
                  <c:v>0.01</c:v>
                </c:pt>
                <c:pt idx="71">
                  <c:v>0.01</c:v>
                </c:pt>
                <c:pt idx="72">
                  <c:v>0</c:v>
                </c:pt>
                <c:pt idx="73">
                  <c:v>0.01</c:v>
                </c:pt>
                <c:pt idx="74">
                  <c:v>0.03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0.02</c:v>
                </c:pt>
                <c:pt idx="85">
                  <c:v>0.03</c:v>
                </c:pt>
                <c:pt idx="86">
                  <c:v>0.05</c:v>
                </c:pt>
                <c:pt idx="87">
                  <c:v>0.06</c:v>
                </c:pt>
                <c:pt idx="88">
                  <c:v>7.0000000000000007E-2</c:v>
                </c:pt>
                <c:pt idx="89">
                  <c:v>7.0000000000000007E-2</c:v>
                </c:pt>
                <c:pt idx="90">
                  <c:v>0.06</c:v>
                </c:pt>
                <c:pt idx="91">
                  <c:v>0.06</c:v>
                </c:pt>
                <c:pt idx="92">
                  <c:v>7.0000000000000007E-2</c:v>
                </c:pt>
                <c:pt idx="93">
                  <c:v>0.04</c:v>
                </c:pt>
                <c:pt idx="94">
                  <c:v>0.03</c:v>
                </c:pt>
                <c:pt idx="95">
                  <c:v>0.03</c:v>
                </c:pt>
                <c:pt idx="96">
                  <c:v>0.01</c:v>
                </c:pt>
                <c:pt idx="97">
                  <c:v>0.01</c:v>
                </c:pt>
                <c:pt idx="98">
                  <c:v>0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0.02</c:v>
                </c:pt>
                <c:pt idx="103">
                  <c:v>0.01</c:v>
                </c:pt>
                <c:pt idx="104">
                  <c:v>0.01</c:v>
                </c:pt>
                <c:pt idx="105">
                  <c:v>0</c:v>
                </c:pt>
                <c:pt idx="106">
                  <c:v>0.02</c:v>
                </c:pt>
                <c:pt idx="107">
                  <c:v>0.03</c:v>
                </c:pt>
                <c:pt idx="108">
                  <c:v>0.02</c:v>
                </c:pt>
                <c:pt idx="109">
                  <c:v>0.05</c:v>
                </c:pt>
                <c:pt idx="110">
                  <c:v>0</c:v>
                </c:pt>
                <c:pt idx="111">
                  <c:v>0</c:v>
                </c:pt>
                <c:pt idx="112">
                  <c:v>0.01</c:v>
                </c:pt>
                <c:pt idx="113">
                  <c:v>0</c:v>
                </c:pt>
                <c:pt idx="114">
                  <c:v>0</c:v>
                </c:pt>
                <c:pt idx="115">
                  <c:v>0.02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0.02</c:v>
                </c:pt>
                <c:pt idx="122">
                  <c:v>0.05</c:v>
                </c:pt>
                <c:pt idx="123">
                  <c:v>0.05</c:v>
                </c:pt>
                <c:pt idx="124">
                  <c:v>0.06</c:v>
                </c:pt>
                <c:pt idx="125">
                  <c:v>0.02</c:v>
                </c:pt>
                <c:pt idx="126">
                  <c:v>0.05</c:v>
                </c:pt>
                <c:pt idx="127">
                  <c:v>0.09</c:v>
                </c:pt>
                <c:pt idx="128">
                  <c:v>0.12</c:v>
                </c:pt>
                <c:pt idx="129">
                  <c:v>0.05</c:v>
                </c:pt>
                <c:pt idx="130">
                  <c:v>0.04</c:v>
                </c:pt>
                <c:pt idx="131">
                  <c:v>7.0000000000000007E-2</c:v>
                </c:pt>
                <c:pt idx="132">
                  <c:v>0.05</c:v>
                </c:pt>
                <c:pt idx="133">
                  <c:v>0.02</c:v>
                </c:pt>
                <c:pt idx="134">
                  <c:v>0.03</c:v>
                </c:pt>
                <c:pt idx="135">
                  <c:v>0</c:v>
                </c:pt>
                <c:pt idx="136">
                  <c:v>0.01</c:v>
                </c:pt>
                <c:pt idx="137">
                  <c:v>0.02</c:v>
                </c:pt>
                <c:pt idx="138">
                  <c:v>0</c:v>
                </c:pt>
                <c:pt idx="139">
                  <c:v>0.02</c:v>
                </c:pt>
                <c:pt idx="140">
                  <c:v>0.01</c:v>
                </c:pt>
                <c:pt idx="141">
                  <c:v>0</c:v>
                </c:pt>
                <c:pt idx="142">
                  <c:v>0.01</c:v>
                </c:pt>
                <c:pt idx="143">
                  <c:v>0</c:v>
                </c:pt>
                <c:pt idx="144">
                  <c:v>0.01</c:v>
                </c:pt>
                <c:pt idx="145">
                  <c:v>0.01</c:v>
                </c:pt>
                <c:pt idx="146">
                  <c:v>0</c:v>
                </c:pt>
                <c:pt idx="147">
                  <c:v>0.01</c:v>
                </c:pt>
                <c:pt idx="148">
                  <c:v>0</c:v>
                </c:pt>
                <c:pt idx="149">
                  <c:v>0.01</c:v>
                </c:pt>
                <c:pt idx="150">
                  <c:v>0</c:v>
                </c:pt>
                <c:pt idx="151">
                  <c:v>0</c:v>
                </c:pt>
              </c:numCache>
            </c:numRef>
          </c:xVal>
          <c:yVal>
            <c:numRef>
              <c:f>'Full Mobility Curves'!$AT$3:$AT$154</c:f>
              <c:numCache>
                <c:formatCode>General</c:formatCode>
                <c:ptCount val="152"/>
                <c:pt idx="0">
                  <c:v>0.99</c:v>
                </c:pt>
                <c:pt idx="1">
                  <c:v>0.99</c:v>
                </c:pt>
                <c:pt idx="2">
                  <c:v>0.97</c:v>
                </c:pt>
                <c:pt idx="3">
                  <c:v>0.5</c:v>
                </c:pt>
                <c:pt idx="4">
                  <c:v>0.45</c:v>
                </c:pt>
                <c:pt idx="5">
                  <c:v>0.47</c:v>
                </c:pt>
                <c:pt idx="6">
                  <c:v>0.49</c:v>
                </c:pt>
                <c:pt idx="7">
                  <c:v>0.39</c:v>
                </c:pt>
                <c:pt idx="8">
                  <c:v>0.41</c:v>
                </c:pt>
                <c:pt idx="9">
                  <c:v>0.46</c:v>
                </c:pt>
                <c:pt idx="10">
                  <c:v>0.42</c:v>
                </c:pt>
                <c:pt idx="11">
                  <c:v>0.38</c:v>
                </c:pt>
                <c:pt idx="12">
                  <c:v>0.35</c:v>
                </c:pt>
                <c:pt idx="13">
                  <c:v>0.39</c:v>
                </c:pt>
                <c:pt idx="14">
                  <c:v>0.46</c:v>
                </c:pt>
                <c:pt idx="15">
                  <c:v>0.53</c:v>
                </c:pt>
                <c:pt idx="16">
                  <c:v>0.46</c:v>
                </c:pt>
                <c:pt idx="17">
                  <c:v>0.49</c:v>
                </c:pt>
                <c:pt idx="18">
                  <c:v>0.91</c:v>
                </c:pt>
                <c:pt idx="19">
                  <c:v>0.52</c:v>
                </c:pt>
                <c:pt idx="20">
                  <c:v>0.98</c:v>
                </c:pt>
                <c:pt idx="21">
                  <c:v>0.95</c:v>
                </c:pt>
                <c:pt idx="22">
                  <c:v>0.98</c:v>
                </c:pt>
                <c:pt idx="23">
                  <c:v>0.97</c:v>
                </c:pt>
                <c:pt idx="24">
                  <c:v>0.97</c:v>
                </c:pt>
                <c:pt idx="25">
                  <c:v>0.54</c:v>
                </c:pt>
                <c:pt idx="26">
                  <c:v>0.79</c:v>
                </c:pt>
                <c:pt idx="27">
                  <c:v>0.51</c:v>
                </c:pt>
                <c:pt idx="28">
                  <c:v>0.49</c:v>
                </c:pt>
                <c:pt idx="29">
                  <c:v>0.51</c:v>
                </c:pt>
                <c:pt idx="30">
                  <c:v>0.35</c:v>
                </c:pt>
                <c:pt idx="31">
                  <c:v>0.39</c:v>
                </c:pt>
                <c:pt idx="32">
                  <c:v>0.36</c:v>
                </c:pt>
                <c:pt idx="33">
                  <c:v>0.36</c:v>
                </c:pt>
                <c:pt idx="34">
                  <c:v>0.47</c:v>
                </c:pt>
                <c:pt idx="35">
                  <c:v>0.45</c:v>
                </c:pt>
                <c:pt idx="36">
                  <c:v>0.46</c:v>
                </c:pt>
                <c:pt idx="37">
                  <c:v>0.7</c:v>
                </c:pt>
                <c:pt idx="38">
                  <c:v>0.44</c:v>
                </c:pt>
                <c:pt idx="39">
                  <c:v>0.72</c:v>
                </c:pt>
                <c:pt idx="40">
                  <c:v>0.97</c:v>
                </c:pt>
                <c:pt idx="41">
                  <c:v>0.5</c:v>
                </c:pt>
                <c:pt idx="42">
                  <c:v>0.96</c:v>
                </c:pt>
                <c:pt idx="43">
                  <c:v>0.72</c:v>
                </c:pt>
                <c:pt idx="44">
                  <c:v>0.76</c:v>
                </c:pt>
                <c:pt idx="45">
                  <c:v>0.95</c:v>
                </c:pt>
                <c:pt idx="46">
                  <c:v>0.53</c:v>
                </c:pt>
                <c:pt idx="47">
                  <c:v>0.96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0.54</c:v>
                </c:pt>
                <c:pt idx="53">
                  <c:v>0.49</c:v>
                </c:pt>
                <c:pt idx="54">
                  <c:v>0.93</c:v>
                </c:pt>
                <c:pt idx="55">
                  <c:v>0.93</c:v>
                </c:pt>
                <c:pt idx="56">
                  <c:v>0.43</c:v>
                </c:pt>
                <c:pt idx="57">
                  <c:v>0.46</c:v>
                </c:pt>
                <c:pt idx="58">
                  <c:v>0.35</c:v>
                </c:pt>
                <c:pt idx="59">
                  <c:v>0.41</c:v>
                </c:pt>
                <c:pt idx="60">
                  <c:v>0.39</c:v>
                </c:pt>
                <c:pt idx="61">
                  <c:v>0.41</c:v>
                </c:pt>
                <c:pt idx="62">
                  <c:v>0.37</c:v>
                </c:pt>
                <c:pt idx="63">
                  <c:v>0.35</c:v>
                </c:pt>
                <c:pt idx="64">
                  <c:v>0.43</c:v>
                </c:pt>
                <c:pt idx="65">
                  <c:v>0.64</c:v>
                </c:pt>
                <c:pt idx="66">
                  <c:v>0.53</c:v>
                </c:pt>
                <c:pt idx="67">
                  <c:v>0.96</c:v>
                </c:pt>
                <c:pt idx="68">
                  <c:v>0.65</c:v>
                </c:pt>
                <c:pt idx="69">
                  <c:v>0.52</c:v>
                </c:pt>
                <c:pt idx="70">
                  <c:v>0.69</c:v>
                </c:pt>
                <c:pt idx="71">
                  <c:v>0.71</c:v>
                </c:pt>
                <c:pt idx="72">
                  <c:v>0.94</c:v>
                </c:pt>
                <c:pt idx="73">
                  <c:v>0.66</c:v>
                </c:pt>
                <c:pt idx="74">
                  <c:v>0.5</c:v>
                </c:pt>
                <c:pt idx="75">
                  <c:v>0.67</c:v>
                </c:pt>
                <c:pt idx="76">
                  <c:v>0.72</c:v>
                </c:pt>
                <c:pt idx="77">
                  <c:v>0.7</c:v>
                </c:pt>
                <c:pt idx="78">
                  <c:v>0.66</c:v>
                </c:pt>
                <c:pt idx="79">
                  <c:v>0.95</c:v>
                </c:pt>
                <c:pt idx="80">
                  <c:v>0.95</c:v>
                </c:pt>
                <c:pt idx="81">
                  <c:v>0.98</c:v>
                </c:pt>
                <c:pt idx="82">
                  <c:v>0.95</c:v>
                </c:pt>
                <c:pt idx="83">
                  <c:v>0.98</c:v>
                </c:pt>
                <c:pt idx="84">
                  <c:v>0.48</c:v>
                </c:pt>
                <c:pt idx="85">
                  <c:v>0.42</c:v>
                </c:pt>
                <c:pt idx="86">
                  <c:v>0.4</c:v>
                </c:pt>
                <c:pt idx="87">
                  <c:v>0.36</c:v>
                </c:pt>
                <c:pt idx="88">
                  <c:v>0.34</c:v>
                </c:pt>
                <c:pt idx="89">
                  <c:v>0.33</c:v>
                </c:pt>
                <c:pt idx="90">
                  <c:v>0.26</c:v>
                </c:pt>
                <c:pt idx="91">
                  <c:v>0.3</c:v>
                </c:pt>
                <c:pt idx="92">
                  <c:v>0.24</c:v>
                </c:pt>
                <c:pt idx="93">
                  <c:v>0.43</c:v>
                </c:pt>
                <c:pt idx="94">
                  <c:v>0.4</c:v>
                </c:pt>
                <c:pt idx="95">
                  <c:v>0.45</c:v>
                </c:pt>
                <c:pt idx="96">
                  <c:v>0.64</c:v>
                </c:pt>
                <c:pt idx="97">
                  <c:v>0.65</c:v>
                </c:pt>
                <c:pt idx="98">
                  <c:v>0.97</c:v>
                </c:pt>
                <c:pt idx="99">
                  <c:v>0.64</c:v>
                </c:pt>
                <c:pt idx="100">
                  <c:v>0.64</c:v>
                </c:pt>
                <c:pt idx="101">
                  <c:v>0.64</c:v>
                </c:pt>
                <c:pt idx="102">
                  <c:v>0.49</c:v>
                </c:pt>
                <c:pt idx="103">
                  <c:v>0.7</c:v>
                </c:pt>
                <c:pt idx="104">
                  <c:v>0.63</c:v>
                </c:pt>
                <c:pt idx="105">
                  <c:v>0.95</c:v>
                </c:pt>
                <c:pt idx="106">
                  <c:v>0.48</c:v>
                </c:pt>
                <c:pt idx="107">
                  <c:v>0.44</c:v>
                </c:pt>
                <c:pt idx="108">
                  <c:v>0.49</c:v>
                </c:pt>
                <c:pt idx="109">
                  <c:v>0.47</c:v>
                </c:pt>
                <c:pt idx="110">
                  <c:v>0.94</c:v>
                </c:pt>
                <c:pt idx="111">
                  <c:v>0.94</c:v>
                </c:pt>
                <c:pt idx="112">
                  <c:v>0.66</c:v>
                </c:pt>
                <c:pt idx="113">
                  <c:v>0.98</c:v>
                </c:pt>
                <c:pt idx="114">
                  <c:v>0.96</c:v>
                </c:pt>
                <c:pt idx="115">
                  <c:v>0.5</c:v>
                </c:pt>
                <c:pt idx="116">
                  <c:v>0.97</c:v>
                </c:pt>
                <c:pt idx="117">
                  <c:v>0.96</c:v>
                </c:pt>
                <c:pt idx="118">
                  <c:v>0.98</c:v>
                </c:pt>
                <c:pt idx="119">
                  <c:v>0.98</c:v>
                </c:pt>
                <c:pt idx="120">
                  <c:v>0.96</c:v>
                </c:pt>
                <c:pt idx="121">
                  <c:v>0.41</c:v>
                </c:pt>
                <c:pt idx="122">
                  <c:v>0.41</c:v>
                </c:pt>
                <c:pt idx="123">
                  <c:v>0.45</c:v>
                </c:pt>
                <c:pt idx="124">
                  <c:v>0.54</c:v>
                </c:pt>
                <c:pt idx="125">
                  <c:v>0.46</c:v>
                </c:pt>
                <c:pt idx="126">
                  <c:v>0.37</c:v>
                </c:pt>
                <c:pt idx="127">
                  <c:v>0.4</c:v>
                </c:pt>
                <c:pt idx="128">
                  <c:v>0.45</c:v>
                </c:pt>
                <c:pt idx="129">
                  <c:v>0.39</c:v>
                </c:pt>
                <c:pt idx="130">
                  <c:v>0.37</c:v>
                </c:pt>
                <c:pt idx="131">
                  <c:v>0.38</c:v>
                </c:pt>
                <c:pt idx="132">
                  <c:v>0.44</c:v>
                </c:pt>
                <c:pt idx="133">
                  <c:v>0.43</c:v>
                </c:pt>
                <c:pt idx="134">
                  <c:v>0.49</c:v>
                </c:pt>
                <c:pt idx="135">
                  <c:v>0.93</c:v>
                </c:pt>
                <c:pt idx="136">
                  <c:v>0.67</c:v>
                </c:pt>
                <c:pt idx="137">
                  <c:v>0.44</c:v>
                </c:pt>
                <c:pt idx="138">
                  <c:v>0.96</c:v>
                </c:pt>
                <c:pt idx="139">
                  <c:v>0.43</c:v>
                </c:pt>
                <c:pt idx="140">
                  <c:v>0.65</c:v>
                </c:pt>
                <c:pt idx="141">
                  <c:v>0.95</c:v>
                </c:pt>
                <c:pt idx="142">
                  <c:v>0.66</c:v>
                </c:pt>
                <c:pt idx="143">
                  <c:v>0.97</c:v>
                </c:pt>
                <c:pt idx="144">
                  <c:v>0.67</c:v>
                </c:pt>
                <c:pt idx="145">
                  <c:v>0.67</c:v>
                </c:pt>
                <c:pt idx="146">
                  <c:v>0.95</c:v>
                </c:pt>
                <c:pt idx="147">
                  <c:v>0.68</c:v>
                </c:pt>
                <c:pt idx="148">
                  <c:v>0.98</c:v>
                </c:pt>
                <c:pt idx="149">
                  <c:v>0.67</c:v>
                </c:pt>
                <c:pt idx="150">
                  <c:v>0.98</c:v>
                </c:pt>
                <c:pt idx="151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D4-41E8-BC55-0661E811F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29440"/>
        <c:axId val="88619584"/>
      </c:scatterChart>
      <c:valAx>
        <c:axId val="141129440"/>
        <c:scaling>
          <c:orientation val="minMax"/>
          <c:max val="0.16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Population 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9584"/>
        <c:crosses val="autoZero"/>
        <c:crossBetween val="midCat"/>
      </c:valAx>
      <c:valAx>
        <c:axId val="88619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944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'Full data'!$A$4</c:f>
              <c:strCache>
                <c:ptCount val="1"/>
                <c:pt idx="0">
                  <c:v>Average per 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'Full data'!$B$1:$E$2</c:f>
              <c:strCache>
                <c:ptCount val="4"/>
                <c:pt idx="0">
                  <c:v>Know</c:v>
                </c:pt>
                <c:pt idx="1">
                  <c:v>Aware</c:v>
                </c:pt>
                <c:pt idx="2">
                  <c:v>Learn</c:v>
                </c:pt>
                <c:pt idx="3">
                  <c:v>Savings</c:v>
                </c:pt>
              </c:strCache>
            </c:strRef>
          </c:cat>
          <c:val>
            <c:numRef>
              <c:f>'Full data'!$B$4:$E$4</c:f>
              <c:numCache>
                <c:formatCode>General</c:formatCode>
                <c:ptCount val="4"/>
                <c:pt idx="0">
                  <c:v>2.011477089737959</c:v>
                </c:pt>
                <c:pt idx="1">
                  <c:v>1.4913475177304967</c:v>
                </c:pt>
                <c:pt idx="2">
                  <c:v>1.5041734417344175</c:v>
                </c:pt>
                <c:pt idx="3">
                  <c:v>2.5364066457315886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1-4165-989E-F8E702025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563536"/>
        <c:axId val="669577936"/>
      </c:barChart>
      <c:catAx>
        <c:axId val="66956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77936"/>
        <c:crosses val="autoZero"/>
        <c:auto val="1"/>
        <c:lblAlgn val="ctr"/>
        <c:lblOffset val="100"/>
        <c:noMultiLvlLbl val="0"/>
      </c:catAx>
      <c:valAx>
        <c:axId val="66957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6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'Full data'!$G$4</c:f>
              <c:strCache>
                <c:ptCount val="1"/>
                <c:pt idx="0">
                  <c:v>Average per 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'Full data'!$H$1:$K$2</c:f>
              <c:strCache>
                <c:ptCount val="4"/>
                <c:pt idx="0">
                  <c:v>Know</c:v>
                </c:pt>
                <c:pt idx="1">
                  <c:v>Aware</c:v>
                </c:pt>
                <c:pt idx="2">
                  <c:v>Learn</c:v>
                </c:pt>
                <c:pt idx="3">
                  <c:v>Savings</c:v>
                </c:pt>
              </c:strCache>
            </c:strRef>
          </c:cat>
          <c:val>
            <c:numRef>
              <c:f>'Full data'!$H$4:$K$4</c:f>
              <c:numCache>
                <c:formatCode>General</c:formatCode>
                <c:ptCount val="4"/>
                <c:pt idx="0">
                  <c:v>60.179292929292934</c:v>
                </c:pt>
                <c:pt idx="1">
                  <c:v>64.015032834252693</c:v>
                </c:pt>
                <c:pt idx="2">
                  <c:v>56.654701897018974</c:v>
                </c:pt>
                <c:pt idx="3">
                  <c:v>63.975280427683174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3-4A24-B8F6-3C6A14FCF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063152"/>
        <c:axId val="580083312"/>
      </c:barChart>
      <c:catAx>
        <c:axId val="58006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3312"/>
        <c:crosses val="autoZero"/>
        <c:auto val="1"/>
        <c:lblAlgn val="ctr"/>
        <c:lblOffset val="100"/>
        <c:noMultiLvlLbl val="0"/>
      </c:catAx>
      <c:valAx>
        <c:axId val="580083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6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394416607015033E-2"/>
          <c:y val="3.7703439470901212E-2"/>
          <c:w val="0.87448598645449038"/>
          <c:h val="0.71877369191064056"/>
        </c:manualLayout>
      </c:layout>
      <c:scatterChart>
        <c:scatterStyle val="lineMarker"/>
        <c:varyColors val="0"/>
        <c:ser>
          <c:idx val="3"/>
          <c:order val="0"/>
          <c:tx>
            <c:v>Know</c:v>
          </c:tx>
          <c:spPr>
            <a:ln w="28575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Baserun_Full!$A$3:$A$52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Baserun_Full!$H$3:$H$52</c:f>
              <c:numCache>
                <c:formatCode>General</c:formatCode>
                <c:ptCount val="50"/>
                <c:pt idx="0">
                  <c:v>2</c:v>
                </c:pt>
                <c:pt idx="1">
                  <c:v>1.8</c:v>
                </c:pt>
                <c:pt idx="2">
                  <c:v>4.5999999999999996</c:v>
                </c:pt>
                <c:pt idx="3">
                  <c:v>6.6</c:v>
                </c:pt>
                <c:pt idx="4">
                  <c:v>3.6</c:v>
                </c:pt>
                <c:pt idx="5">
                  <c:v>6.8</c:v>
                </c:pt>
                <c:pt idx="6">
                  <c:v>5.8</c:v>
                </c:pt>
                <c:pt idx="7">
                  <c:v>4.2</c:v>
                </c:pt>
                <c:pt idx="8">
                  <c:v>5.4</c:v>
                </c:pt>
                <c:pt idx="9">
                  <c:v>2.8</c:v>
                </c:pt>
                <c:pt idx="10">
                  <c:v>2.6</c:v>
                </c:pt>
                <c:pt idx="11">
                  <c:v>1.2</c:v>
                </c:pt>
                <c:pt idx="12">
                  <c:v>1</c:v>
                </c:pt>
                <c:pt idx="13">
                  <c:v>2.8</c:v>
                </c:pt>
                <c:pt idx="14">
                  <c:v>2</c:v>
                </c:pt>
                <c:pt idx="15">
                  <c:v>1.2</c:v>
                </c:pt>
                <c:pt idx="16">
                  <c:v>0.4</c:v>
                </c:pt>
                <c:pt idx="17">
                  <c:v>0.2</c:v>
                </c:pt>
                <c:pt idx="18">
                  <c:v>0.8</c:v>
                </c:pt>
                <c:pt idx="19">
                  <c:v>0.4</c:v>
                </c:pt>
                <c:pt idx="20">
                  <c:v>0.6</c:v>
                </c:pt>
                <c:pt idx="21">
                  <c:v>1</c:v>
                </c:pt>
                <c:pt idx="22">
                  <c:v>0.4</c:v>
                </c:pt>
                <c:pt idx="23">
                  <c:v>1</c:v>
                </c:pt>
                <c:pt idx="24">
                  <c:v>0.4</c:v>
                </c:pt>
                <c:pt idx="25">
                  <c:v>0.8</c:v>
                </c:pt>
                <c:pt idx="26">
                  <c:v>1</c:v>
                </c:pt>
                <c:pt idx="27">
                  <c:v>0.2</c:v>
                </c:pt>
                <c:pt idx="28">
                  <c:v>0.4</c:v>
                </c:pt>
                <c:pt idx="29">
                  <c:v>0.4</c:v>
                </c:pt>
                <c:pt idx="30">
                  <c:v>0.2</c:v>
                </c:pt>
                <c:pt idx="31">
                  <c:v>0.4</c:v>
                </c:pt>
                <c:pt idx="32">
                  <c:v>0.2</c:v>
                </c:pt>
                <c:pt idx="33">
                  <c:v>0</c:v>
                </c:pt>
                <c:pt idx="34">
                  <c:v>0.6</c:v>
                </c:pt>
                <c:pt idx="35">
                  <c:v>0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864-4031-86F2-485076D18358}"/>
            </c:ext>
          </c:extLst>
        </c:ser>
        <c:ser>
          <c:idx val="4"/>
          <c:order val="1"/>
          <c:tx>
            <c:v>Aware</c:v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Aware_Full!$A$3:$A$52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Aware_Full!$H$3:$H$52</c:f>
              <c:numCache>
                <c:formatCode>General</c:formatCode>
                <c:ptCount val="50"/>
                <c:pt idx="0">
                  <c:v>2</c:v>
                </c:pt>
                <c:pt idx="1">
                  <c:v>1.4</c:v>
                </c:pt>
                <c:pt idx="2">
                  <c:v>2.4</c:v>
                </c:pt>
                <c:pt idx="3">
                  <c:v>4.2</c:v>
                </c:pt>
                <c:pt idx="4">
                  <c:v>1</c:v>
                </c:pt>
                <c:pt idx="5">
                  <c:v>2.8</c:v>
                </c:pt>
                <c:pt idx="6">
                  <c:v>2.6</c:v>
                </c:pt>
                <c:pt idx="7">
                  <c:v>3.2</c:v>
                </c:pt>
                <c:pt idx="8">
                  <c:v>6</c:v>
                </c:pt>
                <c:pt idx="9">
                  <c:v>4.5999999999999996</c:v>
                </c:pt>
                <c:pt idx="10">
                  <c:v>2.6</c:v>
                </c:pt>
                <c:pt idx="11">
                  <c:v>2.4</c:v>
                </c:pt>
                <c:pt idx="12">
                  <c:v>2.2000000000000002</c:v>
                </c:pt>
                <c:pt idx="13">
                  <c:v>2</c:v>
                </c:pt>
                <c:pt idx="14">
                  <c:v>1.8</c:v>
                </c:pt>
                <c:pt idx="15">
                  <c:v>1.6</c:v>
                </c:pt>
                <c:pt idx="16">
                  <c:v>2.8</c:v>
                </c:pt>
                <c:pt idx="17">
                  <c:v>0.2</c:v>
                </c:pt>
                <c:pt idx="18">
                  <c:v>0</c:v>
                </c:pt>
                <c:pt idx="19">
                  <c:v>0.4</c:v>
                </c:pt>
                <c:pt idx="20">
                  <c:v>0.2</c:v>
                </c:pt>
                <c:pt idx="21">
                  <c:v>0.6</c:v>
                </c:pt>
                <c:pt idx="22">
                  <c:v>1.8</c:v>
                </c:pt>
                <c:pt idx="23">
                  <c:v>0.4</c:v>
                </c:pt>
                <c:pt idx="24">
                  <c:v>1.2</c:v>
                </c:pt>
                <c:pt idx="25">
                  <c:v>1.2</c:v>
                </c:pt>
                <c:pt idx="26">
                  <c:v>0.4</c:v>
                </c:pt>
                <c:pt idx="27">
                  <c:v>1.4</c:v>
                </c:pt>
                <c:pt idx="28">
                  <c:v>0.2</c:v>
                </c:pt>
                <c:pt idx="29">
                  <c:v>0.8</c:v>
                </c:pt>
                <c:pt idx="30">
                  <c:v>1.2</c:v>
                </c:pt>
                <c:pt idx="31">
                  <c:v>1.4</c:v>
                </c:pt>
                <c:pt idx="32">
                  <c:v>2</c:v>
                </c:pt>
                <c:pt idx="33">
                  <c:v>0.6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0.6</c:v>
                </c:pt>
                <c:pt idx="38">
                  <c:v>1.2</c:v>
                </c:pt>
                <c:pt idx="39">
                  <c:v>1.4</c:v>
                </c:pt>
                <c:pt idx="40">
                  <c:v>1.2</c:v>
                </c:pt>
                <c:pt idx="41">
                  <c:v>1.2</c:v>
                </c:pt>
                <c:pt idx="42">
                  <c:v>0.2</c:v>
                </c:pt>
                <c:pt idx="43">
                  <c:v>0</c:v>
                </c:pt>
                <c:pt idx="44">
                  <c:v>0.2</c:v>
                </c:pt>
                <c:pt idx="45">
                  <c:v>0.2</c:v>
                </c:pt>
                <c:pt idx="46">
                  <c:v>0</c:v>
                </c:pt>
                <c:pt idx="47">
                  <c:v>0.4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864-4031-86F2-485076D18358}"/>
            </c:ext>
          </c:extLst>
        </c:ser>
        <c:ser>
          <c:idx val="5"/>
          <c:order val="2"/>
          <c:tx>
            <c:v>Learn</c:v>
          </c:tx>
          <c:spPr>
            <a:ln w="28575" cap="rnd">
              <a:solidFill>
                <a:schemeClr val="accent4">
                  <a:lumMod val="75000"/>
                </a:schemeClr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Learn_Full!$A$3:$A$52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Learn_Full!$H$3:$H$52</c:f>
              <c:numCache>
                <c:formatCode>General</c:formatCode>
                <c:ptCount val="50"/>
                <c:pt idx="0">
                  <c:v>2</c:v>
                </c:pt>
                <c:pt idx="1">
                  <c:v>0.8</c:v>
                </c:pt>
                <c:pt idx="2">
                  <c:v>2.4</c:v>
                </c:pt>
                <c:pt idx="3">
                  <c:v>5</c:v>
                </c:pt>
                <c:pt idx="4">
                  <c:v>1.6</c:v>
                </c:pt>
                <c:pt idx="5">
                  <c:v>4</c:v>
                </c:pt>
                <c:pt idx="6">
                  <c:v>2.4</c:v>
                </c:pt>
                <c:pt idx="7">
                  <c:v>2.4</c:v>
                </c:pt>
                <c:pt idx="8">
                  <c:v>4.4000000000000004</c:v>
                </c:pt>
                <c:pt idx="9">
                  <c:v>4.5999999999999996</c:v>
                </c:pt>
                <c:pt idx="10">
                  <c:v>4.8</c:v>
                </c:pt>
                <c:pt idx="11">
                  <c:v>3.6</c:v>
                </c:pt>
                <c:pt idx="12">
                  <c:v>0.6</c:v>
                </c:pt>
                <c:pt idx="13">
                  <c:v>0.4</c:v>
                </c:pt>
                <c:pt idx="14">
                  <c:v>1</c:v>
                </c:pt>
                <c:pt idx="15">
                  <c:v>1.4</c:v>
                </c:pt>
                <c:pt idx="16">
                  <c:v>1.6</c:v>
                </c:pt>
                <c:pt idx="17">
                  <c:v>1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0.6</c:v>
                </c:pt>
                <c:pt idx="22">
                  <c:v>2</c:v>
                </c:pt>
                <c:pt idx="23">
                  <c:v>0.4</c:v>
                </c:pt>
                <c:pt idx="24">
                  <c:v>0.4</c:v>
                </c:pt>
                <c:pt idx="25">
                  <c:v>1.8</c:v>
                </c:pt>
                <c:pt idx="26">
                  <c:v>0.4</c:v>
                </c:pt>
                <c:pt idx="27">
                  <c:v>1.2</c:v>
                </c:pt>
                <c:pt idx="28">
                  <c:v>2</c:v>
                </c:pt>
                <c:pt idx="29">
                  <c:v>0.4</c:v>
                </c:pt>
                <c:pt idx="30">
                  <c:v>1.2</c:v>
                </c:pt>
                <c:pt idx="31">
                  <c:v>1.6</c:v>
                </c:pt>
                <c:pt idx="32">
                  <c:v>0.4</c:v>
                </c:pt>
                <c:pt idx="33">
                  <c:v>1</c:v>
                </c:pt>
                <c:pt idx="34">
                  <c:v>0.4</c:v>
                </c:pt>
                <c:pt idx="35">
                  <c:v>0.6</c:v>
                </c:pt>
                <c:pt idx="36">
                  <c:v>2</c:v>
                </c:pt>
                <c:pt idx="37">
                  <c:v>0</c:v>
                </c:pt>
                <c:pt idx="38">
                  <c:v>1.4</c:v>
                </c:pt>
                <c:pt idx="39">
                  <c:v>0.6</c:v>
                </c:pt>
                <c:pt idx="40">
                  <c:v>0.4</c:v>
                </c:pt>
                <c:pt idx="41">
                  <c:v>1</c:v>
                </c:pt>
                <c:pt idx="42">
                  <c:v>0</c:v>
                </c:pt>
                <c:pt idx="43">
                  <c:v>0.2</c:v>
                </c:pt>
                <c:pt idx="44">
                  <c:v>0.2</c:v>
                </c:pt>
                <c:pt idx="45">
                  <c:v>0</c:v>
                </c:pt>
                <c:pt idx="46">
                  <c:v>0.6</c:v>
                </c:pt>
                <c:pt idx="47">
                  <c:v>0.4</c:v>
                </c:pt>
                <c:pt idx="48">
                  <c:v>0.8</c:v>
                </c:pt>
                <c:pt idx="49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864-4031-86F2-485076D18358}"/>
            </c:ext>
          </c:extLst>
        </c:ser>
        <c:ser>
          <c:idx val="1"/>
          <c:order val="3"/>
          <c:tx>
            <c:v>Savings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Rich_Full!$A$3:$A$52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Rich_Full!$H$3:$H$52</c:f>
              <c:numCache>
                <c:formatCode>General</c:formatCode>
                <c:ptCount val="50"/>
                <c:pt idx="0">
                  <c:v>2</c:v>
                </c:pt>
                <c:pt idx="1">
                  <c:v>2.8</c:v>
                </c:pt>
                <c:pt idx="2">
                  <c:v>3.2</c:v>
                </c:pt>
                <c:pt idx="3">
                  <c:v>4</c:v>
                </c:pt>
                <c:pt idx="4">
                  <c:v>4.4000000000000004</c:v>
                </c:pt>
                <c:pt idx="5">
                  <c:v>5.6</c:v>
                </c:pt>
                <c:pt idx="6">
                  <c:v>8</c:v>
                </c:pt>
                <c:pt idx="7">
                  <c:v>7.6</c:v>
                </c:pt>
                <c:pt idx="8">
                  <c:v>7.2</c:v>
                </c:pt>
                <c:pt idx="9">
                  <c:v>6.2</c:v>
                </c:pt>
                <c:pt idx="10">
                  <c:v>6.4</c:v>
                </c:pt>
                <c:pt idx="11">
                  <c:v>5.6</c:v>
                </c:pt>
                <c:pt idx="12">
                  <c:v>2</c:v>
                </c:pt>
                <c:pt idx="13">
                  <c:v>2.4</c:v>
                </c:pt>
                <c:pt idx="14">
                  <c:v>1</c:v>
                </c:pt>
                <c:pt idx="15">
                  <c:v>0.4</c:v>
                </c:pt>
                <c:pt idx="16">
                  <c:v>2.2000000000000002</c:v>
                </c:pt>
                <c:pt idx="17">
                  <c:v>0.6</c:v>
                </c:pt>
                <c:pt idx="18">
                  <c:v>1.2</c:v>
                </c:pt>
                <c:pt idx="19">
                  <c:v>0.8</c:v>
                </c:pt>
                <c:pt idx="20">
                  <c:v>0.2</c:v>
                </c:pt>
                <c:pt idx="21">
                  <c:v>0.8</c:v>
                </c:pt>
                <c:pt idx="22">
                  <c:v>1</c:v>
                </c:pt>
                <c:pt idx="23">
                  <c:v>1</c:v>
                </c:pt>
                <c:pt idx="24">
                  <c:v>0.8</c:v>
                </c:pt>
                <c:pt idx="25">
                  <c:v>1.2</c:v>
                </c:pt>
                <c:pt idx="26">
                  <c:v>0.4</c:v>
                </c:pt>
                <c:pt idx="27">
                  <c:v>0</c:v>
                </c:pt>
                <c:pt idx="28">
                  <c:v>0.4</c:v>
                </c:pt>
                <c:pt idx="29">
                  <c:v>0</c:v>
                </c:pt>
                <c:pt idx="30">
                  <c:v>0</c:v>
                </c:pt>
                <c:pt idx="31">
                  <c:v>0.4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864-4031-86F2-485076D18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700160"/>
        <c:axId val="378696800"/>
      </c:scatterChart>
      <c:valAx>
        <c:axId val="378700160"/>
        <c:scaling>
          <c:orientation val="minMax"/>
          <c:max val="50"/>
        </c:scaling>
        <c:delete val="0"/>
        <c:axPos val="b"/>
        <c:majorGridlines/>
        <c:title>
          <c:tx>
            <c:rich>
              <a:bodyPr/>
              <a:lstStyle/>
              <a:p>
                <a:pPr algn="ctr" rtl="0">
                  <a:def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lang="en-US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96800"/>
        <c:crosses val="autoZero"/>
        <c:crossBetween val="midCat"/>
      </c:valAx>
      <c:valAx>
        <c:axId val="37869680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 algn="ctr">
                  <a:defRPr lang="en-US"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New infection</a:t>
                </a:r>
              </a:p>
            </c:rich>
          </c:tx>
          <c:layout>
            <c:manualLayout>
              <c:xMode val="edge"/>
              <c:yMode val="edge"/>
              <c:x val="1.0242624556627101E-2"/>
              <c:y val="0.2758585156321578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 algn="ctr" rtl="0">
              <a:defRPr lang="en-US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00160"/>
        <c:crosses val="autoZero"/>
        <c:crossBetween val="midCat"/>
        <c:majorUnit val="2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lang="en-US"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6350">
      <a:solidFill>
        <a:schemeClr val="tx1"/>
      </a:solidFill>
    </a:ln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'Full data infectious details'!$W$3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'Full data infectious details'!$V$4:$V$53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'Full data infectious details'!$W$4:$W$53</c:f>
              <c:numCache>
                <c:formatCode>General</c:formatCode>
                <c:ptCount val="50"/>
                <c:pt idx="0">
                  <c:v>2</c:v>
                </c:pt>
                <c:pt idx="1">
                  <c:v>0</c:v>
                </c:pt>
                <c:pt idx="2">
                  <c:v>1.5</c:v>
                </c:pt>
                <c:pt idx="3">
                  <c:v>3.5</c:v>
                </c:pt>
                <c:pt idx="4">
                  <c:v>0.5</c:v>
                </c:pt>
                <c:pt idx="5">
                  <c:v>1</c:v>
                </c:pt>
                <c:pt idx="6">
                  <c:v>2</c:v>
                </c:pt>
                <c:pt idx="7">
                  <c:v>2.5</c:v>
                </c:pt>
                <c:pt idx="8">
                  <c:v>3.5</c:v>
                </c:pt>
                <c:pt idx="9">
                  <c:v>2</c:v>
                </c:pt>
                <c:pt idx="10">
                  <c:v>2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F9-425C-9413-52CF6B84D439}"/>
            </c:ext>
          </c:extLst>
        </c:ser>
        <c:ser>
          <c:idx val="1"/>
          <c:order val="1"/>
          <c:tx>
            <c:strRef>
              <c:f>'Full data infectious details'!$X$3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'Full data infectious details'!$V$4:$V$53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'Full data infectious details'!$X$4:$X$53</c:f>
              <c:numCache>
                <c:formatCode>General</c:formatCode>
                <c:ptCount val="50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F9-425C-9413-52CF6B84D439}"/>
            </c:ext>
          </c:extLst>
        </c:ser>
        <c:ser>
          <c:idx val="2"/>
          <c:order val="2"/>
          <c:tx>
            <c:strRef>
              <c:f>'Full data infectious details'!$Y$3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'Full data infectious details'!$V$4:$V$53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'Full data infectious details'!$Y$4:$Y$53</c:f>
              <c:numCache>
                <c:formatCode>General</c:formatCode>
                <c:ptCount val="5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6.5</c:v>
                </c:pt>
                <c:pt idx="4">
                  <c:v>3</c:v>
                </c:pt>
                <c:pt idx="5">
                  <c:v>7.5</c:v>
                </c:pt>
                <c:pt idx="6">
                  <c:v>5</c:v>
                </c:pt>
                <c:pt idx="7">
                  <c:v>4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2.5</c:v>
                </c:pt>
                <c:pt idx="14">
                  <c:v>2.5</c:v>
                </c:pt>
                <c:pt idx="15">
                  <c:v>2</c:v>
                </c:pt>
                <c:pt idx="16">
                  <c:v>1.5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0.5</c:v>
                </c:pt>
                <c:pt idx="21">
                  <c:v>1</c:v>
                </c:pt>
                <c:pt idx="22">
                  <c:v>2.5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1.5</c:v>
                </c:pt>
                <c:pt idx="28">
                  <c:v>0.5</c:v>
                </c:pt>
                <c:pt idx="29">
                  <c:v>1</c:v>
                </c:pt>
                <c:pt idx="30">
                  <c:v>1.5</c:v>
                </c:pt>
                <c:pt idx="31">
                  <c:v>2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0.5</c:v>
                </c:pt>
                <c:pt idx="37">
                  <c:v>0.5</c:v>
                </c:pt>
                <c:pt idx="38">
                  <c:v>1</c:v>
                </c:pt>
                <c:pt idx="39">
                  <c:v>0.5</c:v>
                </c:pt>
                <c:pt idx="40">
                  <c:v>0.5</c:v>
                </c:pt>
                <c:pt idx="41">
                  <c:v>1.5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F9-425C-9413-52CF6B84D439}"/>
            </c:ext>
          </c:extLst>
        </c:ser>
        <c:ser>
          <c:idx val="3"/>
          <c:order val="3"/>
          <c:tx>
            <c:v>Rich</c:v>
          </c:tx>
          <c:spPr>
            <a:ln w="381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Rich_Full!$A$3:$A$52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Rich_Full!$H$3:$H$52</c:f>
              <c:numCache>
                <c:formatCode>General</c:formatCode>
                <c:ptCount val="50"/>
                <c:pt idx="0">
                  <c:v>2</c:v>
                </c:pt>
                <c:pt idx="1">
                  <c:v>2.8</c:v>
                </c:pt>
                <c:pt idx="2">
                  <c:v>3.2</c:v>
                </c:pt>
                <c:pt idx="3">
                  <c:v>4</c:v>
                </c:pt>
                <c:pt idx="4">
                  <c:v>4.4000000000000004</c:v>
                </c:pt>
                <c:pt idx="5">
                  <c:v>5.6</c:v>
                </c:pt>
                <c:pt idx="6">
                  <c:v>8</c:v>
                </c:pt>
                <c:pt idx="7">
                  <c:v>7.6</c:v>
                </c:pt>
                <c:pt idx="8">
                  <c:v>7.2</c:v>
                </c:pt>
                <c:pt idx="9">
                  <c:v>6.2</c:v>
                </c:pt>
                <c:pt idx="10">
                  <c:v>6.4</c:v>
                </c:pt>
                <c:pt idx="11">
                  <c:v>5.6</c:v>
                </c:pt>
                <c:pt idx="12">
                  <c:v>2</c:v>
                </c:pt>
                <c:pt idx="13">
                  <c:v>2.4</c:v>
                </c:pt>
                <c:pt idx="14">
                  <c:v>1</c:v>
                </c:pt>
                <c:pt idx="15">
                  <c:v>0.4</c:v>
                </c:pt>
                <c:pt idx="16">
                  <c:v>2.2000000000000002</c:v>
                </c:pt>
                <c:pt idx="17">
                  <c:v>0.6</c:v>
                </c:pt>
                <c:pt idx="18">
                  <c:v>1.2</c:v>
                </c:pt>
                <c:pt idx="19">
                  <c:v>0.8</c:v>
                </c:pt>
                <c:pt idx="20">
                  <c:v>0.2</c:v>
                </c:pt>
                <c:pt idx="21">
                  <c:v>0.8</c:v>
                </c:pt>
                <c:pt idx="22">
                  <c:v>1</c:v>
                </c:pt>
                <c:pt idx="23">
                  <c:v>1</c:v>
                </c:pt>
                <c:pt idx="24">
                  <c:v>0.8</c:v>
                </c:pt>
                <c:pt idx="25">
                  <c:v>1.2</c:v>
                </c:pt>
                <c:pt idx="26">
                  <c:v>0.4</c:v>
                </c:pt>
                <c:pt idx="27">
                  <c:v>0</c:v>
                </c:pt>
                <c:pt idx="28">
                  <c:v>0.4</c:v>
                </c:pt>
                <c:pt idx="29">
                  <c:v>0</c:v>
                </c:pt>
                <c:pt idx="30">
                  <c:v>0</c:v>
                </c:pt>
                <c:pt idx="31">
                  <c:v>0.4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2F9-425C-9413-52CF6B84D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085232"/>
        <c:axId val="580064112"/>
      </c:scatterChart>
      <c:valAx>
        <c:axId val="58008523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64112"/>
        <c:crosses val="autoZero"/>
        <c:crossBetween val="midCat"/>
      </c:valAx>
      <c:valAx>
        <c:axId val="58006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New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strRef>
              <c:f>'Full data mobility detail'!$W$3</c:f>
              <c:strCache>
                <c:ptCount val="1"/>
                <c:pt idx="0">
                  <c:v>Min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'Full data mobility detail'!$V$4:$V$53</c:f>
              <c:numCache>
                <c:formatCode>General</c:formatCode>
                <c:ptCount val="50"/>
              </c:numCache>
            </c:numRef>
          </c:xVal>
          <c:yVal>
            <c:numRef>
              <c:f>'Full data mobility detail'!$W$4:$W$53</c:f>
              <c:numCache>
                <c:formatCode>General</c:formatCode>
                <c:ptCount val="50"/>
                <c:pt idx="0">
                  <c:v>100</c:v>
                </c:pt>
                <c:pt idx="1">
                  <c:v>99.5</c:v>
                </c:pt>
                <c:pt idx="2">
                  <c:v>99</c:v>
                </c:pt>
                <c:pt idx="3">
                  <c:v>99</c:v>
                </c:pt>
                <c:pt idx="4">
                  <c:v>19.5</c:v>
                </c:pt>
                <c:pt idx="5">
                  <c:v>30.5</c:v>
                </c:pt>
                <c:pt idx="6">
                  <c:v>20</c:v>
                </c:pt>
                <c:pt idx="7">
                  <c:v>14</c:v>
                </c:pt>
                <c:pt idx="8">
                  <c:v>25</c:v>
                </c:pt>
                <c:pt idx="9">
                  <c:v>17.5</c:v>
                </c:pt>
                <c:pt idx="10">
                  <c:v>19</c:v>
                </c:pt>
                <c:pt idx="11">
                  <c:v>18</c:v>
                </c:pt>
                <c:pt idx="12">
                  <c:v>14.5</c:v>
                </c:pt>
                <c:pt idx="13">
                  <c:v>14.5</c:v>
                </c:pt>
                <c:pt idx="14">
                  <c:v>15</c:v>
                </c:pt>
                <c:pt idx="15">
                  <c:v>21.5</c:v>
                </c:pt>
                <c:pt idx="16">
                  <c:v>28.5</c:v>
                </c:pt>
                <c:pt idx="17">
                  <c:v>30.5</c:v>
                </c:pt>
                <c:pt idx="18">
                  <c:v>38</c:v>
                </c:pt>
                <c:pt idx="19">
                  <c:v>24</c:v>
                </c:pt>
                <c:pt idx="20">
                  <c:v>22.5</c:v>
                </c:pt>
                <c:pt idx="21">
                  <c:v>51.5</c:v>
                </c:pt>
                <c:pt idx="22">
                  <c:v>95.5</c:v>
                </c:pt>
                <c:pt idx="23">
                  <c:v>60.5</c:v>
                </c:pt>
                <c:pt idx="24">
                  <c:v>80</c:v>
                </c:pt>
                <c:pt idx="25">
                  <c:v>46.5</c:v>
                </c:pt>
                <c:pt idx="26">
                  <c:v>30.5</c:v>
                </c:pt>
                <c:pt idx="27">
                  <c:v>58.5</c:v>
                </c:pt>
                <c:pt idx="28">
                  <c:v>32</c:v>
                </c:pt>
                <c:pt idx="29">
                  <c:v>28.5</c:v>
                </c:pt>
                <c:pt idx="30">
                  <c:v>36</c:v>
                </c:pt>
                <c:pt idx="31">
                  <c:v>36</c:v>
                </c:pt>
                <c:pt idx="32">
                  <c:v>74.5</c:v>
                </c:pt>
                <c:pt idx="33">
                  <c:v>38.5</c:v>
                </c:pt>
                <c:pt idx="34">
                  <c:v>42</c:v>
                </c:pt>
                <c:pt idx="35">
                  <c:v>31.5</c:v>
                </c:pt>
                <c:pt idx="36">
                  <c:v>40.5</c:v>
                </c:pt>
                <c:pt idx="37">
                  <c:v>96.5</c:v>
                </c:pt>
                <c:pt idx="38">
                  <c:v>97.5</c:v>
                </c:pt>
                <c:pt idx="39">
                  <c:v>98</c:v>
                </c:pt>
                <c:pt idx="40">
                  <c:v>74.5</c:v>
                </c:pt>
                <c:pt idx="41">
                  <c:v>78</c:v>
                </c:pt>
                <c:pt idx="42">
                  <c:v>40</c:v>
                </c:pt>
                <c:pt idx="43">
                  <c:v>71.5</c:v>
                </c:pt>
                <c:pt idx="44">
                  <c:v>80</c:v>
                </c:pt>
                <c:pt idx="45">
                  <c:v>42</c:v>
                </c:pt>
                <c:pt idx="46">
                  <c:v>99.5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50-4E49-9C65-082CCE45A66B}"/>
            </c:ext>
          </c:extLst>
        </c:ser>
        <c:ser>
          <c:idx val="4"/>
          <c:order val="1"/>
          <c:tx>
            <c:strRef>
              <c:f>'Full data mobility detail'!$X$3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'Full data mobility detail'!$V$4:$V$53</c:f>
              <c:numCache>
                <c:formatCode>General</c:formatCode>
                <c:ptCount val="50"/>
              </c:numCache>
            </c:numRef>
          </c:xVal>
          <c:yVal>
            <c:numRef>
              <c:f>'Full data mobility detail'!$X$4:$X$53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30</c:v>
                </c:pt>
                <c:pt idx="5">
                  <c:v>42</c:v>
                </c:pt>
                <c:pt idx="6">
                  <c:v>28</c:v>
                </c:pt>
                <c:pt idx="7">
                  <c:v>25</c:v>
                </c:pt>
                <c:pt idx="8">
                  <c:v>32</c:v>
                </c:pt>
                <c:pt idx="9">
                  <c:v>23</c:v>
                </c:pt>
                <c:pt idx="10">
                  <c:v>27</c:v>
                </c:pt>
                <c:pt idx="11">
                  <c:v>23</c:v>
                </c:pt>
                <c:pt idx="12">
                  <c:v>20</c:v>
                </c:pt>
                <c:pt idx="13">
                  <c:v>23</c:v>
                </c:pt>
                <c:pt idx="14">
                  <c:v>28</c:v>
                </c:pt>
                <c:pt idx="15">
                  <c:v>28</c:v>
                </c:pt>
                <c:pt idx="16">
                  <c:v>45</c:v>
                </c:pt>
                <c:pt idx="17">
                  <c:v>35</c:v>
                </c:pt>
                <c:pt idx="18">
                  <c:v>52</c:v>
                </c:pt>
                <c:pt idx="19">
                  <c:v>48</c:v>
                </c:pt>
                <c:pt idx="20">
                  <c:v>53</c:v>
                </c:pt>
                <c:pt idx="21">
                  <c:v>98</c:v>
                </c:pt>
                <c:pt idx="22">
                  <c:v>98</c:v>
                </c:pt>
                <c:pt idx="23">
                  <c:v>98</c:v>
                </c:pt>
                <c:pt idx="24">
                  <c:v>99</c:v>
                </c:pt>
                <c:pt idx="25">
                  <c:v>98</c:v>
                </c:pt>
                <c:pt idx="26">
                  <c:v>96</c:v>
                </c:pt>
                <c:pt idx="27">
                  <c:v>96</c:v>
                </c:pt>
                <c:pt idx="28">
                  <c:v>97</c:v>
                </c:pt>
                <c:pt idx="29">
                  <c:v>98</c:v>
                </c:pt>
                <c:pt idx="30">
                  <c:v>97</c:v>
                </c:pt>
                <c:pt idx="31">
                  <c:v>97</c:v>
                </c:pt>
                <c:pt idx="32">
                  <c:v>98</c:v>
                </c:pt>
                <c:pt idx="33">
                  <c:v>97</c:v>
                </c:pt>
                <c:pt idx="34">
                  <c:v>98</c:v>
                </c:pt>
                <c:pt idx="35">
                  <c:v>98</c:v>
                </c:pt>
                <c:pt idx="36">
                  <c:v>93</c:v>
                </c:pt>
                <c:pt idx="37">
                  <c:v>99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59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550-4E49-9C65-082CCE45A66B}"/>
            </c:ext>
          </c:extLst>
        </c:ser>
        <c:ser>
          <c:idx val="5"/>
          <c:order val="2"/>
          <c:tx>
            <c:strRef>
              <c:f>'Full data mobility detail'!$Y$3</c:f>
              <c:strCache>
                <c:ptCount val="1"/>
                <c:pt idx="0">
                  <c:v>Max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'Full data mobility detail'!$V$4:$V$53</c:f>
              <c:numCache>
                <c:formatCode>General</c:formatCode>
                <c:ptCount val="50"/>
              </c:numCache>
            </c:numRef>
          </c:xVal>
          <c:yVal>
            <c:numRef>
              <c:f>'Full data mobility detail'!$Y$4:$Y$53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35.5</c:v>
                </c:pt>
                <c:pt idx="5">
                  <c:v>97.5</c:v>
                </c:pt>
                <c:pt idx="6">
                  <c:v>35.5</c:v>
                </c:pt>
                <c:pt idx="7">
                  <c:v>30</c:v>
                </c:pt>
                <c:pt idx="8">
                  <c:v>72.5</c:v>
                </c:pt>
                <c:pt idx="9">
                  <c:v>51.5</c:v>
                </c:pt>
                <c:pt idx="10">
                  <c:v>41.5</c:v>
                </c:pt>
                <c:pt idx="11">
                  <c:v>25.5</c:v>
                </c:pt>
                <c:pt idx="12">
                  <c:v>23</c:v>
                </c:pt>
                <c:pt idx="13">
                  <c:v>26.5</c:v>
                </c:pt>
                <c:pt idx="14">
                  <c:v>33</c:v>
                </c:pt>
                <c:pt idx="15">
                  <c:v>76</c:v>
                </c:pt>
                <c:pt idx="16">
                  <c:v>97</c:v>
                </c:pt>
                <c:pt idx="17">
                  <c:v>99</c:v>
                </c:pt>
                <c:pt idx="18">
                  <c:v>98.5</c:v>
                </c:pt>
                <c:pt idx="19">
                  <c:v>77</c:v>
                </c:pt>
                <c:pt idx="20">
                  <c:v>98.5</c:v>
                </c:pt>
                <c:pt idx="21">
                  <c:v>99</c:v>
                </c:pt>
                <c:pt idx="22">
                  <c:v>99.5</c:v>
                </c:pt>
                <c:pt idx="23">
                  <c:v>100</c:v>
                </c:pt>
                <c:pt idx="24">
                  <c:v>100</c:v>
                </c:pt>
                <c:pt idx="25">
                  <c:v>99</c:v>
                </c:pt>
                <c:pt idx="26">
                  <c:v>99</c:v>
                </c:pt>
                <c:pt idx="27">
                  <c:v>100</c:v>
                </c:pt>
                <c:pt idx="28">
                  <c:v>99.5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99.5</c:v>
                </c:pt>
                <c:pt idx="33">
                  <c:v>100</c:v>
                </c:pt>
                <c:pt idx="34">
                  <c:v>99.5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550-4E49-9C65-082CCE45A66B}"/>
            </c:ext>
          </c:extLst>
        </c:ser>
        <c:ser>
          <c:idx val="6"/>
          <c:order val="3"/>
          <c:tx>
            <c:v>Rich</c:v>
          </c:tx>
          <c:spPr>
            <a:ln w="3810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Rich_Full!$K$3:$K$52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Rich_Full!$R$3:$R$52</c:f>
              <c:numCache>
                <c:formatCode>General</c:formatCode>
                <c:ptCount val="50"/>
                <c:pt idx="0">
                  <c:v>100</c:v>
                </c:pt>
                <c:pt idx="1">
                  <c:v>97.6</c:v>
                </c:pt>
                <c:pt idx="2">
                  <c:v>96.8</c:v>
                </c:pt>
                <c:pt idx="3">
                  <c:v>96.6</c:v>
                </c:pt>
                <c:pt idx="4">
                  <c:v>49.4</c:v>
                </c:pt>
                <c:pt idx="5">
                  <c:v>51.2</c:v>
                </c:pt>
                <c:pt idx="6">
                  <c:v>55.2</c:v>
                </c:pt>
                <c:pt idx="7">
                  <c:v>56.2</c:v>
                </c:pt>
                <c:pt idx="8">
                  <c:v>42.6</c:v>
                </c:pt>
                <c:pt idx="9">
                  <c:v>38.4</c:v>
                </c:pt>
                <c:pt idx="10">
                  <c:v>37.200000000000003</c:v>
                </c:pt>
                <c:pt idx="11">
                  <c:v>38.799999999999997</c:v>
                </c:pt>
                <c:pt idx="12">
                  <c:v>35.200000000000003</c:v>
                </c:pt>
                <c:pt idx="13">
                  <c:v>40.6</c:v>
                </c:pt>
                <c:pt idx="14">
                  <c:v>39.799999999999997</c:v>
                </c:pt>
                <c:pt idx="15">
                  <c:v>43.2</c:v>
                </c:pt>
                <c:pt idx="16">
                  <c:v>54.6</c:v>
                </c:pt>
                <c:pt idx="17">
                  <c:v>53.6</c:v>
                </c:pt>
                <c:pt idx="18">
                  <c:v>72.8</c:v>
                </c:pt>
                <c:pt idx="19">
                  <c:v>83</c:v>
                </c:pt>
                <c:pt idx="20">
                  <c:v>55</c:v>
                </c:pt>
                <c:pt idx="21">
                  <c:v>81.2</c:v>
                </c:pt>
                <c:pt idx="22">
                  <c:v>65.599999999999994</c:v>
                </c:pt>
                <c:pt idx="23">
                  <c:v>76.400000000000006</c:v>
                </c:pt>
                <c:pt idx="24">
                  <c:v>89.4</c:v>
                </c:pt>
                <c:pt idx="25">
                  <c:v>76</c:v>
                </c:pt>
                <c:pt idx="26">
                  <c:v>78.2</c:v>
                </c:pt>
                <c:pt idx="27">
                  <c:v>74.599999999999994</c:v>
                </c:pt>
                <c:pt idx="28">
                  <c:v>77.599999999999994</c:v>
                </c:pt>
                <c:pt idx="29">
                  <c:v>82.4</c:v>
                </c:pt>
                <c:pt idx="30">
                  <c:v>85.6</c:v>
                </c:pt>
                <c:pt idx="31">
                  <c:v>97.4</c:v>
                </c:pt>
                <c:pt idx="32">
                  <c:v>85.6</c:v>
                </c:pt>
                <c:pt idx="33">
                  <c:v>99.2</c:v>
                </c:pt>
                <c:pt idx="34">
                  <c:v>98.6</c:v>
                </c:pt>
                <c:pt idx="35">
                  <c:v>90</c:v>
                </c:pt>
                <c:pt idx="36">
                  <c:v>99.4</c:v>
                </c:pt>
                <c:pt idx="37">
                  <c:v>99.2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550-4E49-9C65-082CCE45A66B}"/>
            </c:ext>
          </c:extLst>
        </c:ser>
        <c:ser>
          <c:idx val="0"/>
          <c:order val="4"/>
          <c:tx>
            <c:strRef>
              <c:f>'Full data mobility detail'!$W$3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strRef>
              <c:f>'Full data mobility detail'!$A$3:$A$53</c:f>
              <c:strCache>
                <c:ptCount val="51"/>
                <c:pt idx="0">
                  <c:v>Time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</c:strCache>
            </c:strRef>
          </c:xVal>
          <c:yVal>
            <c:numRef>
              <c:f>'Full data mobility detail'!$W$4:$W$53</c:f>
              <c:numCache>
                <c:formatCode>General</c:formatCode>
                <c:ptCount val="50"/>
                <c:pt idx="0">
                  <c:v>100</c:v>
                </c:pt>
                <c:pt idx="1">
                  <c:v>99.5</c:v>
                </c:pt>
                <c:pt idx="2">
                  <c:v>99</c:v>
                </c:pt>
                <c:pt idx="3">
                  <c:v>99</c:v>
                </c:pt>
                <c:pt idx="4">
                  <c:v>19.5</c:v>
                </c:pt>
                <c:pt idx="5">
                  <c:v>30.5</c:v>
                </c:pt>
                <c:pt idx="6">
                  <c:v>20</c:v>
                </c:pt>
                <c:pt idx="7">
                  <c:v>14</c:v>
                </c:pt>
                <c:pt idx="8">
                  <c:v>25</c:v>
                </c:pt>
                <c:pt idx="9">
                  <c:v>17.5</c:v>
                </c:pt>
                <c:pt idx="10">
                  <c:v>19</c:v>
                </c:pt>
                <c:pt idx="11">
                  <c:v>18</c:v>
                </c:pt>
                <c:pt idx="12">
                  <c:v>14.5</c:v>
                </c:pt>
                <c:pt idx="13">
                  <c:v>14.5</c:v>
                </c:pt>
                <c:pt idx="14">
                  <c:v>15</c:v>
                </c:pt>
                <c:pt idx="15">
                  <c:v>21.5</c:v>
                </c:pt>
                <c:pt idx="16">
                  <c:v>28.5</c:v>
                </c:pt>
                <c:pt idx="17">
                  <c:v>30.5</c:v>
                </c:pt>
                <c:pt idx="18">
                  <c:v>38</c:v>
                </c:pt>
                <c:pt idx="19">
                  <c:v>24</c:v>
                </c:pt>
                <c:pt idx="20">
                  <c:v>22.5</c:v>
                </c:pt>
                <c:pt idx="21">
                  <c:v>51.5</c:v>
                </c:pt>
                <c:pt idx="22">
                  <c:v>95.5</c:v>
                </c:pt>
                <c:pt idx="23">
                  <c:v>60.5</c:v>
                </c:pt>
                <c:pt idx="24">
                  <c:v>80</c:v>
                </c:pt>
                <c:pt idx="25">
                  <c:v>46.5</c:v>
                </c:pt>
                <c:pt idx="26">
                  <c:v>30.5</c:v>
                </c:pt>
                <c:pt idx="27">
                  <c:v>58.5</c:v>
                </c:pt>
                <c:pt idx="28">
                  <c:v>32</c:v>
                </c:pt>
                <c:pt idx="29">
                  <c:v>28.5</c:v>
                </c:pt>
                <c:pt idx="30">
                  <c:v>36</c:v>
                </c:pt>
                <c:pt idx="31">
                  <c:v>36</c:v>
                </c:pt>
                <c:pt idx="32">
                  <c:v>74.5</c:v>
                </c:pt>
                <c:pt idx="33">
                  <c:v>38.5</c:v>
                </c:pt>
                <c:pt idx="34">
                  <c:v>42</c:v>
                </c:pt>
                <c:pt idx="35">
                  <c:v>31.5</c:v>
                </c:pt>
                <c:pt idx="36">
                  <c:v>40.5</c:v>
                </c:pt>
                <c:pt idx="37">
                  <c:v>96.5</c:v>
                </c:pt>
                <c:pt idx="38">
                  <c:v>97.5</c:v>
                </c:pt>
                <c:pt idx="39">
                  <c:v>98</c:v>
                </c:pt>
                <c:pt idx="40">
                  <c:v>74.5</c:v>
                </c:pt>
                <c:pt idx="41">
                  <c:v>78</c:v>
                </c:pt>
                <c:pt idx="42">
                  <c:v>40</c:v>
                </c:pt>
                <c:pt idx="43">
                  <c:v>71.5</c:v>
                </c:pt>
                <c:pt idx="44">
                  <c:v>80</c:v>
                </c:pt>
                <c:pt idx="45">
                  <c:v>42</c:v>
                </c:pt>
                <c:pt idx="46">
                  <c:v>99.5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50-4E49-9C65-082CCE45A66B}"/>
            </c:ext>
          </c:extLst>
        </c:ser>
        <c:ser>
          <c:idx val="1"/>
          <c:order val="5"/>
          <c:tx>
            <c:strRef>
              <c:f>'Full data mobility detail'!$X$3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strRef>
              <c:f>'Full data mobility detail'!$A$3:$A$53</c:f>
              <c:strCache>
                <c:ptCount val="51"/>
                <c:pt idx="0">
                  <c:v>Time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</c:strCache>
            </c:strRef>
          </c:xVal>
          <c:yVal>
            <c:numRef>
              <c:f>'Full data mobility detail'!$X$4:$X$53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30</c:v>
                </c:pt>
                <c:pt idx="5">
                  <c:v>42</c:v>
                </c:pt>
                <c:pt idx="6">
                  <c:v>28</c:v>
                </c:pt>
                <c:pt idx="7">
                  <c:v>25</c:v>
                </c:pt>
                <c:pt idx="8">
                  <c:v>32</c:v>
                </c:pt>
                <c:pt idx="9">
                  <c:v>23</c:v>
                </c:pt>
                <c:pt idx="10">
                  <c:v>27</c:v>
                </c:pt>
                <c:pt idx="11">
                  <c:v>23</c:v>
                </c:pt>
                <c:pt idx="12">
                  <c:v>20</c:v>
                </c:pt>
                <c:pt idx="13">
                  <c:v>23</c:v>
                </c:pt>
                <c:pt idx="14">
                  <c:v>28</c:v>
                </c:pt>
                <c:pt idx="15">
                  <c:v>28</c:v>
                </c:pt>
                <c:pt idx="16">
                  <c:v>45</c:v>
                </c:pt>
                <c:pt idx="17">
                  <c:v>35</c:v>
                </c:pt>
                <c:pt idx="18">
                  <c:v>52</c:v>
                </c:pt>
                <c:pt idx="19">
                  <c:v>48</c:v>
                </c:pt>
                <c:pt idx="20">
                  <c:v>53</c:v>
                </c:pt>
                <c:pt idx="21">
                  <c:v>98</c:v>
                </c:pt>
                <c:pt idx="22">
                  <c:v>98</c:v>
                </c:pt>
                <c:pt idx="23">
                  <c:v>98</c:v>
                </c:pt>
                <c:pt idx="24">
                  <c:v>99</c:v>
                </c:pt>
                <c:pt idx="25">
                  <c:v>98</c:v>
                </c:pt>
                <c:pt idx="26">
                  <c:v>96</c:v>
                </c:pt>
                <c:pt idx="27">
                  <c:v>96</c:v>
                </c:pt>
                <c:pt idx="28">
                  <c:v>97</c:v>
                </c:pt>
                <c:pt idx="29">
                  <c:v>98</c:v>
                </c:pt>
                <c:pt idx="30">
                  <c:v>97</c:v>
                </c:pt>
                <c:pt idx="31">
                  <c:v>97</c:v>
                </c:pt>
                <c:pt idx="32">
                  <c:v>98</c:v>
                </c:pt>
                <c:pt idx="33">
                  <c:v>97</c:v>
                </c:pt>
                <c:pt idx="34">
                  <c:v>98</c:v>
                </c:pt>
                <c:pt idx="35">
                  <c:v>98</c:v>
                </c:pt>
                <c:pt idx="36">
                  <c:v>93</c:v>
                </c:pt>
                <c:pt idx="37">
                  <c:v>99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59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50-4E49-9C65-082CCE45A66B}"/>
            </c:ext>
          </c:extLst>
        </c:ser>
        <c:ser>
          <c:idx val="2"/>
          <c:order val="6"/>
          <c:tx>
            <c:strRef>
              <c:f>'Full data mobility detail'!$Y$3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strRef>
              <c:f>'Full data mobility detail'!$A$3:$A$53</c:f>
              <c:strCache>
                <c:ptCount val="51"/>
                <c:pt idx="0">
                  <c:v>Time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</c:strCache>
            </c:strRef>
          </c:xVal>
          <c:yVal>
            <c:numRef>
              <c:f>'Full data mobility detail'!$Y$4:$Y$53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35.5</c:v>
                </c:pt>
                <c:pt idx="5">
                  <c:v>97.5</c:v>
                </c:pt>
                <c:pt idx="6">
                  <c:v>35.5</c:v>
                </c:pt>
                <c:pt idx="7">
                  <c:v>30</c:v>
                </c:pt>
                <c:pt idx="8">
                  <c:v>72.5</c:v>
                </c:pt>
                <c:pt idx="9">
                  <c:v>51.5</c:v>
                </c:pt>
                <c:pt idx="10">
                  <c:v>41.5</c:v>
                </c:pt>
                <c:pt idx="11">
                  <c:v>25.5</c:v>
                </c:pt>
                <c:pt idx="12">
                  <c:v>23</c:v>
                </c:pt>
                <c:pt idx="13">
                  <c:v>26.5</c:v>
                </c:pt>
                <c:pt idx="14">
                  <c:v>33</c:v>
                </c:pt>
                <c:pt idx="15">
                  <c:v>76</c:v>
                </c:pt>
                <c:pt idx="16">
                  <c:v>97</c:v>
                </c:pt>
                <c:pt idx="17">
                  <c:v>99</c:v>
                </c:pt>
                <c:pt idx="18">
                  <c:v>98.5</c:v>
                </c:pt>
                <c:pt idx="19">
                  <c:v>77</c:v>
                </c:pt>
                <c:pt idx="20">
                  <c:v>98.5</c:v>
                </c:pt>
                <c:pt idx="21">
                  <c:v>99</c:v>
                </c:pt>
                <c:pt idx="22">
                  <c:v>99.5</c:v>
                </c:pt>
                <c:pt idx="23">
                  <c:v>100</c:v>
                </c:pt>
                <c:pt idx="24">
                  <c:v>100</c:v>
                </c:pt>
                <c:pt idx="25">
                  <c:v>99</c:v>
                </c:pt>
                <c:pt idx="26">
                  <c:v>99</c:v>
                </c:pt>
                <c:pt idx="27">
                  <c:v>100</c:v>
                </c:pt>
                <c:pt idx="28">
                  <c:v>99.5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99.5</c:v>
                </c:pt>
                <c:pt idx="33">
                  <c:v>100</c:v>
                </c:pt>
                <c:pt idx="34">
                  <c:v>99.5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50-4E49-9C65-082CCE45A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085232"/>
        <c:axId val="580064112"/>
      </c:scatterChart>
      <c:valAx>
        <c:axId val="58008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64112"/>
        <c:crosses val="autoZero"/>
        <c:crossBetween val="midCat"/>
      </c:valAx>
      <c:valAx>
        <c:axId val="58006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5232"/>
        <c:crosses val="autoZero"/>
        <c:crossBetween val="midCat"/>
      </c:valAx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'Full data mobility detail'!$AW$3</c:f>
              <c:strCache>
                <c:ptCount val="1"/>
                <c:pt idx="0">
                  <c:v>25th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'Full data mobility detail'!$AA$4:$AA$53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mobility detail'!$AW$4:$AW$53</c:f>
              <c:numCache>
                <c:formatCode>General</c:formatCode>
                <c:ptCount val="50"/>
                <c:pt idx="0">
                  <c:v>1</c:v>
                </c:pt>
                <c:pt idx="1">
                  <c:v>0.99750000000000005</c:v>
                </c:pt>
                <c:pt idx="2">
                  <c:v>0.995</c:v>
                </c:pt>
                <c:pt idx="3">
                  <c:v>0.995</c:v>
                </c:pt>
                <c:pt idx="4">
                  <c:v>0.83199999999999985</c:v>
                </c:pt>
                <c:pt idx="5">
                  <c:v>0.77166666666666661</c:v>
                </c:pt>
                <c:pt idx="6">
                  <c:v>0.64583333333333348</c:v>
                </c:pt>
                <c:pt idx="7">
                  <c:v>0.51833333333333331</c:v>
                </c:pt>
                <c:pt idx="8">
                  <c:v>0.41499999999999998</c:v>
                </c:pt>
                <c:pt idx="9">
                  <c:v>0.28749999999999998</c:v>
                </c:pt>
                <c:pt idx="10">
                  <c:v>0.28666666666666663</c:v>
                </c:pt>
                <c:pt idx="11">
                  <c:v>0.22083333333333335</c:v>
                </c:pt>
                <c:pt idx="12">
                  <c:v>0.21333333333333332</c:v>
                </c:pt>
                <c:pt idx="13">
                  <c:v>0.22500000000000001</c:v>
                </c:pt>
                <c:pt idx="14">
                  <c:v>0.21583333333333335</c:v>
                </c:pt>
                <c:pt idx="15">
                  <c:v>0.26083333333333331</c:v>
                </c:pt>
                <c:pt idx="16">
                  <c:v>0.26666666666666666</c:v>
                </c:pt>
                <c:pt idx="17">
                  <c:v>0.3041666666666667</c:v>
                </c:pt>
                <c:pt idx="18">
                  <c:v>0.3691666666666667</c:v>
                </c:pt>
                <c:pt idx="19">
                  <c:v>0.40166666666666673</c:v>
                </c:pt>
                <c:pt idx="20">
                  <c:v>0.44083333333333335</c:v>
                </c:pt>
                <c:pt idx="21">
                  <c:v>0.45500000000000002</c:v>
                </c:pt>
                <c:pt idx="22">
                  <c:v>0.5575</c:v>
                </c:pt>
                <c:pt idx="23">
                  <c:v>0.59583333333333333</c:v>
                </c:pt>
                <c:pt idx="24">
                  <c:v>0.6183333333333334</c:v>
                </c:pt>
                <c:pt idx="25">
                  <c:v>0.69333333333333347</c:v>
                </c:pt>
                <c:pt idx="26">
                  <c:v>0.69666666666666677</c:v>
                </c:pt>
                <c:pt idx="27">
                  <c:v>0.69750000000000001</c:v>
                </c:pt>
                <c:pt idx="28">
                  <c:v>0.65666666666666673</c:v>
                </c:pt>
                <c:pt idx="29">
                  <c:v>0.61333333333333329</c:v>
                </c:pt>
                <c:pt idx="30">
                  <c:v>0.60250000000000004</c:v>
                </c:pt>
                <c:pt idx="31">
                  <c:v>0.60333333333333328</c:v>
                </c:pt>
                <c:pt idx="32">
                  <c:v>0.62916666666666676</c:v>
                </c:pt>
                <c:pt idx="33">
                  <c:v>0.60583333333333333</c:v>
                </c:pt>
                <c:pt idx="34">
                  <c:v>0.59583333333333333</c:v>
                </c:pt>
                <c:pt idx="35">
                  <c:v>0.57666666666666666</c:v>
                </c:pt>
                <c:pt idx="36">
                  <c:v>0.60750000000000004</c:v>
                </c:pt>
                <c:pt idx="37">
                  <c:v>0.61083333333333334</c:v>
                </c:pt>
                <c:pt idx="38">
                  <c:v>0.62083333333333324</c:v>
                </c:pt>
                <c:pt idx="39">
                  <c:v>0.62333333333333329</c:v>
                </c:pt>
                <c:pt idx="40">
                  <c:v>0.68166666666666653</c:v>
                </c:pt>
                <c:pt idx="41">
                  <c:v>0.72499999999999998</c:v>
                </c:pt>
                <c:pt idx="42">
                  <c:v>0.73916666666666653</c:v>
                </c:pt>
                <c:pt idx="43">
                  <c:v>0.72166666666666657</c:v>
                </c:pt>
                <c:pt idx="44">
                  <c:v>0.63833333333333331</c:v>
                </c:pt>
                <c:pt idx="45">
                  <c:v>0.61499999999999999</c:v>
                </c:pt>
                <c:pt idx="46">
                  <c:v>0.66083333333333327</c:v>
                </c:pt>
                <c:pt idx="47">
                  <c:v>0.70166666666666655</c:v>
                </c:pt>
                <c:pt idx="48">
                  <c:v>0.77416666666666667</c:v>
                </c:pt>
                <c:pt idx="49">
                  <c:v>0.82333333333333325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E-4E4D-9705-4048FB7330A9}"/>
            </c:ext>
          </c:extLst>
        </c:ser>
        <c:ser>
          <c:idx val="1"/>
          <c:order val="1"/>
          <c:tx>
            <c:strRef>
              <c:f>'Full data mobility detail'!$AX$3</c:f>
              <c:strCache>
                <c:ptCount val="1"/>
                <c:pt idx="0">
                  <c:v>50th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'Full data mobility detail'!$AA$4:$AA$53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mobility detail'!$AX$4:$AX$53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0.99750000000000005</c:v>
                </c:pt>
                <c:pt idx="4">
                  <c:v>0.85400000000000009</c:v>
                </c:pt>
                <c:pt idx="5">
                  <c:v>0.78833333333333333</c:v>
                </c:pt>
                <c:pt idx="6">
                  <c:v>0.67</c:v>
                </c:pt>
                <c:pt idx="7">
                  <c:v>0.54833333333333334</c:v>
                </c:pt>
                <c:pt idx="8">
                  <c:v>0.42833333333333334</c:v>
                </c:pt>
                <c:pt idx="9">
                  <c:v>0.34333333333333338</c:v>
                </c:pt>
                <c:pt idx="10">
                  <c:v>0.36499999999999999</c:v>
                </c:pt>
                <c:pt idx="11">
                  <c:v>0.27500000000000002</c:v>
                </c:pt>
                <c:pt idx="12">
                  <c:v>0.25666666666666665</c:v>
                </c:pt>
                <c:pt idx="13">
                  <c:v>0.33166666666666667</c:v>
                </c:pt>
                <c:pt idx="14">
                  <c:v>0.30833333333333335</c:v>
                </c:pt>
                <c:pt idx="15">
                  <c:v>0.27666666666666667</c:v>
                </c:pt>
                <c:pt idx="16">
                  <c:v>0.35</c:v>
                </c:pt>
                <c:pt idx="17">
                  <c:v>0.38</c:v>
                </c:pt>
                <c:pt idx="18">
                  <c:v>0.42</c:v>
                </c:pt>
                <c:pt idx="19">
                  <c:v>0.46833333333333338</c:v>
                </c:pt>
                <c:pt idx="20">
                  <c:v>0.51500000000000001</c:v>
                </c:pt>
                <c:pt idx="21">
                  <c:v>0.61</c:v>
                </c:pt>
                <c:pt idx="22">
                  <c:v>0.60333333333333339</c:v>
                </c:pt>
                <c:pt idx="23">
                  <c:v>0.7</c:v>
                </c:pt>
                <c:pt idx="24">
                  <c:v>0.71166666666666667</c:v>
                </c:pt>
                <c:pt idx="25">
                  <c:v>0.72666666666666668</c:v>
                </c:pt>
                <c:pt idx="26">
                  <c:v>0.76500000000000001</c:v>
                </c:pt>
                <c:pt idx="27">
                  <c:v>0.76</c:v>
                </c:pt>
                <c:pt idx="28">
                  <c:v>0.73</c:v>
                </c:pt>
                <c:pt idx="29">
                  <c:v>0.70833333333333326</c:v>
                </c:pt>
                <c:pt idx="30">
                  <c:v>0.70666666666666667</c:v>
                </c:pt>
                <c:pt idx="31">
                  <c:v>0.69333333333333325</c:v>
                </c:pt>
                <c:pt idx="32">
                  <c:v>0.69166666666666676</c:v>
                </c:pt>
                <c:pt idx="33">
                  <c:v>0.71499999999999997</c:v>
                </c:pt>
                <c:pt idx="34">
                  <c:v>0.76500000000000001</c:v>
                </c:pt>
                <c:pt idx="35">
                  <c:v>0.67500000000000004</c:v>
                </c:pt>
                <c:pt idx="36">
                  <c:v>0.6366666666666666</c:v>
                </c:pt>
                <c:pt idx="37">
                  <c:v>0.7416666666666667</c:v>
                </c:pt>
                <c:pt idx="38">
                  <c:v>0.76</c:v>
                </c:pt>
                <c:pt idx="39">
                  <c:v>0.77333333333333332</c:v>
                </c:pt>
                <c:pt idx="40">
                  <c:v>0.81166666666666676</c:v>
                </c:pt>
                <c:pt idx="41">
                  <c:v>0.81166666666666676</c:v>
                </c:pt>
                <c:pt idx="42">
                  <c:v>0.84833333333333327</c:v>
                </c:pt>
                <c:pt idx="43">
                  <c:v>0.85166666666666668</c:v>
                </c:pt>
                <c:pt idx="44">
                  <c:v>0.80666666666666675</c:v>
                </c:pt>
                <c:pt idx="45">
                  <c:v>0.80666666666666675</c:v>
                </c:pt>
                <c:pt idx="46">
                  <c:v>0.83499999999999996</c:v>
                </c:pt>
                <c:pt idx="47">
                  <c:v>0.87</c:v>
                </c:pt>
                <c:pt idx="48">
                  <c:v>0.98666666666666669</c:v>
                </c:pt>
                <c:pt idx="49">
                  <c:v>0.9966666666666667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3E-4E4D-9705-4048FB7330A9}"/>
            </c:ext>
          </c:extLst>
        </c:ser>
        <c:ser>
          <c:idx val="2"/>
          <c:order val="2"/>
          <c:tx>
            <c:strRef>
              <c:f>'Full data mobility detail'!$AY$3</c:f>
              <c:strCache>
                <c:ptCount val="1"/>
                <c:pt idx="0">
                  <c:v>75th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'Full data mobility detail'!$AA$4:$AA$53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mobility detail'!$AY$4:$AY$53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0.99875000000000003</c:v>
                </c:pt>
                <c:pt idx="4">
                  <c:v>0.87</c:v>
                </c:pt>
                <c:pt idx="5">
                  <c:v>0.85416666666666652</c:v>
                </c:pt>
                <c:pt idx="6">
                  <c:v>0.72333333333333338</c:v>
                </c:pt>
                <c:pt idx="7">
                  <c:v>0.59416666666666673</c:v>
                </c:pt>
                <c:pt idx="8">
                  <c:v>0.46916666666666662</c:v>
                </c:pt>
                <c:pt idx="9">
                  <c:v>0.41666666666666674</c:v>
                </c:pt>
                <c:pt idx="10">
                  <c:v>0.48166666666666669</c:v>
                </c:pt>
                <c:pt idx="11">
                  <c:v>0.44</c:v>
                </c:pt>
                <c:pt idx="12">
                  <c:v>0.41083333333333338</c:v>
                </c:pt>
                <c:pt idx="13">
                  <c:v>0.39333333333333331</c:v>
                </c:pt>
                <c:pt idx="14">
                  <c:v>0.34333333333333338</c:v>
                </c:pt>
                <c:pt idx="15">
                  <c:v>0.36499999999999999</c:v>
                </c:pt>
                <c:pt idx="16">
                  <c:v>0.39250000000000002</c:v>
                </c:pt>
                <c:pt idx="17">
                  <c:v>0.49083333333333334</c:v>
                </c:pt>
                <c:pt idx="18">
                  <c:v>0.62583333333333324</c:v>
                </c:pt>
                <c:pt idx="19">
                  <c:v>0.64083333333333325</c:v>
                </c:pt>
                <c:pt idx="20">
                  <c:v>0.71833333333333327</c:v>
                </c:pt>
                <c:pt idx="21">
                  <c:v>0.74166666666666659</c:v>
                </c:pt>
                <c:pt idx="22">
                  <c:v>0.75916666666666655</c:v>
                </c:pt>
                <c:pt idx="23">
                  <c:v>0.76666666666666661</c:v>
                </c:pt>
                <c:pt idx="24">
                  <c:v>0.80249999999999999</c:v>
                </c:pt>
                <c:pt idx="25">
                  <c:v>0.85833333333333339</c:v>
                </c:pt>
                <c:pt idx="26">
                  <c:v>0.87166666666666659</c:v>
                </c:pt>
                <c:pt idx="27">
                  <c:v>0.87</c:v>
                </c:pt>
                <c:pt idx="28">
                  <c:v>0.85666666666666669</c:v>
                </c:pt>
                <c:pt idx="29">
                  <c:v>0.88916666666666666</c:v>
                </c:pt>
                <c:pt idx="30">
                  <c:v>0.83416666666666672</c:v>
                </c:pt>
                <c:pt idx="31">
                  <c:v>0.84666666666666657</c:v>
                </c:pt>
                <c:pt idx="32">
                  <c:v>0.88583333333333347</c:v>
                </c:pt>
                <c:pt idx="33">
                  <c:v>0.85</c:v>
                </c:pt>
                <c:pt idx="34">
                  <c:v>0.82750000000000001</c:v>
                </c:pt>
                <c:pt idx="35">
                  <c:v>0.86166666666666658</c:v>
                </c:pt>
                <c:pt idx="36">
                  <c:v>0.87333333333333341</c:v>
                </c:pt>
                <c:pt idx="37">
                  <c:v>0.92416666666666658</c:v>
                </c:pt>
                <c:pt idx="38">
                  <c:v>0.92916666666666659</c:v>
                </c:pt>
                <c:pt idx="39">
                  <c:v>0.99583333333333346</c:v>
                </c:pt>
                <c:pt idx="40">
                  <c:v>0.99833333333333341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3E-4E4D-9705-4048FB7330A9}"/>
            </c:ext>
          </c:extLst>
        </c:ser>
        <c:ser>
          <c:idx val="3"/>
          <c:order val="3"/>
          <c:tx>
            <c:v>50th Savings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Rich_Full!$AE$3:$AE$52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Rich_Full!$AP$3:$AP$52</c:f>
              <c:numCache>
                <c:formatCode>General</c:formatCode>
                <c:ptCount val="50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0.97875000000000001</c:v>
                </c:pt>
                <c:pt idx="4">
                  <c:v>0.878</c:v>
                </c:pt>
                <c:pt idx="5">
                  <c:v>0.8075</c:v>
                </c:pt>
                <c:pt idx="6">
                  <c:v>0.71499999999999997</c:v>
                </c:pt>
                <c:pt idx="7">
                  <c:v>0.63500000000000001</c:v>
                </c:pt>
                <c:pt idx="8">
                  <c:v>0.54166666666666674</c:v>
                </c:pt>
                <c:pt idx="9">
                  <c:v>0.4458333333333333</c:v>
                </c:pt>
                <c:pt idx="10">
                  <c:v>0.44166666666666671</c:v>
                </c:pt>
                <c:pt idx="11">
                  <c:v>0.4375</c:v>
                </c:pt>
                <c:pt idx="12">
                  <c:v>0.41749999999999998</c:v>
                </c:pt>
                <c:pt idx="13">
                  <c:v>0.40416666666666662</c:v>
                </c:pt>
                <c:pt idx="14">
                  <c:v>0.39500000000000002</c:v>
                </c:pt>
                <c:pt idx="15">
                  <c:v>0.39250000000000002</c:v>
                </c:pt>
                <c:pt idx="16">
                  <c:v>0.41</c:v>
                </c:pt>
                <c:pt idx="17">
                  <c:v>0.43</c:v>
                </c:pt>
                <c:pt idx="18">
                  <c:v>0.48083333333333328</c:v>
                </c:pt>
                <c:pt idx="19">
                  <c:v>0.55166666666666664</c:v>
                </c:pt>
                <c:pt idx="20">
                  <c:v>0.57999999999999996</c:v>
                </c:pt>
                <c:pt idx="21">
                  <c:v>0.65083333333333326</c:v>
                </c:pt>
                <c:pt idx="22">
                  <c:v>0.66833333333333345</c:v>
                </c:pt>
                <c:pt idx="23">
                  <c:v>0.68</c:v>
                </c:pt>
                <c:pt idx="24">
                  <c:v>0.71416666666666662</c:v>
                </c:pt>
                <c:pt idx="25">
                  <c:v>0.68833333333333346</c:v>
                </c:pt>
                <c:pt idx="26">
                  <c:v>0.72</c:v>
                </c:pt>
                <c:pt idx="27">
                  <c:v>0.70833333333333348</c:v>
                </c:pt>
                <c:pt idx="28">
                  <c:v>0.73083333333333345</c:v>
                </c:pt>
                <c:pt idx="29">
                  <c:v>0.755</c:v>
                </c:pt>
                <c:pt idx="30">
                  <c:v>0.70916666666666672</c:v>
                </c:pt>
                <c:pt idx="31">
                  <c:v>0.76</c:v>
                </c:pt>
                <c:pt idx="32">
                  <c:v>0.77249999999999996</c:v>
                </c:pt>
                <c:pt idx="33">
                  <c:v>0.82583333333333342</c:v>
                </c:pt>
                <c:pt idx="34">
                  <c:v>0.87416666666666676</c:v>
                </c:pt>
                <c:pt idx="35">
                  <c:v>0.90333333333333343</c:v>
                </c:pt>
                <c:pt idx="36">
                  <c:v>0.95833333333333326</c:v>
                </c:pt>
                <c:pt idx="37">
                  <c:v>0.96416666666666673</c:v>
                </c:pt>
                <c:pt idx="38">
                  <c:v>0.99583333333333346</c:v>
                </c:pt>
                <c:pt idx="39">
                  <c:v>0.99750000000000005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3E-4E4D-9705-4048FB733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116192"/>
        <c:axId val="1204102752"/>
      </c:scatterChart>
      <c:valAx>
        <c:axId val="120411619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102752"/>
        <c:crosses val="autoZero"/>
        <c:crossBetween val="midCat"/>
      </c:valAx>
      <c:valAx>
        <c:axId val="1204102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116192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'Full data infectious details'!$AW$3</c:f>
              <c:strCache>
                <c:ptCount val="1"/>
                <c:pt idx="0">
                  <c:v>25th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'Full data infectious details'!$AA$4:$AA$53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infectious details'!$AW$4:$AW$53</c:f>
              <c:numCache>
                <c:formatCode>General</c:formatCode>
                <c:ptCount val="50"/>
                <c:pt idx="0">
                  <c:v>2</c:v>
                </c:pt>
                <c:pt idx="1">
                  <c:v>2</c:v>
                </c:pt>
                <c:pt idx="2">
                  <c:v>4.5</c:v>
                </c:pt>
                <c:pt idx="3">
                  <c:v>9.5</c:v>
                </c:pt>
                <c:pt idx="4">
                  <c:v>11.5</c:v>
                </c:pt>
                <c:pt idx="5">
                  <c:v>13.5</c:v>
                </c:pt>
                <c:pt idx="6">
                  <c:v>12.5</c:v>
                </c:pt>
                <c:pt idx="7">
                  <c:v>14</c:v>
                </c:pt>
                <c:pt idx="8">
                  <c:v>14</c:v>
                </c:pt>
                <c:pt idx="9">
                  <c:v>17</c:v>
                </c:pt>
                <c:pt idx="10">
                  <c:v>18</c:v>
                </c:pt>
                <c:pt idx="11">
                  <c:v>18.5</c:v>
                </c:pt>
                <c:pt idx="12">
                  <c:v>16</c:v>
                </c:pt>
                <c:pt idx="13">
                  <c:v>13.5</c:v>
                </c:pt>
                <c:pt idx="14">
                  <c:v>9.5</c:v>
                </c:pt>
                <c:pt idx="15">
                  <c:v>6.5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</c:v>
                </c:pt>
                <c:pt idx="26">
                  <c:v>1.5</c:v>
                </c:pt>
                <c:pt idx="27">
                  <c:v>2</c:v>
                </c:pt>
                <c:pt idx="28">
                  <c:v>1.5</c:v>
                </c:pt>
                <c:pt idx="29">
                  <c:v>2</c:v>
                </c:pt>
                <c:pt idx="30">
                  <c:v>2.5</c:v>
                </c:pt>
                <c:pt idx="31">
                  <c:v>2</c:v>
                </c:pt>
                <c:pt idx="32">
                  <c:v>1.5</c:v>
                </c:pt>
                <c:pt idx="33">
                  <c:v>0.5</c:v>
                </c:pt>
                <c:pt idx="34">
                  <c:v>0.5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2-47ED-8C9E-0A623F29A3A9}"/>
            </c:ext>
          </c:extLst>
        </c:ser>
        <c:ser>
          <c:idx val="1"/>
          <c:order val="1"/>
          <c:tx>
            <c:strRef>
              <c:f>'Full data infectious details'!$AX$3</c:f>
              <c:strCache>
                <c:ptCount val="1"/>
                <c:pt idx="0">
                  <c:v>50th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'Full data infectious details'!$AA$4:$AA$53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infectious details'!$AX$4:$AX$53</c:f>
              <c:numCache>
                <c:formatCode>General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7</c:v>
                </c:pt>
                <c:pt idx="3">
                  <c:v>11</c:v>
                </c:pt>
                <c:pt idx="4">
                  <c:v>13</c:v>
                </c:pt>
                <c:pt idx="5">
                  <c:v>17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25</c:v>
                </c:pt>
                <c:pt idx="11">
                  <c:v>22</c:v>
                </c:pt>
                <c:pt idx="12">
                  <c:v>18</c:v>
                </c:pt>
                <c:pt idx="13">
                  <c:v>17</c:v>
                </c:pt>
                <c:pt idx="14">
                  <c:v>12</c:v>
                </c:pt>
                <c:pt idx="15">
                  <c:v>11</c:v>
                </c:pt>
                <c:pt idx="16">
                  <c:v>9</c:v>
                </c:pt>
                <c:pt idx="17">
                  <c:v>7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4</c:v>
                </c:pt>
                <c:pt idx="27">
                  <c:v>6</c:v>
                </c:pt>
                <c:pt idx="28">
                  <c:v>4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42-47ED-8C9E-0A623F29A3A9}"/>
            </c:ext>
          </c:extLst>
        </c:ser>
        <c:ser>
          <c:idx val="2"/>
          <c:order val="2"/>
          <c:tx>
            <c:strRef>
              <c:f>'Full data infectious details'!$AY$3</c:f>
              <c:strCache>
                <c:ptCount val="1"/>
                <c:pt idx="0">
                  <c:v>75th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'Full data infectious details'!$AA$4:$AA$53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infectious details'!$AY$4:$AY$53</c:f>
              <c:numCache>
                <c:formatCode>General</c:formatCode>
                <c:ptCount val="50"/>
                <c:pt idx="0">
                  <c:v>2</c:v>
                </c:pt>
                <c:pt idx="1">
                  <c:v>4</c:v>
                </c:pt>
                <c:pt idx="2">
                  <c:v>7.5</c:v>
                </c:pt>
                <c:pt idx="3">
                  <c:v>14.5</c:v>
                </c:pt>
                <c:pt idx="4">
                  <c:v>17.5</c:v>
                </c:pt>
                <c:pt idx="5">
                  <c:v>23</c:v>
                </c:pt>
                <c:pt idx="6">
                  <c:v>26.5</c:v>
                </c:pt>
                <c:pt idx="7">
                  <c:v>28.5</c:v>
                </c:pt>
                <c:pt idx="8">
                  <c:v>31</c:v>
                </c:pt>
                <c:pt idx="9">
                  <c:v>28.5</c:v>
                </c:pt>
                <c:pt idx="10">
                  <c:v>26.5</c:v>
                </c:pt>
                <c:pt idx="11">
                  <c:v>25</c:v>
                </c:pt>
                <c:pt idx="12">
                  <c:v>22</c:v>
                </c:pt>
                <c:pt idx="13">
                  <c:v>23.5</c:v>
                </c:pt>
                <c:pt idx="14">
                  <c:v>20</c:v>
                </c:pt>
                <c:pt idx="15">
                  <c:v>14.5</c:v>
                </c:pt>
                <c:pt idx="16">
                  <c:v>14</c:v>
                </c:pt>
                <c:pt idx="17">
                  <c:v>11</c:v>
                </c:pt>
                <c:pt idx="18">
                  <c:v>10.5</c:v>
                </c:pt>
                <c:pt idx="19">
                  <c:v>8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  <c:pt idx="24">
                  <c:v>5.5</c:v>
                </c:pt>
                <c:pt idx="25">
                  <c:v>8.5</c:v>
                </c:pt>
                <c:pt idx="26">
                  <c:v>9</c:v>
                </c:pt>
                <c:pt idx="27">
                  <c:v>7.5</c:v>
                </c:pt>
                <c:pt idx="28">
                  <c:v>8</c:v>
                </c:pt>
                <c:pt idx="29">
                  <c:v>6.5</c:v>
                </c:pt>
                <c:pt idx="30">
                  <c:v>6.5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6.5</c:v>
                </c:pt>
                <c:pt idx="35">
                  <c:v>6</c:v>
                </c:pt>
                <c:pt idx="36">
                  <c:v>6.5</c:v>
                </c:pt>
                <c:pt idx="37">
                  <c:v>5</c:v>
                </c:pt>
                <c:pt idx="38">
                  <c:v>4.5</c:v>
                </c:pt>
                <c:pt idx="39">
                  <c:v>6</c:v>
                </c:pt>
                <c:pt idx="40">
                  <c:v>5.5</c:v>
                </c:pt>
                <c:pt idx="41">
                  <c:v>7</c:v>
                </c:pt>
                <c:pt idx="42">
                  <c:v>5</c:v>
                </c:pt>
                <c:pt idx="43">
                  <c:v>5.5</c:v>
                </c:pt>
                <c:pt idx="44">
                  <c:v>3.5</c:v>
                </c:pt>
                <c:pt idx="45">
                  <c:v>2</c:v>
                </c:pt>
                <c:pt idx="46">
                  <c:v>2.5</c:v>
                </c:pt>
                <c:pt idx="47">
                  <c:v>1.5</c:v>
                </c:pt>
                <c:pt idx="48">
                  <c:v>1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42-47ED-8C9E-0A623F29A3A9}"/>
            </c:ext>
          </c:extLst>
        </c:ser>
        <c:ser>
          <c:idx val="3"/>
          <c:order val="3"/>
          <c:tx>
            <c:v>50th Savings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Rich_Full!$AE$3:$AE$52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Rich_Full!$AO$3:$AO$52</c:f>
              <c:numCache>
                <c:formatCode>General</c:formatCode>
                <c:ptCount val="50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18</c:v>
                </c:pt>
                <c:pt idx="5">
                  <c:v>24</c:v>
                </c:pt>
                <c:pt idx="6">
                  <c:v>32</c:v>
                </c:pt>
                <c:pt idx="7">
                  <c:v>33</c:v>
                </c:pt>
                <c:pt idx="8">
                  <c:v>39</c:v>
                </c:pt>
                <c:pt idx="9">
                  <c:v>39</c:v>
                </c:pt>
                <c:pt idx="10">
                  <c:v>42</c:v>
                </c:pt>
                <c:pt idx="11">
                  <c:v>42</c:v>
                </c:pt>
                <c:pt idx="12">
                  <c:v>35</c:v>
                </c:pt>
                <c:pt idx="13">
                  <c:v>32</c:v>
                </c:pt>
                <c:pt idx="14">
                  <c:v>24</c:v>
                </c:pt>
                <c:pt idx="15">
                  <c:v>20</c:v>
                </c:pt>
                <c:pt idx="16">
                  <c:v>15</c:v>
                </c:pt>
                <c:pt idx="17">
                  <c:v>9</c:v>
                </c:pt>
                <c:pt idx="18">
                  <c:v>8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42-47ED-8C9E-0A623F29A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085232"/>
        <c:axId val="580064112"/>
      </c:scatterChart>
      <c:valAx>
        <c:axId val="58008523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64112"/>
        <c:crosses val="autoZero"/>
        <c:crossBetween val="midCat"/>
      </c:valAx>
      <c:valAx>
        <c:axId val="58006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'Full data'!$A$3</c:f>
              <c:strCache>
                <c:ptCount val="1"/>
                <c:pt idx="0">
                  <c:v>Cummulative (50ts)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42D-4654-A1A5-BD0CF9E31E27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42D-4654-A1A5-BD0CF9E31E2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2D-4654-A1A5-BD0CF9E31E2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2D-4654-A1A5-BD0CF9E31E27}"/>
              </c:ext>
            </c:extLst>
          </c:dPt>
          <c:cat>
            <c:strRef>
              <c:f>'Full data'!$B$1:$E$2</c:f>
              <c:strCache>
                <c:ptCount val="4"/>
                <c:pt idx="0">
                  <c:v>Know</c:v>
                </c:pt>
                <c:pt idx="1">
                  <c:v>Aware</c:v>
                </c:pt>
                <c:pt idx="2">
                  <c:v>Learn</c:v>
                </c:pt>
                <c:pt idx="3">
                  <c:v>Savings</c:v>
                </c:pt>
              </c:strCache>
            </c:strRef>
          </c:cat>
          <c:val>
            <c:numRef>
              <c:f>'Full data'!$B$3:$E$3</c:f>
              <c:numCache>
                <c:formatCode>General</c:formatCode>
                <c:ptCount val="4"/>
                <c:pt idx="0">
                  <c:v>65.200000000000017</c:v>
                </c:pt>
                <c:pt idx="1">
                  <c:v>66.200000000000031</c:v>
                </c:pt>
                <c:pt idx="2">
                  <c:v>67.599999999999994</c:v>
                </c:pt>
                <c:pt idx="3">
                  <c:v>79.800000000000026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D-4654-A1A5-BD0CF9E31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090512"/>
        <c:axId val="580090992"/>
      </c:barChart>
      <c:catAx>
        <c:axId val="58009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90992"/>
        <c:crosses val="autoZero"/>
        <c:auto val="1"/>
        <c:lblAlgn val="ctr"/>
        <c:lblOffset val="100"/>
        <c:noMultiLvlLbl val="0"/>
      </c:catAx>
      <c:valAx>
        <c:axId val="5800909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infections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90512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'Full data'!$G$7</c:f>
              <c:strCache>
                <c:ptCount val="1"/>
                <c:pt idx="0">
                  <c:v>Cummulative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0CF-41DA-9F7D-E080E4D6E6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CF-41DA-9F7D-E080E4D6E6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CF-41DA-9F7D-E080E4D6E6C5}"/>
              </c:ext>
            </c:extLst>
          </c:dPt>
          <c:cat>
            <c:strRef>
              <c:f>'Full data'!$H$1:$K$2</c:f>
              <c:strCache>
                <c:ptCount val="4"/>
                <c:pt idx="0">
                  <c:v>Know</c:v>
                </c:pt>
                <c:pt idx="1">
                  <c:v>Aware</c:v>
                </c:pt>
                <c:pt idx="2">
                  <c:v>Learn</c:v>
                </c:pt>
                <c:pt idx="3">
                  <c:v>Savings</c:v>
                </c:pt>
              </c:strCache>
            </c:strRef>
          </c:cat>
          <c:val>
            <c:numRef>
              <c:f>'Full data'!$H$7:$K$7</c:f>
              <c:numCache>
                <c:formatCode>General</c:formatCode>
                <c:ptCount val="4"/>
                <c:pt idx="0">
                  <c:v>73.676000000000002</c:v>
                </c:pt>
                <c:pt idx="1">
                  <c:v>68.372</c:v>
                </c:pt>
                <c:pt idx="2">
                  <c:v>62.18</c:v>
                </c:pt>
                <c:pt idx="3">
                  <c:v>77.884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F-41DA-9F7D-E080E4D6E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573616"/>
        <c:axId val="669574096"/>
      </c:barChart>
      <c:catAx>
        <c:axId val="66957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74096"/>
        <c:crosses val="autoZero"/>
        <c:auto val="1"/>
        <c:lblAlgn val="ctr"/>
        <c:lblOffset val="100"/>
        <c:noMultiLvlLbl val="0"/>
      </c:catAx>
      <c:valAx>
        <c:axId val="66957409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mobility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7361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'Full data mobility detail'!$W$3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strRef>
              <c:f>'Full data mobility detail'!$A$3:$A$53</c:f>
              <c:strCache>
                <c:ptCount val="51"/>
                <c:pt idx="0">
                  <c:v>Time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</c:strCache>
            </c:strRef>
          </c:xVal>
          <c:yVal>
            <c:numRef>
              <c:f>'Full data mobility detail'!$W$4:$W$53</c:f>
              <c:numCache>
                <c:formatCode>General</c:formatCode>
                <c:ptCount val="50"/>
                <c:pt idx="0">
                  <c:v>100</c:v>
                </c:pt>
                <c:pt idx="1">
                  <c:v>99.5</c:v>
                </c:pt>
                <c:pt idx="2">
                  <c:v>99</c:v>
                </c:pt>
                <c:pt idx="3">
                  <c:v>99</c:v>
                </c:pt>
                <c:pt idx="4">
                  <c:v>19.5</c:v>
                </c:pt>
                <c:pt idx="5">
                  <c:v>30.5</c:v>
                </c:pt>
                <c:pt idx="6">
                  <c:v>20</c:v>
                </c:pt>
                <c:pt idx="7">
                  <c:v>14</c:v>
                </c:pt>
                <c:pt idx="8">
                  <c:v>25</c:v>
                </c:pt>
                <c:pt idx="9">
                  <c:v>17.5</c:v>
                </c:pt>
                <c:pt idx="10">
                  <c:v>19</c:v>
                </c:pt>
                <c:pt idx="11">
                  <c:v>18</c:v>
                </c:pt>
                <c:pt idx="12">
                  <c:v>14.5</c:v>
                </c:pt>
                <c:pt idx="13">
                  <c:v>14.5</c:v>
                </c:pt>
                <c:pt idx="14">
                  <c:v>15</c:v>
                </c:pt>
                <c:pt idx="15">
                  <c:v>21.5</c:v>
                </c:pt>
                <c:pt idx="16">
                  <c:v>28.5</c:v>
                </c:pt>
                <c:pt idx="17">
                  <c:v>30.5</c:v>
                </c:pt>
                <c:pt idx="18">
                  <c:v>38</c:v>
                </c:pt>
                <c:pt idx="19">
                  <c:v>24</c:v>
                </c:pt>
                <c:pt idx="20">
                  <c:v>22.5</c:v>
                </c:pt>
                <c:pt idx="21">
                  <c:v>51.5</c:v>
                </c:pt>
                <c:pt idx="22">
                  <c:v>95.5</c:v>
                </c:pt>
                <c:pt idx="23">
                  <c:v>60.5</c:v>
                </c:pt>
                <c:pt idx="24">
                  <c:v>80</c:v>
                </c:pt>
                <c:pt idx="25">
                  <c:v>46.5</c:v>
                </c:pt>
                <c:pt idx="26">
                  <c:v>30.5</c:v>
                </c:pt>
                <c:pt idx="27">
                  <c:v>58.5</c:v>
                </c:pt>
                <c:pt idx="28">
                  <c:v>32</c:v>
                </c:pt>
                <c:pt idx="29">
                  <c:v>28.5</c:v>
                </c:pt>
                <c:pt idx="30">
                  <c:v>36</c:v>
                </c:pt>
                <c:pt idx="31">
                  <c:v>36</c:v>
                </c:pt>
                <c:pt idx="32">
                  <c:v>74.5</c:v>
                </c:pt>
                <c:pt idx="33">
                  <c:v>38.5</c:v>
                </c:pt>
                <c:pt idx="34">
                  <c:v>42</c:v>
                </c:pt>
                <c:pt idx="35">
                  <c:v>31.5</c:v>
                </c:pt>
                <c:pt idx="36">
                  <c:v>40.5</c:v>
                </c:pt>
                <c:pt idx="37">
                  <c:v>96.5</c:v>
                </c:pt>
                <c:pt idx="38">
                  <c:v>97.5</c:v>
                </c:pt>
                <c:pt idx="39">
                  <c:v>98</c:v>
                </c:pt>
                <c:pt idx="40">
                  <c:v>74.5</c:v>
                </c:pt>
                <c:pt idx="41">
                  <c:v>78</c:v>
                </c:pt>
                <c:pt idx="42">
                  <c:v>40</c:v>
                </c:pt>
                <c:pt idx="43">
                  <c:v>71.5</c:v>
                </c:pt>
                <c:pt idx="44">
                  <c:v>80</c:v>
                </c:pt>
                <c:pt idx="45">
                  <c:v>42</c:v>
                </c:pt>
                <c:pt idx="46">
                  <c:v>99.5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C-49E1-8C8C-ACC5CCE34BE5}"/>
            </c:ext>
          </c:extLst>
        </c:ser>
        <c:ser>
          <c:idx val="1"/>
          <c:order val="1"/>
          <c:tx>
            <c:strRef>
              <c:f>'Full data mobility detail'!$X$3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strRef>
              <c:f>'Full data mobility detail'!$A$3:$A$53</c:f>
              <c:strCache>
                <c:ptCount val="51"/>
                <c:pt idx="0">
                  <c:v>Time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</c:strCache>
            </c:strRef>
          </c:xVal>
          <c:yVal>
            <c:numRef>
              <c:f>'Full data mobility detail'!$X$4:$X$53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30</c:v>
                </c:pt>
                <c:pt idx="5">
                  <c:v>42</c:v>
                </c:pt>
                <c:pt idx="6">
                  <c:v>28</c:v>
                </c:pt>
                <c:pt idx="7">
                  <c:v>25</c:v>
                </c:pt>
                <c:pt idx="8">
                  <c:v>32</c:v>
                </c:pt>
                <c:pt idx="9">
                  <c:v>23</c:v>
                </c:pt>
                <c:pt idx="10">
                  <c:v>27</c:v>
                </c:pt>
                <c:pt idx="11">
                  <c:v>23</c:v>
                </c:pt>
                <c:pt idx="12">
                  <c:v>20</c:v>
                </c:pt>
                <c:pt idx="13">
                  <c:v>23</c:v>
                </c:pt>
                <c:pt idx="14">
                  <c:v>28</c:v>
                </c:pt>
                <c:pt idx="15">
                  <c:v>28</c:v>
                </c:pt>
                <c:pt idx="16">
                  <c:v>45</c:v>
                </c:pt>
                <c:pt idx="17">
                  <c:v>35</c:v>
                </c:pt>
                <c:pt idx="18">
                  <c:v>52</c:v>
                </c:pt>
                <c:pt idx="19">
                  <c:v>48</c:v>
                </c:pt>
                <c:pt idx="20">
                  <c:v>53</c:v>
                </c:pt>
                <c:pt idx="21">
                  <c:v>98</c:v>
                </c:pt>
                <c:pt idx="22">
                  <c:v>98</c:v>
                </c:pt>
                <c:pt idx="23">
                  <c:v>98</c:v>
                </c:pt>
                <c:pt idx="24">
                  <c:v>99</c:v>
                </c:pt>
                <c:pt idx="25">
                  <c:v>98</c:v>
                </c:pt>
                <c:pt idx="26">
                  <c:v>96</c:v>
                </c:pt>
                <c:pt idx="27">
                  <c:v>96</c:v>
                </c:pt>
                <c:pt idx="28">
                  <c:v>97</c:v>
                </c:pt>
                <c:pt idx="29">
                  <c:v>98</c:v>
                </c:pt>
                <c:pt idx="30">
                  <c:v>97</c:v>
                </c:pt>
                <c:pt idx="31">
                  <c:v>97</c:v>
                </c:pt>
                <c:pt idx="32">
                  <c:v>98</c:v>
                </c:pt>
                <c:pt idx="33">
                  <c:v>97</c:v>
                </c:pt>
                <c:pt idx="34">
                  <c:v>98</c:v>
                </c:pt>
                <c:pt idx="35">
                  <c:v>98</c:v>
                </c:pt>
                <c:pt idx="36">
                  <c:v>93</c:v>
                </c:pt>
                <c:pt idx="37">
                  <c:v>99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59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3C-49E1-8C8C-ACC5CCE34BE5}"/>
            </c:ext>
          </c:extLst>
        </c:ser>
        <c:ser>
          <c:idx val="2"/>
          <c:order val="2"/>
          <c:tx>
            <c:strRef>
              <c:f>'Full data mobility detail'!$Y$3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strRef>
              <c:f>'Full data mobility detail'!$A$3:$A$53</c:f>
              <c:strCache>
                <c:ptCount val="51"/>
                <c:pt idx="0">
                  <c:v>Time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</c:strCache>
            </c:strRef>
          </c:xVal>
          <c:yVal>
            <c:numRef>
              <c:f>'Full data mobility detail'!$Y$4:$Y$53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35.5</c:v>
                </c:pt>
                <c:pt idx="5">
                  <c:v>97.5</c:v>
                </c:pt>
                <c:pt idx="6">
                  <c:v>35.5</c:v>
                </c:pt>
                <c:pt idx="7">
                  <c:v>30</c:v>
                </c:pt>
                <c:pt idx="8">
                  <c:v>72.5</c:v>
                </c:pt>
                <c:pt idx="9">
                  <c:v>51.5</c:v>
                </c:pt>
                <c:pt idx="10">
                  <c:v>41.5</c:v>
                </c:pt>
                <c:pt idx="11">
                  <c:v>25.5</c:v>
                </c:pt>
                <c:pt idx="12">
                  <c:v>23</c:v>
                </c:pt>
                <c:pt idx="13">
                  <c:v>26.5</c:v>
                </c:pt>
                <c:pt idx="14">
                  <c:v>33</c:v>
                </c:pt>
                <c:pt idx="15">
                  <c:v>76</c:v>
                </c:pt>
                <c:pt idx="16">
                  <c:v>97</c:v>
                </c:pt>
                <c:pt idx="17">
                  <c:v>99</c:v>
                </c:pt>
                <c:pt idx="18">
                  <c:v>98.5</c:v>
                </c:pt>
                <c:pt idx="19">
                  <c:v>77</c:v>
                </c:pt>
                <c:pt idx="20">
                  <c:v>98.5</c:v>
                </c:pt>
                <c:pt idx="21">
                  <c:v>99</c:v>
                </c:pt>
                <c:pt idx="22">
                  <c:v>99.5</c:v>
                </c:pt>
                <c:pt idx="23">
                  <c:v>100</c:v>
                </c:pt>
                <c:pt idx="24">
                  <c:v>100</c:v>
                </c:pt>
                <c:pt idx="25">
                  <c:v>99</c:v>
                </c:pt>
                <c:pt idx="26">
                  <c:v>99</c:v>
                </c:pt>
                <c:pt idx="27">
                  <c:v>100</c:v>
                </c:pt>
                <c:pt idx="28">
                  <c:v>99.5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99.5</c:v>
                </c:pt>
                <c:pt idx="33">
                  <c:v>100</c:v>
                </c:pt>
                <c:pt idx="34">
                  <c:v>99.5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3C-49E1-8C8C-ACC5CCE34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085232"/>
        <c:axId val="580064112"/>
      </c:scatterChart>
      <c:valAx>
        <c:axId val="58008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64112"/>
        <c:crosses val="autoZero"/>
        <c:crossBetween val="midCat"/>
      </c:valAx>
      <c:valAx>
        <c:axId val="58006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'Full data mobility detail'!$AW$3</c:f>
              <c:strCache>
                <c:ptCount val="1"/>
                <c:pt idx="0">
                  <c:v>25th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'Full data mobility detail'!$AA$4:$AA$53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mobility detail'!$AW$4:$AW$53</c:f>
              <c:numCache>
                <c:formatCode>General</c:formatCode>
                <c:ptCount val="50"/>
                <c:pt idx="0">
                  <c:v>1</c:v>
                </c:pt>
                <c:pt idx="1">
                  <c:v>0.99750000000000005</c:v>
                </c:pt>
                <c:pt idx="2">
                  <c:v>0.995</c:v>
                </c:pt>
                <c:pt idx="3">
                  <c:v>0.995</c:v>
                </c:pt>
                <c:pt idx="4">
                  <c:v>0.83199999999999985</c:v>
                </c:pt>
                <c:pt idx="5">
                  <c:v>0.77166666666666661</c:v>
                </c:pt>
                <c:pt idx="6">
                  <c:v>0.64583333333333348</c:v>
                </c:pt>
                <c:pt idx="7">
                  <c:v>0.51833333333333331</c:v>
                </c:pt>
                <c:pt idx="8">
                  <c:v>0.41499999999999998</c:v>
                </c:pt>
                <c:pt idx="9">
                  <c:v>0.28749999999999998</c:v>
                </c:pt>
                <c:pt idx="10">
                  <c:v>0.28666666666666663</c:v>
                </c:pt>
                <c:pt idx="11">
                  <c:v>0.22083333333333335</c:v>
                </c:pt>
                <c:pt idx="12">
                  <c:v>0.21333333333333332</c:v>
                </c:pt>
                <c:pt idx="13">
                  <c:v>0.22500000000000001</c:v>
                </c:pt>
                <c:pt idx="14">
                  <c:v>0.21583333333333335</c:v>
                </c:pt>
                <c:pt idx="15">
                  <c:v>0.26083333333333331</c:v>
                </c:pt>
                <c:pt idx="16">
                  <c:v>0.26666666666666666</c:v>
                </c:pt>
                <c:pt idx="17">
                  <c:v>0.3041666666666667</c:v>
                </c:pt>
                <c:pt idx="18">
                  <c:v>0.3691666666666667</c:v>
                </c:pt>
                <c:pt idx="19">
                  <c:v>0.40166666666666673</c:v>
                </c:pt>
                <c:pt idx="20">
                  <c:v>0.44083333333333335</c:v>
                </c:pt>
                <c:pt idx="21">
                  <c:v>0.45500000000000002</c:v>
                </c:pt>
                <c:pt idx="22">
                  <c:v>0.5575</c:v>
                </c:pt>
                <c:pt idx="23">
                  <c:v>0.59583333333333333</c:v>
                </c:pt>
                <c:pt idx="24">
                  <c:v>0.6183333333333334</c:v>
                </c:pt>
                <c:pt idx="25">
                  <c:v>0.69333333333333347</c:v>
                </c:pt>
                <c:pt idx="26">
                  <c:v>0.69666666666666677</c:v>
                </c:pt>
                <c:pt idx="27">
                  <c:v>0.69750000000000001</c:v>
                </c:pt>
                <c:pt idx="28">
                  <c:v>0.65666666666666673</c:v>
                </c:pt>
                <c:pt idx="29">
                  <c:v>0.61333333333333329</c:v>
                </c:pt>
                <c:pt idx="30">
                  <c:v>0.60250000000000004</c:v>
                </c:pt>
                <c:pt idx="31">
                  <c:v>0.60333333333333328</c:v>
                </c:pt>
                <c:pt idx="32">
                  <c:v>0.62916666666666676</c:v>
                </c:pt>
                <c:pt idx="33">
                  <c:v>0.60583333333333333</c:v>
                </c:pt>
                <c:pt idx="34">
                  <c:v>0.59583333333333333</c:v>
                </c:pt>
                <c:pt idx="35">
                  <c:v>0.57666666666666666</c:v>
                </c:pt>
                <c:pt idx="36">
                  <c:v>0.60750000000000004</c:v>
                </c:pt>
                <c:pt idx="37">
                  <c:v>0.61083333333333334</c:v>
                </c:pt>
                <c:pt idx="38">
                  <c:v>0.62083333333333324</c:v>
                </c:pt>
                <c:pt idx="39">
                  <c:v>0.62333333333333329</c:v>
                </c:pt>
                <c:pt idx="40">
                  <c:v>0.68166666666666653</c:v>
                </c:pt>
                <c:pt idx="41">
                  <c:v>0.72499999999999998</c:v>
                </c:pt>
                <c:pt idx="42">
                  <c:v>0.73916666666666653</c:v>
                </c:pt>
                <c:pt idx="43">
                  <c:v>0.72166666666666657</c:v>
                </c:pt>
                <c:pt idx="44">
                  <c:v>0.63833333333333331</c:v>
                </c:pt>
                <c:pt idx="45">
                  <c:v>0.61499999999999999</c:v>
                </c:pt>
                <c:pt idx="46">
                  <c:v>0.66083333333333327</c:v>
                </c:pt>
                <c:pt idx="47">
                  <c:v>0.70166666666666655</c:v>
                </c:pt>
                <c:pt idx="48">
                  <c:v>0.77416666666666667</c:v>
                </c:pt>
                <c:pt idx="49">
                  <c:v>0.82333333333333325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F7-4932-AA4C-B7D1E8A15CD3}"/>
            </c:ext>
          </c:extLst>
        </c:ser>
        <c:ser>
          <c:idx val="1"/>
          <c:order val="1"/>
          <c:tx>
            <c:strRef>
              <c:f>'Full data mobility detail'!$AX$3</c:f>
              <c:strCache>
                <c:ptCount val="1"/>
                <c:pt idx="0">
                  <c:v>50th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'Full data mobility detail'!$AA$4:$AA$53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mobility detail'!$AX$4:$AX$53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0.99750000000000005</c:v>
                </c:pt>
                <c:pt idx="4">
                  <c:v>0.85400000000000009</c:v>
                </c:pt>
                <c:pt idx="5">
                  <c:v>0.78833333333333333</c:v>
                </c:pt>
                <c:pt idx="6">
                  <c:v>0.67</c:v>
                </c:pt>
                <c:pt idx="7">
                  <c:v>0.54833333333333334</c:v>
                </c:pt>
                <c:pt idx="8">
                  <c:v>0.42833333333333334</c:v>
                </c:pt>
                <c:pt idx="9">
                  <c:v>0.34333333333333338</c:v>
                </c:pt>
                <c:pt idx="10">
                  <c:v>0.36499999999999999</c:v>
                </c:pt>
                <c:pt idx="11">
                  <c:v>0.27500000000000002</c:v>
                </c:pt>
                <c:pt idx="12">
                  <c:v>0.25666666666666665</c:v>
                </c:pt>
                <c:pt idx="13">
                  <c:v>0.33166666666666667</c:v>
                </c:pt>
                <c:pt idx="14">
                  <c:v>0.30833333333333335</c:v>
                </c:pt>
                <c:pt idx="15">
                  <c:v>0.27666666666666667</c:v>
                </c:pt>
                <c:pt idx="16">
                  <c:v>0.35</c:v>
                </c:pt>
                <c:pt idx="17">
                  <c:v>0.38</c:v>
                </c:pt>
                <c:pt idx="18">
                  <c:v>0.42</c:v>
                </c:pt>
                <c:pt idx="19">
                  <c:v>0.46833333333333338</c:v>
                </c:pt>
                <c:pt idx="20">
                  <c:v>0.51500000000000001</c:v>
                </c:pt>
                <c:pt idx="21">
                  <c:v>0.61</c:v>
                </c:pt>
                <c:pt idx="22">
                  <c:v>0.60333333333333339</c:v>
                </c:pt>
                <c:pt idx="23">
                  <c:v>0.7</c:v>
                </c:pt>
                <c:pt idx="24">
                  <c:v>0.71166666666666667</c:v>
                </c:pt>
                <c:pt idx="25">
                  <c:v>0.72666666666666668</c:v>
                </c:pt>
                <c:pt idx="26">
                  <c:v>0.76500000000000001</c:v>
                </c:pt>
                <c:pt idx="27">
                  <c:v>0.76</c:v>
                </c:pt>
                <c:pt idx="28">
                  <c:v>0.73</c:v>
                </c:pt>
                <c:pt idx="29">
                  <c:v>0.70833333333333326</c:v>
                </c:pt>
                <c:pt idx="30">
                  <c:v>0.70666666666666667</c:v>
                </c:pt>
                <c:pt idx="31">
                  <c:v>0.69333333333333325</c:v>
                </c:pt>
                <c:pt idx="32">
                  <c:v>0.69166666666666676</c:v>
                </c:pt>
                <c:pt idx="33">
                  <c:v>0.71499999999999997</c:v>
                </c:pt>
                <c:pt idx="34">
                  <c:v>0.76500000000000001</c:v>
                </c:pt>
                <c:pt idx="35">
                  <c:v>0.67500000000000004</c:v>
                </c:pt>
                <c:pt idx="36">
                  <c:v>0.6366666666666666</c:v>
                </c:pt>
                <c:pt idx="37">
                  <c:v>0.7416666666666667</c:v>
                </c:pt>
                <c:pt idx="38">
                  <c:v>0.76</c:v>
                </c:pt>
                <c:pt idx="39">
                  <c:v>0.77333333333333332</c:v>
                </c:pt>
                <c:pt idx="40">
                  <c:v>0.81166666666666676</c:v>
                </c:pt>
                <c:pt idx="41">
                  <c:v>0.81166666666666676</c:v>
                </c:pt>
                <c:pt idx="42">
                  <c:v>0.84833333333333327</c:v>
                </c:pt>
                <c:pt idx="43">
                  <c:v>0.85166666666666668</c:v>
                </c:pt>
                <c:pt idx="44">
                  <c:v>0.80666666666666675</c:v>
                </c:pt>
                <c:pt idx="45">
                  <c:v>0.80666666666666675</c:v>
                </c:pt>
                <c:pt idx="46">
                  <c:v>0.83499999999999996</c:v>
                </c:pt>
                <c:pt idx="47">
                  <c:v>0.87</c:v>
                </c:pt>
                <c:pt idx="48">
                  <c:v>0.98666666666666669</c:v>
                </c:pt>
                <c:pt idx="49">
                  <c:v>0.9966666666666667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F7-4932-AA4C-B7D1E8A15CD3}"/>
            </c:ext>
          </c:extLst>
        </c:ser>
        <c:ser>
          <c:idx val="2"/>
          <c:order val="2"/>
          <c:tx>
            <c:strRef>
              <c:f>'Full data mobility detail'!$AY$3</c:f>
              <c:strCache>
                <c:ptCount val="1"/>
                <c:pt idx="0">
                  <c:v>75th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'Full data mobility detail'!$AA$4:$AA$53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mobility detail'!$AY$4:$AY$53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0.99875000000000003</c:v>
                </c:pt>
                <c:pt idx="4">
                  <c:v>0.87</c:v>
                </c:pt>
                <c:pt idx="5">
                  <c:v>0.85416666666666652</c:v>
                </c:pt>
                <c:pt idx="6">
                  <c:v>0.72333333333333338</c:v>
                </c:pt>
                <c:pt idx="7">
                  <c:v>0.59416666666666673</c:v>
                </c:pt>
                <c:pt idx="8">
                  <c:v>0.46916666666666662</c:v>
                </c:pt>
                <c:pt idx="9">
                  <c:v>0.41666666666666674</c:v>
                </c:pt>
                <c:pt idx="10">
                  <c:v>0.48166666666666669</c:v>
                </c:pt>
                <c:pt idx="11">
                  <c:v>0.44</c:v>
                </c:pt>
                <c:pt idx="12">
                  <c:v>0.41083333333333338</c:v>
                </c:pt>
                <c:pt idx="13">
                  <c:v>0.39333333333333331</c:v>
                </c:pt>
                <c:pt idx="14">
                  <c:v>0.34333333333333338</c:v>
                </c:pt>
                <c:pt idx="15">
                  <c:v>0.36499999999999999</c:v>
                </c:pt>
                <c:pt idx="16">
                  <c:v>0.39250000000000002</c:v>
                </c:pt>
                <c:pt idx="17">
                  <c:v>0.49083333333333334</c:v>
                </c:pt>
                <c:pt idx="18">
                  <c:v>0.62583333333333324</c:v>
                </c:pt>
                <c:pt idx="19">
                  <c:v>0.64083333333333325</c:v>
                </c:pt>
                <c:pt idx="20">
                  <c:v>0.71833333333333327</c:v>
                </c:pt>
                <c:pt idx="21">
                  <c:v>0.74166666666666659</c:v>
                </c:pt>
                <c:pt idx="22">
                  <c:v>0.75916666666666655</c:v>
                </c:pt>
                <c:pt idx="23">
                  <c:v>0.76666666666666661</c:v>
                </c:pt>
                <c:pt idx="24">
                  <c:v>0.80249999999999999</c:v>
                </c:pt>
                <c:pt idx="25">
                  <c:v>0.85833333333333339</c:v>
                </c:pt>
                <c:pt idx="26">
                  <c:v>0.87166666666666659</c:v>
                </c:pt>
                <c:pt idx="27">
                  <c:v>0.87</c:v>
                </c:pt>
                <c:pt idx="28">
                  <c:v>0.85666666666666669</c:v>
                </c:pt>
                <c:pt idx="29">
                  <c:v>0.88916666666666666</c:v>
                </c:pt>
                <c:pt idx="30">
                  <c:v>0.83416666666666672</c:v>
                </c:pt>
                <c:pt idx="31">
                  <c:v>0.84666666666666657</c:v>
                </c:pt>
                <c:pt idx="32">
                  <c:v>0.88583333333333347</c:v>
                </c:pt>
                <c:pt idx="33">
                  <c:v>0.85</c:v>
                </c:pt>
                <c:pt idx="34">
                  <c:v>0.82750000000000001</c:v>
                </c:pt>
                <c:pt idx="35">
                  <c:v>0.86166666666666658</c:v>
                </c:pt>
                <c:pt idx="36">
                  <c:v>0.87333333333333341</c:v>
                </c:pt>
                <c:pt idx="37">
                  <c:v>0.92416666666666658</c:v>
                </c:pt>
                <c:pt idx="38">
                  <c:v>0.92916666666666659</c:v>
                </c:pt>
                <c:pt idx="39">
                  <c:v>0.99583333333333346</c:v>
                </c:pt>
                <c:pt idx="40">
                  <c:v>0.99833333333333341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F7-4932-AA4C-B7D1E8A15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116192"/>
        <c:axId val="1204102752"/>
      </c:scatterChart>
      <c:valAx>
        <c:axId val="120411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102752"/>
        <c:crosses val="autoZero"/>
        <c:crossBetween val="midCat"/>
      </c:valAx>
      <c:valAx>
        <c:axId val="1204102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116192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'Full data infectious details'!$W$3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'Full data infectious details'!$A$4:$A$53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infectious details'!$W$4:$W$53</c:f>
              <c:numCache>
                <c:formatCode>General</c:formatCode>
                <c:ptCount val="50"/>
                <c:pt idx="0">
                  <c:v>2</c:v>
                </c:pt>
                <c:pt idx="1">
                  <c:v>0</c:v>
                </c:pt>
                <c:pt idx="2">
                  <c:v>1.5</c:v>
                </c:pt>
                <c:pt idx="3">
                  <c:v>3.5</c:v>
                </c:pt>
                <c:pt idx="4">
                  <c:v>0.5</c:v>
                </c:pt>
                <c:pt idx="5">
                  <c:v>1</c:v>
                </c:pt>
                <c:pt idx="6">
                  <c:v>2</c:v>
                </c:pt>
                <c:pt idx="7">
                  <c:v>2.5</c:v>
                </c:pt>
                <c:pt idx="8">
                  <c:v>3.5</c:v>
                </c:pt>
                <c:pt idx="9">
                  <c:v>2</c:v>
                </c:pt>
                <c:pt idx="10">
                  <c:v>2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70-43E3-8F6F-6AAC95E9F099}"/>
            </c:ext>
          </c:extLst>
        </c:ser>
        <c:ser>
          <c:idx val="1"/>
          <c:order val="1"/>
          <c:tx>
            <c:strRef>
              <c:f>'Full data infectious details'!$X$3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'Full data infectious details'!$A$4:$A$53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infectious details'!$X$4:$X$53</c:f>
              <c:numCache>
                <c:formatCode>General</c:formatCode>
                <c:ptCount val="50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70-43E3-8F6F-6AAC95E9F099}"/>
            </c:ext>
          </c:extLst>
        </c:ser>
        <c:ser>
          <c:idx val="2"/>
          <c:order val="2"/>
          <c:tx>
            <c:strRef>
              <c:f>'Full data infectious details'!$Y$3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'Full data infectious details'!$A$4:$A$53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infectious details'!$Y$4:$Y$53</c:f>
              <c:numCache>
                <c:formatCode>General</c:formatCode>
                <c:ptCount val="5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6.5</c:v>
                </c:pt>
                <c:pt idx="4">
                  <c:v>3</c:v>
                </c:pt>
                <c:pt idx="5">
                  <c:v>7.5</c:v>
                </c:pt>
                <c:pt idx="6">
                  <c:v>5</c:v>
                </c:pt>
                <c:pt idx="7">
                  <c:v>4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2.5</c:v>
                </c:pt>
                <c:pt idx="14">
                  <c:v>2.5</c:v>
                </c:pt>
                <c:pt idx="15">
                  <c:v>2</c:v>
                </c:pt>
                <c:pt idx="16">
                  <c:v>1.5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0.5</c:v>
                </c:pt>
                <c:pt idx="21">
                  <c:v>1</c:v>
                </c:pt>
                <c:pt idx="22">
                  <c:v>2.5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1.5</c:v>
                </c:pt>
                <c:pt idx="28">
                  <c:v>0.5</c:v>
                </c:pt>
                <c:pt idx="29">
                  <c:v>1</c:v>
                </c:pt>
                <c:pt idx="30">
                  <c:v>1.5</c:v>
                </c:pt>
                <c:pt idx="31">
                  <c:v>2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0.5</c:v>
                </c:pt>
                <c:pt idx="37">
                  <c:v>0.5</c:v>
                </c:pt>
                <c:pt idx="38">
                  <c:v>1</c:v>
                </c:pt>
                <c:pt idx="39">
                  <c:v>0.5</c:v>
                </c:pt>
                <c:pt idx="40">
                  <c:v>0.5</c:v>
                </c:pt>
                <c:pt idx="41">
                  <c:v>1.5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70-43E3-8F6F-6AAC95E9F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085232"/>
        <c:axId val="580064112"/>
      </c:scatterChart>
      <c:valAx>
        <c:axId val="58008523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64112"/>
        <c:crosses val="autoZero"/>
        <c:crossBetween val="midCat"/>
      </c:valAx>
      <c:valAx>
        <c:axId val="58006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New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'Full data infectious details'!$AW$3</c:f>
              <c:strCache>
                <c:ptCount val="1"/>
                <c:pt idx="0">
                  <c:v>25th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'Full data infectious details'!$AA$4:$AA$53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infectious details'!$AW$4:$AW$53</c:f>
              <c:numCache>
                <c:formatCode>General</c:formatCode>
                <c:ptCount val="50"/>
                <c:pt idx="0">
                  <c:v>2</c:v>
                </c:pt>
                <c:pt idx="1">
                  <c:v>2</c:v>
                </c:pt>
                <c:pt idx="2">
                  <c:v>4.5</c:v>
                </c:pt>
                <c:pt idx="3">
                  <c:v>9.5</c:v>
                </c:pt>
                <c:pt idx="4">
                  <c:v>11.5</c:v>
                </c:pt>
                <c:pt idx="5">
                  <c:v>13.5</c:v>
                </c:pt>
                <c:pt idx="6">
                  <c:v>12.5</c:v>
                </c:pt>
                <c:pt idx="7">
                  <c:v>14</c:v>
                </c:pt>
                <c:pt idx="8">
                  <c:v>14</c:v>
                </c:pt>
                <c:pt idx="9">
                  <c:v>17</c:v>
                </c:pt>
                <c:pt idx="10">
                  <c:v>18</c:v>
                </c:pt>
                <c:pt idx="11">
                  <c:v>18.5</c:v>
                </c:pt>
                <c:pt idx="12">
                  <c:v>16</c:v>
                </c:pt>
                <c:pt idx="13">
                  <c:v>13.5</c:v>
                </c:pt>
                <c:pt idx="14">
                  <c:v>9.5</c:v>
                </c:pt>
                <c:pt idx="15">
                  <c:v>6.5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</c:v>
                </c:pt>
                <c:pt idx="26">
                  <c:v>1.5</c:v>
                </c:pt>
                <c:pt idx="27">
                  <c:v>2</c:v>
                </c:pt>
                <c:pt idx="28">
                  <c:v>1.5</c:v>
                </c:pt>
                <c:pt idx="29">
                  <c:v>2</c:v>
                </c:pt>
                <c:pt idx="30">
                  <c:v>2.5</c:v>
                </c:pt>
                <c:pt idx="31">
                  <c:v>2</c:v>
                </c:pt>
                <c:pt idx="32">
                  <c:v>1.5</c:v>
                </c:pt>
                <c:pt idx="33">
                  <c:v>0.5</c:v>
                </c:pt>
                <c:pt idx="34">
                  <c:v>0.5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1A-499C-8976-1B4614A16838}"/>
            </c:ext>
          </c:extLst>
        </c:ser>
        <c:ser>
          <c:idx val="1"/>
          <c:order val="1"/>
          <c:tx>
            <c:strRef>
              <c:f>'Full data infectious details'!$AX$3</c:f>
              <c:strCache>
                <c:ptCount val="1"/>
                <c:pt idx="0">
                  <c:v>50th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'Full data infectious details'!$AA$4:$AA$53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infectious details'!$AX$4:$AX$53</c:f>
              <c:numCache>
                <c:formatCode>General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7</c:v>
                </c:pt>
                <c:pt idx="3">
                  <c:v>11</c:v>
                </c:pt>
                <c:pt idx="4">
                  <c:v>13</c:v>
                </c:pt>
                <c:pt idx="5">
                  <c:v>17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25</c:v>
                </c:pt>
                <c:pt idx="11">
                  <c:v>22</c:v>
                </c:pt>
                <c:pt idx="12">
                  <c:v>18</c:v>
                </c:pt>
                <c:pt idx="13">
                  <c:v>17</c:v>
                </c:pt>
                <c:pt idx="14">
                  <c:v>12</c:v>
                </c:pt>
                <c:pt idx="15">
                  <c:v>11</c:v>
                </c:pt>
                <c:pt idx="16">
                  <c:v>9</c:v>
                </c:pt>
                <c:pt idx="17">
                  <c:v>7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4</c:v>
                </c:pt>
                <c:pt idx="27">
                  <c:v>6</c:v>
                </c:pt>
                <c:pt idx="28">
                  <c:v>4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A-499C-8976-1B4614A16838}"/>
            </c:ext>
          </c:extLst>
        </c:ser>
        <c:ser>
          <c:idx val="2"/>
          <c:order val="2"/>
          <c:tx>
            <c:strRef>
              <c:f>'Full data infectious details'!$AY$3</c:f>
              <c:strCache>
                <c:ptCount val="1"/>
                <c:pt idx="0">
                  <c:v>75th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'Full data infectious details'!$AA$4:$AA$53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'Full data infectious details'!$AY$4:$AY$53</c:f>
              <c:numCache>
                <c:formatCode>General</c:formatCode>
                <c:ptCount val="50"/>
                <c:pt idx="0">
                  <c:v>2</c:v>
                </c:pt>
                <c:pt idx="1">
                  <c:v>4</c:v>
                </c:pt>
                <c:pt idx="2">
                  <c:v>7.5</c:v>
                </c:pt>
                <c:pt idx="3">
                  <c:v>14.5</c:v>
                </c:pt>
                <c:pt idx="4">
                  <c:v>17.5</c:v>
                </c:pt>
                <c:pt idx="5">
                  <c:v>23</c:v>
                </c:pt>
                <c:pt idx="6">
                  <c:v>26.5</c:v>
                </c:pt>
                <c:pt idx="7">
                  <c:v>28.5</c:v>
                </c:pt>
                <c:pt idx="8">
                  <c:v>31</c:v>
                </c:pt>
                <c:pt idx="9">
                  <c:v>28.5</c:v>
                </c:pt>
                <c:pt idx="10">
                  <c:v>26.5</c:v>
                </c:pt>
                <c:pt idx="11">
                  <c:v>25</c:v>
                </c:pt>
                <c:pt idx="12">
                  <c:v>22</c:v>
                </c:pt>
                <c:pt idx="13">
                  <c:v>23.5</c:v>
                </c:pt>
                <c:pt idx="14">
                  <c:v>20</c:v>
                </c:pt>
                <c:pt idx="15">
                  <c:v>14.5</c:v>
                </c:pt>
                <c:pt idx="16">
                  <c:v>14</c:v>
                </c:pt>
                <c:pt idx="17">
                  <c:v>11</c:v>
                </c:pt>
                <c:pt idx="18">
                  <c:v>10.5</c:v>
                </c:pt>
                <c:pt idx="19">
                  <c:v>8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  <c:pt idx="24">
                  <c:v>5.5</c:v>
                </c:pt>
                <c:pt idx="25">
                  <c:v>8.5</c:v>
                </c:pt>
                <c:pt idx="26">
                  <c:v>9</c:v>
                </c:pt>
                <c:pt idx="27">
                  <c:v>7.5</c:v>
                </c:pt>
                <c:pt idx="28">
                  <c:v>8</c:v>
                </c:pt>
                <c:pt idx="29">
                  <c:v>6.5</c:v>
                </c:pt>
                <c:pt idx="30">
                  <c:v>6.5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6.5</c:v>
                </c:pt>
                <c:pt idx="35">
                  <c:v>6</c:v>
                </c:pt>
                <c:pt idx="36">
                  <c:v>6.5</c:v>
                </c:pt>
                <c:pt idx="37">
                  <c:v>5</c:v>
                </c:pt>
                <c:pt idx="38">
                  <c:v>4.5</c:v>
                </c:pt>
                <c:pt idx="39">
                  <c:v>6</c:v>
                </c:pt>
                <c:pt idx="40">
                  <c:v>5.5</c:v>
                </c:pt>
                <c:pt idx="41">
                  <c:v>7</c:v>
                </c:pt>
                <c:pt idx="42">
                  <c:v>5</c:v>
                </c:pt>
                <c:pt idx="43">
                  <c:v>5.5</c:v>
                </c:pt>
                <c:pt idx="44">
                  <c:v>3.5</c:v>
                </c:pt>
                <c:pt idx="45">
                  <c:v>2</c:v>
                </c:pt>
                <c:pt idx="46">
                  <c:v>2.5</c:v>
                </c:pt>
                <c:pt idx="47">
                  <c:v>1.5</c:v>
                </c:pt>
                <c:pt idx="48">
                  <c:v>1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1A-499C-8976-1B4614A16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085232"/>
        <c:axId val="580064112"/>
      </c:scatterChart>
      <c:valAx>
        <c:axId val="58008523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64112"/>
        <c:crosses val="autoZero"/>
        <c:crossBetween val="midCat"/>
      </c:valAx>
      <c:valAx>
        <c:axId val="58006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Infections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Baserun_Full!$B$2</c:f>
              <c:strCache>
                <c:ptCount val="1"/>
                <c:pt idx="0">
                  <c:v>NI_Baserun1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Baserun_Full!$A$3:$A$52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Baserun_Full!$B$3:$B$52</c:f>
              <c:numCache>
                <c:formatCode>General</c:formatCode>
                <c:ptCount val="50"/>
                <c:pt idx="0">
                  <c:v>2</c:v>
                </c:pt>
                <c:pt idx="1">
                  <c:v>0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  <c:pt idx="5">
                  <c:v>15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5</c:v>
                </c:pt>
                <c:pt idx="14">
                  <c:v>5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F-46EC-ACB8-4A62594AC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Baserun_Full!$C$2</c:f>
              <c:strCache>
                <c:ptCount val="1"/>
                <c:pt idx="0">
                  <c:v>NI_Baserun2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Baserun_Full!$A$3:$A$52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Baserun_Full!$C$3:$C$52</c:f>
              <c:numCache>
                <c:formatCode>General</c:formatCode>
                <c:ptCount val="50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10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B9-4002-B9FF-B8AC8BC01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Baserun_Full!$D$2</c:f>
              <c:strCache>
                <c:ptCount val="1"/>
                <c:pt idx="0">
                  <c:v>NI_Baserun3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Baserun_Full!$A$3:$A$52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Baserun_Full!$D$3:$D$52</c:f>
              <c:numCache>
                <c:formatCode>General</c:formatCode>
                <c:ptCount val="50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1E-4C07-984E-18D9F23A8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Baserun_Full!$E$2</c:f>
              <c:strCache>
                <c:ptCount val="1"/>
                <c:pt idx="0">
                  <c:v>NI_Baserun4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Baserun_Full!$A$3:$A$52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Baserun_Full!$E$3:$E$52</c:f>
              <c:numCache>
                <c:formatCode>General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6</c:v>
                </c:pt>
                <c:pt idx="6">
                  <c:v>7</c:v>
                </c:pt>
                <c:pt idx="7">
                  <c:v>4</c:v>
                </c:pt>
                <c:pt idx="8">
                  <c:v>7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5</c:v>
                </c:pt>
                <c:pt idx="14">
                  <c:v>4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6C-4C6B-B3FE-F04D6026D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Baserun_Full!$F$2</c:f>
              <c:strCache>
                <c:ptCount val="1"/>
                <c:pt idx="0">
                  <c:v>NI_Baserun5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Baserun_Full!$A$3:$A$52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Baserun_Full!$F$3:$F$52</c:f>
              <c:numCache>
                <c:formatCode>General</c:formatCode>
                <c:ptCount val="5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1</c:v>
                </c:pt>
                <c:pt idx="21">
                  <c:v>4</c:v>
                </c:pt>
                <c:pt idx="22">
                  <c:v>0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2</c:v>
                </c:pt>
                <c:pt idx="29">
                  <c:v>2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74-43B7-85B8-10BF82AA7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Baserun_Full!$L$2</c:f>
              <c:strCache>
                <c:ptCount val="1"/>
                <c:pt idx="0">
                  <c:v>Mob_Baserun1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Baserun_Full!$K$3:$K$52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Baserun_Full!$L$3:$L$52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39</c:v>
                </c:pt>
                <c:pt idx="5">
                  <c:v>97</c:v>
                </c:pt>
                <c:pt idx="6">
                  <c:v>37</c:v>
                </c:pt>
                <c:pt idx="7">
                  <c:v>30</c:v>
                </c:pt>
                <c:pt idx="8">
                  <c:v>30</c:v>
                </c:pt>
                <c:pt idx="9">
                  <c:v>22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92</c:v>
                </c:pt>
                <c:pt idx="14">
                  <c:v>97</c:v>
                </c:pt>
                <c:pt idx="15">
                  <c:v>100</c:v>
                </c:pt>
                <c:pt idx="16">
                  <c:v>56</c:v>
                </c:pt>
                <c:pt idx="17">
                  <c:v>33</c:v>
                </c:pt>
                <c:pt idx="18">
                  <c:v>35</c:v>
                </c:pt>
                <c:pt idx="19">
                  <c:v>34</c:v>
                </c:pt>
                <c:pt idx="20">
                  <c:v>51</c:v>
                </c:pt>
                <c:pt idx="21">
                  <c:v>98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84-4A40-95CB-4120333D9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Baserun_Full!$M$2</c:f>
              <c:strCache>
                <c:ptCount val="1"/>
                <c:pt idx="0">
                  <c:v>Mob_Baserun2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Baserun_Full!$K$3:$K$52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Baserun_Full!$M$3:$M$52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37</c:v>
                </c:pt>
                <c:pt idx="5">
                  <c:v>36</c:v>
                </c:pt>
                <c:pt idx="6">
                  <c:v>28</c:v>
                </c:pt>
                <c:pt idx="7">
                  <c:v>14</c:v>
                </c:pt>
                <c:pt idx="8">
                  <c:v>26</c:v>
                </c:pt>
                <c:pt idx="9">
                  <c:v>18</c:v>
                </c:pt>
                <c:pt idx="10">
                  <c:v>27</c:v>
                </c:pt>
                <c:pt idx="11">
                  <c:v>26</c:v>
                </c:pt>
                <c:pt idx="12">
                  <c:v>23</c:v>
                </c:pt>
                <c:pt idx="13">
                  <c:v>27</c:v>
                </c:pt>
                <c:pt idx="14">
                  <c:v>29</c:v>
                </c:pt>
                <c:pt idx="15">
                  <c:v>95</c:v>
                </c:pt>
                <c:pt idx="16">
                  <c:v>44</c:v>
                </c:pt>
                <c:pt idx="17">
                  <c:v>99</c:v>
                </c:pt>
                <c:pt idx="18">
                  <c:v>99</c:v>
                </c:pt>
                <c:pt idx="19">
                  <c:v>48</c:v>
                </c:pt>
                <c:pt idx="20">
                  <c:v>99</c:v>
                </c:pt>
                <c:pt idx="21">
                  <c:v>99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9-48E6-A7CC-6D4ADF6FE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Baserun_Full!$N$2</c:f>
              <c:strCache>
                <c:ptCount val="1"/>
                <c:pt idx="0">
                  <c:v>Mob_Baserun3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Baserun_Full!$K$3:$K$52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Baserun_Full!$N$3:$N$52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38</c:v>
                </c:pt>
                <c:pt idx="5">
                  <c:v>52</c:v>
                </c:pt>
                <c:pt idx="6">
                  <c:v>37</c:v>
                </c:pt>
                <c:pt idx="7">
                  <c:v>34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41</c:v>
                </c:pt>
                <c:pt idx="12">
                  <c:v>30</c:v>
                </c:pt>
                <c:pt idx="13">
                  <c:v>35</c:v>
                </c:pt>
                <c:pt idx="14">
                  <c:v>36</c:v>
                </c:pt>
                <c:pt idx="15">
                  <c:v>34</c:v>
                </c:pt>
                <c:pt idx="16">
                  <c:v>34</c:v>
                </c:pt>
                <c:pt idx="17">
                  <c:v>31</c:v>
                </c:pt>
                <c:pt idx="18">
                  <c:v>52</c:v>
                </c:pt>
                <c:pt idx="19">
                  <c:v>55</c:v>
                </c:pt>
                <c:pt idx="20">
                  <c:v>99</c:v>
                </c:pt>
                <c:pt idx="21">
                  <c:v>59</c:v>
                </c:pt>
                <c:pt idx="22">
                  <c:v>62</c:v>
                </c:pt>
                <c:pt idx="23">
                  <c:v>99</c:v>
                </c:pt>
                <c:pt idx="24">
                  <c:v>40</c:v>
                </c:pt>
                <c:pt idx="25">
                  <c:v>99</c:v>
                </c:pt>
                <c:pt idx="26">
                  <c:v>100</c:v>
                </c:pt>
                <c:pt idx="27">
                  <c:v>56</c:v>
                </c:pt>
                <c:pt idx="28">
                  <c:v>55</c:v>
                </c:pt>
                <c:pt idx="29">
                  <c:v>46</c:v>
                </c:pt>
                <c:pt idx="30">
                  <c:v>40</c:v>
                </c:pt>
                <c:pt idx="31">
                  <c:v>97</c:v>
                </c:pt>
                <c:pt idx="32">
                  <c:v>97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C6-41FC-8276-12D7CBF46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Baserun_Full!$O$2</c:f>
              <c:strCache>
                <c:ptCount val="1"/>
                <c:pt idx="0">
                  <c:v>Mob_Baserun4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Baserun_Full!$K$3:$K$52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Baserun_Full!$O$3:$O$52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37</c:v>
                </c:pt>
                <c:pt idx="5">
                  <c:v>42</c:v>
                </c:pt>
                <c:pt idx="6">
                  <c:v>34</c:v>
                </c:pt>
                <c:pt idx="7">
                  <c:v>30</c:v>
                </c:pt>
                <c:pt idx="8">
                  <c:v>32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23</c:v>
                </c:pt>
                <c:pt idx="13">
                  <c:v>34</c:v>
                </c:pt>
                <c:pt idx="14">
                  <c:v>35</c:v>
                </c:pt>
                <c:pt idx="15">
                  <c:v>32</c:v>
                </c:pt>
                <c:pt idx="16">
                  <c:v>45</c:v>
                </c:pt>
                <c:pt idx="17">
                  <c:v>34</c:v>
                </c:pt>
                <c:pt idx="18">
                  <c:v>41</c:v>
                </c:pt>
                <c:pt idx="19">
                  <c:v>94</c:v>
                </c:pt>
                <c:pt idx="20">
                  <c:v>53</c:v>
                </c:pt>
                <c:pt idx="21">
                  <c:v>99</c:v>
                </c:pt>
                <c:pt idx="22">
                  <c:v>98</c:v>
                </c:pt>
                <c:pt idx="23">
                  <c:v>35</c:v>
                </c:pt>
                <c:pt idx="24">
                  <c:v>98</c:v>
                </c:pt>
                <c:pt idx="25">
                  <c:v>53</c:v>
                </c:pt>
                <c:pt idx="26">
                  <c:v>38</c:v>
                </c:pt>
                <c:pt idx="27">
                  <c:v>99</c:v>
                </c:pt>
                <c:pt idx="28">
                  <c:v>53</c:v>
                </c:pt>
                <c:pt idx="29">
                  <c:v>99</c:v>
                </c:pt>
                <c:pt idx="30">
                  <c:v>100</c:v>
                </c:pt>
                <c:pt idx="31">
                  <c:v>52</c:v>
                </c:pt>
                <c:pt idx="32">
                  <c:v>99</c:v>
                </c:pt>
                <c:pt idx="33">
                  <c:v>99</c:v>
                </c:pt>
                <c:pt idx="34">
                  <c:v>50</c:v>
                </c:pt>
                <c:pt idx="35">
                  <c:v>99</c:v>
                </c:pt>
                <c:pt idx="36">
                  <c:v>55</c:v>
                </c:pt>
                <c:pt idx="37">
                  <c:v>99</c:v>
                </c:pt>
                <c:pt idx="38">
                  <c:v>100</c:v>
                </c:pt>
                <c:pt idx="39">
                  <c:v>100</c:v>
                </c:pt>
                <c:pt idx="40">
                  <c:v>50</c:v>
                </c:pt>
                <c:pt idx="41">
                  <c:v>51</c:v>
                </c:pt>
                <c:pt idx="42">
                  <c:v>50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16-4E7F-956D-DAA3BACCC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Baserun_Full!$P$2</c:f>
              <c:strCache>
                <c:ptCount val="1"/>
                <c:pt idx="0">
                  <c:v>Mob_Baserun5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Baserun_Full!$K$3:$K$52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Baserun_Full!$P$3:$P$52</c:f>
              <c:numCache>
                <c:formatCode>General</c:formatCode>
                <c:ptCount val="50"/>
                <c:pt idx="0">
                  <c:v>100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30</c:v>
                </c:pt>
                <c:pt idx="5">
                  <c:v>46</c:v>
                </c:pt>
                <c:pt idx="6">
                  <c:v>29</c:v>
                </c:pt>
                <c:pt idx="7">
                  <c:v>26</c:v>
                </c:pt>
                <c:pt idx="8">
                  <c:v>21</c:v>
                </c:pt>
                <c:pt idx="9">
                  <c:v>23</c:v>
                </c:pt>
                <c:pt idx="10">
                  <c:v>26</c:v>
                </c:pt>
                <c:pt idx="11">
                  <c:v>26</c:v>
                </c:pt>
                <c:pt idx="12">
                  <c:v>21</c:v>
                </c:pt>
                <c:pt idx="13">
                  <c:v>25</c:v>
                </c:pt>
                <c:pt idx="14">
                  <c:v>31</c:v>
                </c:pt>
                <c:pt idx="15">
                  <c:v>26</c:v>
                </c:pt>
                <c:pt idx="16">
                  <c:v>96</c:v>
                </c:pt>
                <c:pt idx="17">
                  <c:v>30</c:v>
                </c:pt>
                <c:pt idx="18">
                  <c:v>98</c:v>
                </c:pt>
                <c:pt idx="19">
                  <c:v>46</c:v>
                </c:pt>
                <c:pt idx="20">
                  <c:v>99</c:v>
                </c:pt>
                <c:pt idx="21">
                  <c:v>98</c:v>
                </c:pt>
                <c:pt idx="22">
                  <c:v>40</c:v>
                </c:pt>
                <c:pt idx="23">
                  <c:v>96</c:v>
                </c:pt>
                <c:pt idx="24">
                  <c:v>48</c:v>
                </c:pt>
                <c:pt idx="25">
                  <c:v>40</c:v>
                </c:pt>
                <c:pt idx="26">
                  <c:v>96</c:v>
                </c:pt>
                <c:pt idx="27">
                  <c:v>35</c:v>
                </c:pt>
                <c:pt idx="28">
                  <c:v>97</c:v>
                </c:pt>
                <c:pt idx="29">
                  <c:v>98</c:v>
                </c:pt>
                <c:pt idx="30">
                  <c:v>31</c:v>
                </c:pt>
                <c:pt idx="31">
                  <c:v>98</c:v>
                </c:pt>
                <c:pt idx="32">
                  <c:v>29</c:v>
                </c:pt>
                <c:pt idx="33">
                  <c:v>29</c:v>
                </c:pt>
                <c:pt idx="34">
                  <c:v>98</c:v>
                </c:pt>
                <c:pt idx="35">
                  <c:v>30</c:v>
                </c:pt>
                <c:pt idx="36">
                  <c:v>98</c:v>
                </c:pt>
                <c:pt idx="37">
                  <c:v>99</c:v>
                </c:pt>
                <c:pt idx="38">
                  <c:v>42</c:v>
                </c:pt>
                <c:pt idx="39">
                  <c:v>97</c:v>
                </c:pt>
                <c:pt idx="40">
                  <c:v>45</c:v>
                </c:pt>
                <c:pt idx="41">
                  <c:v>43</c:v>
                </c:pt>
                <c:pt idx="42">
                  <c:v>48</c:v>
                </c:pt>
                <c:pt idx="43">
                  <c:v>49</c:v>
                </c:pt>
                <c:pt idx="44">
                  <c:v>98</c:v>
                </c:pt>
                <c:pt idx="45">
                  <c:v>99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6-486A-98C5-3755B579A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Aware New Infection:</a:t>
            </a:r>
            <a:r>
              <a:rPr lang="en-US" baseline="0"/>
              <a:t> Max, Min,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Baserun_Full!$G$2</c:f>
              <c:strCache>
                <c:ptCount val="1"/>
                <c:pt idx="0">
                  <c:v>NI_Min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Baserun_Full!$A$3:$A$52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Baserun_Full!$G$3:$G$52</c:f>
              <c:numCache>
                <c:formatCode>General</c:formatCode>
                <c:ptCount val="50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9-4F6F-BF97-9E4C109C59E9}"/>
            </c:ext>
          </c:extLst>
        </c:ser>
        <c:ser>
          <c:idx val="1"/>
          <c:order val="1"/>
          <c:tx>
            <c:strRef>
              <c:f>Baserun_Full!$H$2</c:f>
              <c:strCache>
                <c:ptCount val="1"/>
                <c:pt idx="0">
                  <c:v>NI_Mean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Baserun_Full!$A$3:$A$52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Baserun_Full!$H$3:$H$52</c:f>
              <c:numCache>
                <c:formatCode>General</c:formatCode>
                <c:ptCount val="50"/>
                <c:pt idx="0">
                  <c:v>2</c:v>
                </c:pt>
                <c:pt idx="1">
                  <c:v>1.8</c:v>
                </c:pt>
                <c:pt idx="2">
                  <c:v>4.5999999999999996</c:v>
                </c:pt>
                <c:pt idx="3">
                  <c:v>6.6</c:v>
                </c:pt>
                <c:pt idx="4">
                  <c:v>3.6</c:v>
                </c:pt>
                <c:pt idx="5">
                  <c:v>6.8</c:v>
                </c:pt>
                <c:pt idx="6">
                  <c:v>5.8</c:v>
                </c:pt>
                <c:pt idx="7">
                  <c:v>4.2</c:v>
                </c:pt>
                <c:pt idx="8">
                  <c:v>5.4</c:v>
                </c:pt>
                <c:pt idx="9">
                  <c:v>2.8</c:v>
                </c:pt>
                <c:pt idx="10">
                  <c:v>2.6</c:v>
                </c:pt>
                <c:pt idx="11">
                  <c:v>1.2</c:v>
                </c:pt>
                <c:pt idx="12">
                  <c:v>1</c:v>
                </c:pt>
                <c:pt idx="13">
                  <c:v>2.8</c:v>
                </c:pt>
                <c:pt idx="14">
                  <c:v>2</c:v>
                </c:pt>
                <c:pt idx="15">
                  <c:v>1.2</c:v>
                </c:pt>
                <c:pt idx="16">
                  <c:v>0.4</c:v>
                </c:pt>
                <c:pt idx="17">
                  <c:v>0.2</c:v>
                </c:pt>
                <c:pt idx="18">
                  <c:v>0.8</c:v>
                </c:pt>
                <c:pt idx="19">
                  <c:v>0.4</c:v>
                </c:pt>
                <c:pt idx="20">
                  <c:v>0.6</c:v>
                </c:pt>
                <c:pt idx="21">
                  <c:v>1</c:v>
                </c:pt>
                <c:pt idx="22">
                  <c:v>0.4</c:v>
                </c:pt>
                <c:pt idx="23">
                  <c:v>1</c:v>
                </c:pt>
                <c:pt idx="24">
                  <c:v>0.4</c:v>
                </c:pt>
                <c:pt idx="25">
                  <c:v>0.8</c:v>
                </c:pt>
                <c:pt idx="26">
                  <c:v>1</c:v>
                </c:pt>
                <c:pt idx="27">
                  <c:v>0.2</c:v>
                </c:pt>
                <c:pt idx="28">
                  <c:v>0.4</c:v>
                </c:pt>
                <c:pt idx="29">
                  <c:v>0.4</c:v>
                </c:pt>
                <c:pt idx="30">
                  <c:v>0.2</c:v>
                </c:pt>
                <c:pt idx="31">
                  <c:v>0.4</c:v>
                </c:pt>
                <c:pt idx="32">
                  <c:v>0.2</c:v>
                </c:pt>
                <c:pt idx="33">
                  <c:v>0</c:v>
                </c:pt>
                <c:pt idx="34">
                  <c:v>0.6</c:v>
                </c:pt>
                <c:pt idx="35">
                  <c:v>0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9-4F6F-BF97-9E4C109C59E9}"/>
            </c:ext>
          </c:extLst>
        </c:ser>
        <c:ser>
          <c:idx val="2"/>
          <c:order val="2"/>
          <c:tx>
            <c:strRef>
              <c:f>Baserun_Full!$I$2</c:f>
              <c:strCache>
                <c:ptCount val="1"/>
                <c:pt idx="0">
                  <c:v>NI_Max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Baserun_Full!$A$3:$A$52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Baserun_Full!$I$3:$I$52</c:f>
              <c:numCache>
                <c:formatCode>General</c:formatCode>
                <c:ptCount val="50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10</c:v>
                </c:pt>
                <c:pt idx="4">
                  <c:v>6</c:v>
                </c:pt>
                <c:pt idx="5">
                  <c:v>15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5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4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A9-4F6F-BF97-9E4C109C5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700160"/>
        <c:axId val="378696800"/>
      </c:lineChart>
      <c:catAx>
        <c:axId val="37870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96800"/>
        <c:crosses val="autoZero"/>
        <c:auto val="1"/>
        <c:lblAlgn val="ctr"/>
        <c:lblOffset val="100"/>
        <c:noMultiLvlLbl val="0"/>
      </c:catAx>
      <c:valAx>
        <c:axId val="37869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0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Aware Mobility</a:t>
            </a:r>
            <a:r>
              <a:rPr lang="en-US" baseline="0"/>
              <a:t>: Max, Min, Avg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Baserun_Full!$Q$2</c:f>
              <c:strCache>
                <c:ptCount val="1"/>
                <c:pt idx="0">
                  <c:v>Mob_Min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Baserun_Full!$K$3:$K$52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Baserun_Full!$Q$3:$Q$52</c:f>
              <c:numCache>
                <c:formatCode>General</c:formatCode>
                <c:ptCount val="50"/>
                <c:pt idx="0">
                  <c:v>100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30</c:v>
                </c:pt>
                <c:pt idx="5">
                  <c:v>36</c:v>
                </c:pt>
                <c:pt idx="6">
                  <c:v>28</c:v>
                </c:pt>
                <c:pt idx="7">
                  <c:v>14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25</c:v>
                </c:pt>
                <c:pt idx="14">
                  <c:v>29</c:v>
                </c:pt>
                <c:pt idx="15">
                  <c:v>26</c:v>
                </c:pt>
                <c:pt idx="16">
                  <c:v>34</c:v>
                </c:pt>
                <c:pt idx="17">
                  <c:v>30</c:v>
                </c:pt>
                <c:pt idx="18">
                  <c:v>35</c:v>
                </c:pt>
                <c:pt idx="19">
                  <c:v>34</c:v>
                </c:pt>
                <c:pt idx="20">
                  <c:v>51</c:v>
                </c:pt>
                <c:pt idx="21">
                  <c:v>59</c:v>
                </c:pt>
                <c:pt idx="22">
                  <c:v>40</c:v>
                </c:pt>
                <c:pt idx="23">
                  <c:v>35</c:v>
                </c:pt>
                <c:pt idx="24">
                  <c:v>40</c:v>
                </c:pt>
                <c:pt idx="25">
                  <c:v>40</c:v>
                </c:pt>
                <c:pt idx="26">
                  <c:v>38</c:v>
                </c:pt>
                <c:pt idx="27">
                  <c:v>35</c:v>
                </c:pt>
                <c:pt idx="28">
                  <c:v>53</c:v>
                </c:pt>
                <c:pt idx="29">
                  <c:v>46</c:v>
                </c:pt>
                <c:pt idx="30">
                  <c:v>31</c:v>
                </c:pt>
                <c:pt idx="31">
                  <c:v>52</c:v>
                </c:pt>
                <c:pt idx="32">
                  <c:v>29</c:v>
                </c:pt>
                <c:pt idx="33">
                  <c:v>29</c:v>
                </c:pt>
                <c:pt idx="34">
                  <c:v>50</c:v>
                </c:pt>
                <c:pt idx="35">
                  <c:v>30</c:v>
                </c:pt>
                <c:pt idx="36">
                  <c:v>55</c:v>
                </c:pt>
                <c:pt idx="37">
                  <c:v>99</c:v>
                </c:pt>
                <c:pt idx="38">
                  <c:v>42</c:v>
                </c:pt>
                <c:pt idx="39">
                  <c:v>97</c:v>
                </c:pt>
                <c:pt idx="40">
                  <c:v>45</c:v>
                </c:pt>
                <c:pt idx="41">
                  <c:v>43</c:v>
                </c:pt>
                <c:pt idx="42">
                  <c:v>48</c:v>
                </c:pt>
                <c:pt idx="43">
                  <c:v>49</c:v>
                </c:pt>
                <c:pt idx="44">
                  <c:v>98</c:v>
                </c:pt>
                <c:pt idx="45">
                  <c:v>99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E-41AE-9276-EFC7BE73B03C}"/>
            </c:ext>
          </c:extLst>
        </c:ser>
        <c:ser>
          <c:idx val="1"/>
          <c:order val="1"/>
          <c:tx>
            <c:strRef>
              <c:f>Baserun_Full!$R$2</c:f>
              <c:strCache>
                <c:ptCount val="1"/>
                <c:pt idx="0">
                  <c:v>Mob_Mean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Baserun_Full!$K$3:$K$52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Baserun_Full!$R$3:$R$52</c:f>
              <c:numCache>
                <c:formatCode>General</c:formatCode>
                <c:ptCount val="50"/>
                <c:pt idx="0">
                  <c:v>100</c:v>
                </c:pt>
                <c:pt idx="1">
                  <c:v>99.8</c:v>
                </c:pt>
                <c:pt idx="2">
                  <c:v>99.8</c:v>
                </c:pt>
                <c:pt idx="3">
                  <c:v>99.2</c:v>
                </c:pt>
                <c:pt idx="4">
                  <c:v>36.200000000000003</c:v>
                </c:pt>
                <c:pt idx="5">
                  <c:v>54.6</c:v>
                </c:pt>
                <c:pt idx="6">
                  <c:v>33</c:v>
                </c:pt>
                <c:pt idx="7">
                  <c:v>26.8</c:v>
                </c:pt>
                <c:pt idx="8">
                  <c:v>27.6</c:v>
                </c:pt>
                <c:pt idx="9">
                  <c:v>23.2</c:v>
                </c:pt>
                <c:pt idx="10">
                  <c:v>26.2</c:v>
                </c:pt>
                <c:pt idx="11">
                  <c:v>27.2</c:v>
                </c:pt>
                <c:pt idx="12">
                  <c:v>22.8</c:v>
                </c:pt>
                <c:pt idx="13">
                  <c:v>42.6</c:v>
                </c:pt>
                <c:pt idx="14">
                  <c:v>45.6</c:v>
                </c:pt>
                <c:pt idx="15">
                  <c:v>57.4</c:v>
                </c:pt>
                <c:pt idx="16">
                  <c:v>55</c:v>
                </c:pt>
                <c:pt idx="17">
                  <c:v>45.4</c:v>
                </c:pt>
                <c:pt idx="18">
                  <c:v>65</c:v>
                </c:pt>
                <c:pt idx="19">
                  <c:v>55.4</c:v>
                </c:pt>
                <c:pt idx="20">
                  <c:v>80.2</c:v>
                </c:pt>
                <c:pt idx="21">
                  <c:v>90.6</c:v>
                </c:pt>
                <c:pt idx="22">
                  <c:v>80</c:v>
                </c:pt>
                <c:pt idx="23">
                  <c:v>86</c:v>
                </c:pt>
                <c:pt idx="24">
                  <c:v>77.2</c:v>
                </c:pt>
                <c:pt idx="25">
                  <c:v>78.400000000000006</c:v>
                </c:pt>
                <c:pt idx="26">
                  <c:v>86.8</c:v>
                </c:pt>
                <c:pt idx="27">
                  <c:v>78</c:v>
                </c:pt>
                <c:pt idx="28">
                  <c:v>81</c:v>
                </c:pt>
                <c:pt idx="29">
                  <c:v>88.6</c:v>
                </c:pt>
                <c:pt idx="30">
                  <c:v>74.2</c:v>
                </c:pt>
                <c:pt idx="31">
                  <c:v>89.4</c:v>
                </c:pt>
                <c:pt idx="32">
                  <c:v>85</c:v>
                </c:pt>
                <c:pt idx="33">
                  <c:v>85.6</c:v>
                </c:pt>
                <c:pt idx="34">
                  <c:v>89.6</c:v>
                </c:pt>
                <c:pt idx="35">
                  <c:v>85.8</c:v>
                </c:pt>
                <c:pt idx="36">
                  <c:v>90.6</c:v>
                </c:pt>
                <c:pt idx="37">
                  <c:v>99.6</c:v>
                </c:pt>
                <c:pt idx="38">
                  <c:v>88.4</c:v>
                </c:pt>
                <c:pt idx="39">
                  <c:v>99.4</c:v>
                </c:pt>
                <c:pt idx="40">
                  <c:v>79</c:v>
                </c:pt>
                <c:pt idx="41">
                  <c:v>78.8</c:v>
                </c:pt>
                <c:pt idx="42">
                  <c:v>79.599999999999994</c:v>
                </c:pt>
                <c:pt idx="43">
                  <c:v>89.8</c:v>
                </c:pt>
                <c:pt idx="44">
                  <c:v>99.6</c:v>
                </c:pt>
                <c:pt idx="45">
                  <c:v>99.8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4E-41AE-9276-EFC7BE73B03C}"/>
            </c:ext>
          </c:extLst>
        </c:ser>
        <c:ser>
          <c:idx val="2"/>
          <c:order val="2"/>
          <c:tx>
            <c:strRef>
              <c:f>Baserun_Full!$S$2</c:f>
              <c:strCache>
                <c:ptCount val="1"/>
                <c:pt idx="0">
                  <c:v>Mob_Max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Baserun_Full!$K$3:$K$52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Baserun_Full!$S$3:$S$52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39</c:v>
                </c:pt>
                <c:pt idx="5">
                  <c:v>97</c:v>
                </c:pt>
                <c:pt idx="6">
                  <c:v>37</c:v>
                </c:pt>
                <c:pt idx="7">
                  <c:v>34</c:v>
                </c:pt>
                <c:pt idx="8">
                  <c:v>32</c:v>
                </c:pt>
                <c:pt idx="9">
                  <c:v>32</c:v>
                </c:pt>
                <c:pt idx="10">
                  <c:v>35</c:v>
                </c:pt>
                <c:pt idx="11">
                  <c:v>41</c:v>
                </c:pt>
                <c:pt idx="12">
                  <c:v>30</c:v>
                </c:pt>
                <c:pt idx="13">
                  <c:v>92</c:v>
                </c:pt>
                <c:pt idx="14">
                  <c:v>97</c:v>
                </c:pt>
                <c:pt idx="15">
                  <c:v>100</c:v>
                </c:pt>
                <c:pt idx="16">
                  <c:v>96</c:v>
                </c:pt>
                <c:pt idx="17">
                  <c:v>99</c:v>
                </c:pt>
                <c:pt idx="18">
                  <c:v>99</c:v>
                </c:pt>
                <c:pt idx="19">
                  <c:v>94</c:v>
                </c:pt>
                <c:pt idx="20">
                  <c:v>99</c:v>
                </c:pt>
                <c:pt idx="21">
                  <c:v>99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4E-41AE-9276-EFC7BE73B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081392"/>
        <c:axId val="580082832"/>
      </c:lineChart>
      <c:catAx>
        <c:axId val="58008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2832"/>
        <c:crosses val="autoZero"/>
        <c:auto val="1"/>
        <c:lblAlgn val="ctr"/>
        <c:lblOffset val="100"/>
        <c:noMultiLvlLbl val="0"/>
      </c:catAx>
      <c:valAx>
        <c:axId val="58008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Aware_Full!$B$2</c:f>
              <c:strCache>
                <c:ptCount val="1"/>
                <c:pt idx="0">
                  <c:v>NI_Aware1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Aware_Full!$A$3:$A$52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Aware_Full!$B$3:$B$52</c:f>
              <c:numCache>
                <c:formatCode>General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7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9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5C-49E8-ADAC-DD5202B73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Aware_Full!$C$2</c:f>
              <c:strCache>
                <c:ptCount val="1"/>
                <c:pt idx="0">
                  <c:v>NI_Aware2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Aware_Full!$A$3:$A$52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Aware_Full!$C$3:$C$52</c:f>
              <c:numCache>
                <c:formatCode>General</c:formatCode>
                <c:ptCount val="5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  <c:pt idx="9">
                  <c:v>6</c:v>
                </c:pt>
                <c:pt idx="10">
                  <c:v>1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6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5-4DD9-8EAE-8DFA655C2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Aware_Full!$D$2</c:f>
              <c:strCache>
                <c:ptCount val="1"/>
                <c:pt idx="0">
                  <c:v>NI_Aware3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Aware_Full!$A$3:$A$52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Aware_Full!$D$3:$D$52</c:f>
              <c:numCache>
                <c:formatCode>General</c:formatCode>
                <c:ptCount val="50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8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10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2</c:v>
                </c:pt>
                <c:pt idx="25">
                  <c:v>4</c:v>
                </c:pt>
                <c:pt idx="26">
                  <c:v>2</c:v>
                </c:pt>
                <c:pt idx="27">
                  <c:v>5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1-4373-AA4A-E403F4E8E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Aware_Full!$E$2</c:f>
              <c:strCache>
                <c:ptCount val="1"/>
                <c:pt idx="0">
                  <c:v>NI_Aware4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Aware_Full!$A$3:$A$52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Aware_Full!$E$3:$E$52</c:f>
              <c:numCache>
                <c:formatCode>General</c:formatCode>
                <c:ptCount val="5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1</c:v>
                </c:pt>
                <c:pt idx="32">
                  <c:v>4</c:v>
                </c:pt>
                <c:pt idx="33">
                  <c:v>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05-486B-9648-A7E5B2361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Aware_Full!$F$2</c:f>
              <c:strCache>
                <c:ptCount val="1"/>
                <c:pt idx="0">
                  <c:v>NI_Aware5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Aware_Full!$A$3:$A$52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Aware_Full!$F$3:$F$52</c:f>
              <c:numCache>
                <c:formatCode>General</c:formatCode>
                <c:ptCount val="50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10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FA-47B0-9615-AA11FCDF6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Aware_Full!$L$2</c:f>
              <c:strCache>
                <c:ptCount val="1"/>
                <c:pt idx="0">
                  <c:v>Mob_Aware1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Aware_Full!$K$3:$K$52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Aware_Full!$L$3:$L$52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25</c:v>
                </c:pt>
                <c:pt idx="8">
                  <c:v>32</c:v>
                </c:pt>
                <c:pt idx="9">
                  <c:v>95</c:v>
                </c:pt>
                <c:pt idx="10">
                  <c:v>28</c:v>
                </c:pt>
                <c:pt idx="11">
                  <c:v>19</c:v>
                </c:pt>
                <c:pt idx="12">
                  <c:v>26</c:v>
                </c:pt>
                <c:pt idx="13">
                  <c:v>16</c:v>
                </c:pt>
                <c:pt idx="14">
                  <c:v>17</c:v>
                </c:pt>
                <c:pt idx="15">
                  <c:v>24</c:v>
                </c:pt>
                <c:pt idx="16">
                  <c:v>27</c:v>
                </c:pt>
                <c:pt idx="17">
                  <c:v>55</c:v>
                </c:pt>
                <c:pt idx="18">
                  <c:v>57</c:v>
                </c:pt>
                <c:pt idx="19">
                  <c:v>60</c:v>
                </c:pt>
                <c:pt idx="20">
                  <c:v>99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60</c:v>
                </c:pt>
                <c:pt idx="26">
                  <c:v>99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62</c:v>
                </c:pt>
                <c:pt idx="32">
                  <c:v>99</c:v>
                </c:pt>
                <c:pt idx="33">
                  <c:v>57</c:v>
                </c:pt>
                <c:pt idx="34">
                  <c:v>55</c:v>
                </c:pt>
                <c:pt idx="35">
                  <c:v>32</c:v>
                </c:pt>
                <c:pt idx="36">
                  <c:v>58</c:v>
                </c:pt>
                <c:pt idx="37">
                  <c:v>98</c:v>
                </c:pt>
                <c:pt idx="38">
                  <c:v>100</c:v>
                </c:pt>
                <c:pt idx="39">
                  <c:v>100</c:v>
                </c:pt>
                <c:pt idx="40">
                  <c:v>99</c:v>
                </c:pt>
                <c:pt idx="41">
                  <c:v>36</c:v>
                </c:pt>
                <c:pt idx="42">
                  <c:v>59</c:v>
                </c:pt>
                <c:pt idx="43">
                  <c:v>35</c:v>
                </c:pt>
                <c:pt idx="44">
                  <c:v>57</c:v>
                </c:pt>
                <c:pt idx="45">
                  <c:v>32</c:v>
                </c:pt>
                <c:pt idx="46">
                  <c:v>58</c:v>
                </c:pt>
                <c:pt idx="47">
                  <c:v>97</c:v>
                </c:pt>
                <c:pt idx="48">
                  <c:v>60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3D-42EB-A96E-EB4252B79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Aware_Full!$M$2</c:f>
              <c:strCache>
                <c:ptCount val="1"/>
                <c:pt idx="0">
                  <c:v>Mob_Aware2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Aware_Full!$K$3:$K$52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Aware_Full!$M$3:$M$52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27</c:v>
                </c:pt>
                <c:pt idx="5">
                  <c:v>98</c:v>
                </c:pt>
                <c:pt idx="6">
                  <c:v>99</c:v>
                </c:pt>
                <c:pt idx="7">
                  <c:v>61</c:v>
                </c:pt>
                <c:pt idx="8">
                  <c:v>99</c:v>
                </c:pt>
                <c:pt idx="9">
                  <c:v>56</c:v>
                </c:pt>
                <c:pt idx="10">
                  <c:v>29</c:v>
                </c:pt>
                <c:pt idx="11">
                  <c:v>25</c:v>
                </c:pt>
                <c:pt idx="12">
                  <c:v>23</c:v>
                </c:pt>
                <c:pt idx="13">
                  <c:v>23</c:v>
                </c:pt>
                <c:pt idx="14">
                  <c:v>47</c:v>
                </c:pt>
                <c:pt idx="15">
                  <c:v>19</c:v>
                </c:pt>
                <c:pt idx="16">
                  <c:v>20</c:v>
                </c:pt>
                <c:pt idx="17">
                  <c:v>23</c:v>
                </c:pt>
                <c:pt idx="18">
                  <c:v>20</c:v>
                </c:pt>
                <c:pt idx="19">
                  <c:v>50</c:v>
                </c:pt>
                <c:pt idx="20">
                  <c:v>27</c:v>
                </c:pt>
                <c:pt idx="21">
                  <c:v>99</c:v>
                </c:pt>
                <c:pt idx="22">
                  <c:v>99</c:v>
                </c:pt>
                <c:pt idx="23">
                  <c:v>60</c:v>
                </c:pt>
                <c:pt idx="24">
                  <c:v>100</c:v>
                </c:pt>
                <c:pt idx="25">
                  <c:v>26</c:v>
                </c:pt>
                <c:pt idx="26">
                  <c:v>30</c:v>
                </c:pt>
                <c:pt idx="27">
                  <c:v>59</c:v>
                </c:pt>
                <c:pt idx="28">
                  <c:v>28</c:v>
                </c:pt>
                <c:pt idx="29">
                  <c:v>98</c:v>
                </c:pt>
                <c:pt idx="30">
                  <c:v>100</c:v>
                </c:pt>
                <c:pt idx="31">
                  <c:v>100</c:v>
                </c:pt>
                <c:pt idx="32">
                  <c:v>98</c:v>
                </c:pt>
                <c:pt idx="33">
                  <c:v>29</c:v>
                </c:pt>
                <c:pt idx="34">
                  <c:v>34</c:v>
                </c:pt>
                <c:pt idx="35">
                  <c:v>31</c:v>
                </c:pt>
                <c:pt idx="36">
                  <c:v>32</c:v>
                </c:pt>
                <c:pt idx="37">
                  <c:v>95</c:v>
                </c:pt>
                <c:pt idx="38">
                  <c:v>98</c:v>
                </c:pt>
                <c:pt idx="39">
                  <c:v>100</c:v>
                </c:pt>
                <c:pt idx="40">
                  <c:v>100</c:v>
                </c:pt>
                <c:pt idx="41">
                  <c:v>62</c:v>
                </c:pt>
                <c:pt idx="42">
                  <c:v>60</c:v>
                </c:pt>
                <c:pt idx="43">
                  <c:v>100</c:v>
                </c:pt>
                <c:pt idx="44">
                  <c:v>62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65-491F-B07B-2F9907F47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Aware_Full!$N$2</c:f>
              <c:strCache>
                <c:ptCount val="1"/>
                <c:pt idx="0">
                  <c:v>Mob_Aware3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Aware_Full!$K$3:$K$52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Aware_Full!$N$3:$N$52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28</c:v>
                </c:pt>
                <c:pt idx="5">
                  <c:v>98</c:v>
                </c:pt>
                <c:pt idx="6">
                  <c:v>50</c:v>
                </c:pt>
                <c:pt idx="7">
                  <c:v>30</c:v>
                </c:pt>
                <c:pt idx="8">
                  <c:v>98</c:v>
                </c:pt>
                <c:pt idx="9">
                  <c:v>47</c:v>
                </c:pt>
                <c:pt idx="10">
                  <c:v>48</c:v>
                </c:pt>
                <c:pt idx="11">
                  <c:v>23</c:v>
                </c:pt>
                <c:pt idx="12">
                  <c:v>20</c:v>
                </c:pt>
                <c:pt idx="13">
                  <c:v>25</c:v>
                </c:pt>
                <c:pt idx="14">
                  <c:v>22</c:v>
                </c:pt>
                <c:pt idx="15">
                  <c:v>28</c:v>
                </c:pt>
                <c:pt idx="16">
                  <c:v>98</c:v>
                </c:pt>
                <c:pt idx="17">
                  <c:v>35</c:v>
                </c:pt>
                <c:pt idx="18">
                  <c:v>45</c:v>
                </c:pt>
                <c:pt idx="19">
                  <c:v>20</c:v>
                </c:pt>
                <c:pt idx="20">
                  <c:v>17</c:v>
                </c:pt>
                <c:pt idx="21">
                  <c:v>44</c:v>
                </c:pt>
                <c:pt idx="22">
                  <c:v>96</c:v>
                </c:pt>
                <c:pt idx="23">
                  <c:v>100</c:v>
                </c:pt>
                <c:pt idx="24">
                  <c:v>100</c:v>
                </c:pt>
                <c:pt idx="25">
                  <c:v>99</c:v>
                </c:pt>
                <c:pt idx="26">
                  <c:v>34</c:v>
                </c:pt>
                <c:pt idx="27">
                  <c:v>96</c:v>
                </c:pt>
                <c:pt idx="28">
                  <c:v>29</c:v>
                </c:pt>
                <c:pt idx="29">
                  <c:v>24</c:v>
                </c:pt>
                <c:pt idx="30">
                  <c:v>28</c:v>
                </c:pt>
                <c:pt idx="31">
                  <c:v>20</c:v>
                </c:pt>
                <c:pt idx="32">
                  <c:v>52</c:v>
                </c:pt>
                <c:pt idx="33">
                  <c:v>48</c:v>
                </c:pt>
                <c:pt idx="34">
                  <c:v>98</c:v>
                </c:pt>
                <c:pt idx="35">
                  <c:v>99</c:v>
                </c:pt>
                <c:pt idx="36">
                  <c:v>49</c:v>
                </c:pt>
                <c:pt idx="37">
                  <c:v>99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49</c:v>
                </c:pt>
                <c:pt idx="43">
                  <c:v>100</c:v>
                </c:pt>
                <c:pt idx="44">
                  <c:v>100</c:v>
                </c:pt>
                <c:pt idx="45">
                  <c:v>51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6-49F1-8637-E5741BC93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Aware_Full!$O$2</c:f>
              <c:strCache>
                <c:ptCount val="1"/>
                <c:pt idx="0">
                  <c:v>Mob_Aware4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Aware_Full!$K$3:$K$52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Aware_Full!$O$3:$O$52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32</c:v>
                </c:pt>
                <c:pt idx="5">
                  <c:v>28</c:v>
                </c:pt>
                <c:pt idx="6">
                  <c:v>28</c:v>
                </c:pt>
                <c:pt idx="7">
                  <c:v>33</c:v>
                </c:pt>
                <c:pt idx="8">
                  <c:v>52</c:v>
                </c:pt>
                <c:pt idx="9">
                  <c:v>33</c:v>
                </c:pt>
                <c:pt idx="10">
                  <c:v>57</c:v>
                </c:pt>
                <c:pt idx="11">
                  <c:v>24</c:v>
                </c:pt>
                <c:pt idx="12">
                  <c:v>28</c:v>
                </c:pt>
                <c:pt idx="13">
                  <c:v>23</c:v>
                </c:pt>
                <c:pt idx="14">
                  <c:v>28</c:v>
                </c:pt>
                <c:pt idx="15">
                  <c:v>94</c:v>
                </c:pt>
                <c:pt idx="16">
                  <c:v>30</c:v>
                </c:pt>
                <c:pt idx="17">
                  <c:v>25</c:v>
                </c:pt>
                <c:pt idx="18">
                  <c:v>52</c:v>
                </c:pt>
                <c:pt idx="19">
                  <c:v>28</c:v>
                </c:pt>
                <c:pt idx="20">
                  <c:v>55</c:v>
                </c:pt>
                <c:pt idx="21">
                  <c:v>97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31</c:v>
                </c:pt>
                <c:pt idx="27">
                  <c:v>58</c:v>
                </c:pt>
                <c:pt idx="28">
                  <c:v>32</c:v>
                </c:pt>
                <c:pt idx="29">
                  <c:v>33</c:v>
                </c:pt>
                <c:pt idx="30">
                  <c:v>97</c:v>
                </c:pt>
                <c:pt idx="31">
                  <c:v>60</c:v>
                </c:pt>
                <c:pt idx="32">
                  <c:v>100</c:v>
                </c:pt>
                <c:pt idx="33">
                  <c:v>100</c:v>
                </c:pt>
                <c:pt idx="34">
                  <c:v>31</c:v>
                </c:pt>
                <c:pt idx="35">
                  <c:v>56</c:v>
                </c:pt>
                <c:pt idx="36">
                  <c:v>25</c:v>
                </c:pt>
                <c:pt idx="37">
                  <c:v>29</c:v>
                </c:pt>
                <c:pt idx="38">
                  <c:v>97</c:v>
                </c:pt>
                <c:pt idx="39">
                  <c:v>100</c:v>
                </c:pt>
                <c:pt idx="40">
                  <c:v>100</c:v>
                </c:pt>
                <c:pt idx="41">
                  <c:v>98</c:v>
                </c:pt>
                <c:pt idx="42">
                  <c:v>32</c:v>
                </c:pt>
                <c:pt idx="43">
                  <c:v>31</c:v>
                </c:pt>
                <c:pt idx="44">
                  <c:v>26</c:v>
                </c:pt>
                <c:pt idx="45">
                  <c:v>33</c:v>
                </c:pt>
                <c:pt idx="46">
                  <c:v>93</c:v>
                </c:pt>
                <c:pt idx="47">
                  <c:v>100</c:v>
                </c:pt>
                <c:pt idx="48">
                  <c:v>100</c:v>
                </c:pt>
                <c:pt idx="49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D7-4999-8139-54977A18E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Aware_Full!$P$2</c:f>
              <c:strCache>
                <c:ptCount val="1"/>
                <c:pt idx="0">
                  <c:v>Mob_Aware5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Aware_Full!$K$3:$K$52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Aware_Full!$P$3:$P$52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34</c:v>
                </c:pt>
                <c:pt idx="5">
                  <c:v>34</c:v>
                </c:pt>
                <c:pt idx="6">
                  <c:v>20</c:v>
                </c:pt>
                <c:pt idx="7">
                  <c:v>20</c:v>
                </c:pt>
                <c:pt idx="8">
                  <c:v>47</c:v>
                </c:pt>
                <c:pt idx="9">
                  <c:v>9</c:v>
                </c:pt>
                <c:pt idx="10">
                  <c:v>12</c:v>
                </c:pt>
                <c:pt idx="11">
                  <c:v>18</c:v>
                </c:pt>
                <c:pt idx="12">
                  <c:v>16</c:v>
                </c:pt>
                <c:pt idx="13">
                  <c:v>26</c:v>
                </c:pt>
                <c:pt idx="14">
                  <c:v>28</c:v>
                </c:pt>
                <c:pt idx="15">
                  <c:v>58</c:v>
                </c:pt>
                <c:pt idx="16">
                  <c:v>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62</c:v>
                </c:pt>
                <c:pt idx="21">
                  <c:v>99</c:v>
                </c:pt>
                <c:pt idx="22">
                  <c:v>99</c:v>
                </c:pt>
                <c:pt idx="23">
                  <c:v>61</c:v>
                </c:pt>
                <c:pt idx="24">
                  <c:v>62</c:v>
                </c:pt>
                <c:pt idx="25">
                  <c:v>98</c:v>
                </c:pt>
                <c:pt idx="26">
                  <c:v>99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4-4A41-B36A-9F64C1EF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Aware New Infection:</a:t>
            </a:r>
            <a:r>
              <a:rPr lang="en-US" baseline="0"/>
              <a:t> Max, Min,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Aware_Full!$G$2</c:f>
              <c:strCache>
                <c:ptCount val="1"/>
                <c:pt idx="0">
                  <c:v>NI_Min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Aware_Full!$A$3:$A$52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Aware_Full!$G$3:$G$52</c:f>
              <c:numCache>
                <c:formatCode>General</c:formatCode>
                <c:ptCount val="5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6-42BB-B427-D7D172FEE128}"/>
            </c:ext>
          </c:extLst>
        </c:ser>
        <c:ser>
          <c:idx val="1"/>
          <c:order val="1"/>
          <c:tx>
            <c:strRef>
              <c:f>Aware_Full!$H$2</c:f>
              <c:strCache>
                <c:ptCount val="1"/>
                <c:pt idx="0">
                  <c:v>NI_Mean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Aware_Full!$A$3:$A$52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Aware_Full!$H$3:$H$52</c:f>
              <c:numCache>
                <c:formatCode>General</c:formatCode>
                <c:ptCount val="50"/>
                <c:pt idx="0">
                  <c:v>2</c:v>
                </c:pt>
                <c:pt idx="1">
                  <c:v>1.4</c:v>
                </c:pt>
                <c:pt idx="2">
                  <c:v>2.4</c:v>
                </c:pt>
                <c:pt idx="3">
                  <c:v>4.2</c:v>
                </c:pt>
                <c:pt idx="4">
                  <c:v>1</c:v>
                </c:pt>
                <c:pt idx="5">
                  <c:v>2.8</c:v>
                </c:pt>
                <c:pt idx="6">
                  <c:v>2.6</c:v>
                </c:pt>
                <c:pt idx="7">
                  <c:v>3.2</c:v>
                </c:pt>
                <c:pt idx="8">
                  <c:v>6</c:v>
                </c:pt>
                <c:pt idx="9">
                  <c:v>4.5999999999999996</c:v>
                </c:pt>
                <c:pt idx="10">
                  <c:v>2.6</c:v>
                </c:pt>
                <c:pt idx="11">
                  <c:v>2.4</c:v>
                </c:pt>
                <c:pt idx="12">
                  <c:v>2.2000000000000002</c:v>
                </c:pt>
                <c:pt idx="13">
                  <c:v>2</c:v>
                </c:pt>
                <c:pt idx="14">
                  <c:v>1.8</c:v>
                </c:pt>
                <c:pt idx="15">
                  <c:v>1.6</c:v>
                </c:pt>
                <c:pt idx="16">
                  <c:v>2.8</c:v>
                </c:pt>
                <c:pt idx="17">
                  <c:v>0.2</c:v>
                </c:pt>
                <c:pt idx="18">
                  <c:v>0</c:v>
                </c:pt>
                <c:pt idx="19">
                  <c:v>0.4</c:v>
                </c:pt>
                <c:pt idx="20">
                  <c:v>0.2</c:v>
                </c:pt>
                <c:pt idx="21">
                  <c:v>0.6</c:v>
                </c:pt>
                <c:pt idx="22">
                  <c:v>1.8</c:v>
                </c:pt>
                <c:pt idx="23">
                  <c:v>0.4</c:v>
                </c:pt>
                <c:pt idx="24">
                  <c:v>1.2</c:v>
                </c:pt>
                <c:pt idx="25">
                  <c:v>1.2</c:v>
                </c:pt>
                <c:pt idx="26">
                  <c:v>0.4</c:v>
                </c:pt>
                <c:pt idx="27">
                  <c:v>1.4</c:v>
                </c:pt>
                <c:pt idx="28">
                  <c:v>0.2</c:v>
                </c:pt>
                <c:pt idx="29">
                  <c:v>0.8</c:v>
                </c:pt>
                <c:pt idx="30">
                  <c:v>1.2</c:v>
                </c:pt>
                <c:pt idx="31">
                  <c:v>1.4</c:v>
                </c:pt>
                <c:pt idx="32">
                  <c:v>2</c:v>
                </c:pt>
                <c:pt idx="33">
                  <c:v>0.6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0.6</c:v>
                </c:pt>
                <c:pt idx="38">
                  <c:v>1.2</c:v>
                </c:pt>
                <c:pt idx="39">
                  <c:v>1.4</c:v>
                </c:pt>
                <c:pt idx="40">
                  <c:v>1.2</c:v>
                </c:pt>
                <c:pt idx="41">
                  <c:v>1.2</c:v>
                </c:pt>
                <c:pt idx="42">
                  <c:v>0.2</c:v>
                </c:pt>
                <c:pt idx="43">
                  <c:v>0</c:v>
                </c:pt>
                <c:pt idx="44">
                  <c:v>0.2</c:v>
                </c:pt>
                <c:pt idx="45">
                  <c:v>0.2</c:v>
                </c:pt>
                <c:pt idx="46">
                  <c:v>0</c:v>
                </c:pt>
                <c:pt idx="47">
                  <c:v>0.4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E6-42BB-B427-D7D172FEE128}"/>
            </c:ext>
          </c:extLst>
        </c:ser>
        <c:ser>
          <c:idx val="2"/>
          <c:order val="2"/>
          <c:tx>
            <c:strRef>
              <c:f>Aware_Full!$I$2</c:f>
              <c:strCache>
                <c:ptCount val="1"/>
                <c:pt idx="0">
                  <c:v>NI_Max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Aware_Full!$A$3:$A$52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Aware_Full!$I$3:$I$52</c:f>
              <c:numCache>
                <c:formatCode>General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3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10</c:v>
                </c:pt>
                <c:pt idx="9">
                  <c:v>9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6</c:v>
                </c:pt>
                <c:pt idx="15">
                  <c:v>4</c:v>
                </c:pt>
                <c:pt idx="16">
                  <c:v>10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4">
                  <c:v>2</c:v>
                </c:pt>
                <c:pt idx="25">
                  <c:v>4</c:v>
                </c:pt>
                <c:pt idx="26">
                  <c:v>2</c:v>
                </c:pt>
                <c:pt idx="27">
                  <c:v>5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4</c:v>
                </c:pt>
                <c:pt idx="33">
                  <c:v>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3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E6-42BB-B427-D7D172FEE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700160"/>
        <c:axId val="378696800"/>
      </c:lineChart>
      <c:catAx>
        <c:axId val="37870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96800"/>
        <c:crosses val="autoZero"/>
        <c:auto val="1"/>
        <c:lblAlgn val="ctr"/>
        <c:lblOffset val="100"/>
        <c:noMultiLvlLbl val="0"/>
      </c:catAx>
      <c:valAx>
        <c:axId val="37869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0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Aware Mobility</a:t>
            </a:r>
            <a:r>
              <a:rPr lang="en-US" baseline="0"/>
              <a:t>: Max, Min, Avg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Aware_Full!$Q$2</c:f>
              <c:strCache>
                <c:ptCount val="1"/>
                <c:pt idx="0">
                  <c:v>Mob_Min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Aware_Full!$K$3:$K$52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Aware_Full!$Q$3:$Q$52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27</c:v>
                </c:pt>
                <c:pt idx="5">
                  <c:v>28</c:v>
                </c:pt>
                <c:pt idx="6">
                  <c:v>20</c:v>
                </c:pt>
                <c:pt idx="7">
                  <c:v>20</c:v>
                </c:pt>
                <c:pt idx="8">
                  <c:v>32</c:v>
                </c:pt>
                <c:pt idx="9">
                  <c:v>9</c:v>
                </c:pt>
                <c:pt idx="10">
                  <c:v>12</c:v>
                </c:pt>
                <c:pt idx="11">
                  <c:v>18</c:v>
                </c:pt>
                <c:pt idx="12">
                  <c:v>16</c:v>
                </c:pt>
                <c:pt idx="13">
                  <c:v>16</c:v>
                </c:pt>
                <c:pt idx="14">
                  <c:v>17</c:v>
                </c:pt>
                <c:pt idx="15">
                  <c:v>19</c:v>
                </c:pt>
                <c:pt idx="16">
                  <c:v>20</c:v>
                </c:pt>
                <c:pt idx="17">
                  <c:v>23</c:v>
                </c:pt>
                <c:pt idx="18">
                  <c:v>20</c:v>
                </c:pt>
                <c:pt idx="19">
                  <c:v>20</c:v>
                </c:pt>
                <c:pt idx="20">
                  <c:v>17</c:v>
                </c:pt>
                <c:pt idx="21">
                  <c:v>44</c:v>
                </c:pt>
                <c:pt idx="22">
                  <c:v>96</c:v>
                </c:pt>
                <c:pt idx="23">
                  <c:v>60</c:v>
                </c:pt>
                <c:pt idx="24">
                  <c:v>62</c:v>
                </c:pt>
                <c:pt idx="25">
                  <c:v>26</c:v>
                </c:pt>
                <c:pt idx="26">
                  <c:v>30</c:v>
                </c:pt>
                <c:pt idx="27">
                  <c:v>58</c:v>
                </c:pt>
                <c:pt idx="28">
                  <c:v>28</c:v>
                </c:pt>
                <c:pt idx="29">
                  <c:v>24</c:v>
                </c:pt>
                <c:pt idx="30">
                  <c:v>28</c:v>
                </c:pt>
                <c:pt idx="31">
                  <c:v>20</c:v>
                </c:pt>
                <c:pt idx="32">
                  <c:v>52</c:v>
                </c:pt>
                <c:pt idx="33">
                  <c:v>29</c:v>
                </c:pt>
                <c:pt idx="34">
                  <c:v>31</c:v>
                </c:pt>
                <c:pt idx="35">
                  <c:v>31</c:v>
                </c:pt>
                <c:pt idx="36">
                  <c:v>25</c:v>
                </c:pt>
                <c:pt idx="37">
                  <c:v>29</c:v>
                </c:pt>
                <c:pt idx="38">
                  <c:v>97</c:v>
                </c:pt>
                <c:pt idx="39">
                  <c:v>100</c:v>
                </c:pt>
                <c:pt idx="40">
                  <c:v>99</c:v>
                </c:pt>
                <c:pt idx="41">
                  <c:v>36</c:v>
                </c:pt>
                <c:pt idx="42">
                  <c:v>32</c:v>
                </c:pt>
                <c:pt idx="43">
                  <c:v>31</c:v>
                </c:pt>
                <c:pt idx="44">
                  <c:v>26</c:v>
                </c:pt>
                <c:pt idx="45">
                  <c:v>32</c:v>
                </c:pt>
                <c:pt idx="46">
                  <c:v>58</c:v>
                </c:pt>
                <c:pt idx="47">
                  <c:v>97</c:v>
                </c:pt>
                <c:pt idx="48">
                  <c:v>60</c:v>
                </c:pt>
                <c:pt idx="49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7-46F6-A607-72183CC2B488}"/>
            </c:ext>
          </c:extLst>
        </c:ser>
        <c:ser>
          <c:idx val="1"/>
          <c:order val="1"/>
          <c:tx>
            <c:strRef>
              <c:f>Aware_Full!$R$2</c:f>
              <c:strCache>
                <c:ptCount val="1"/>
                <c:pt idx="0">
                  <c:v>Mob_Mean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Aware_Full!$K$3:$K$52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Aware_Full!$R$3:$R$52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99.4</c:v>
                </c:pt>
                <c:pt idx="4">
                  <c:v>31</c:v>
                </c:pt>
                <c:pt idx="5">
                  <c:v>58.2</c:v>
                </c:pt>
                <c:pt idx="6">
                  <c:v>46</c:v>
                </c:pt>
                <c:pt idx="7">
                  <c:v>33.799999999999997</c:v>
                </c:pt>
                <c:pt idx="8">
                  <c:v>65.599999999999994</c:v>
                </c:pt>
                <c:pt idx="9">
                  <c:v>48</c:v>
                </c:pt>
                <c:pt idx="10">
                  <c:v>34.799999999999997</c:v>
                </c:pt>
                <c:pt idx="11">
                  <c:v>21.8</c:v>
                </c:pt>
                <c:pt idx="12">
                  <c:v>22.6</c:v>
                </c:pt>
                <c:pt idx="13">
                  <c:v>22.6</c:v>
                </c:pt>
                <c:pt idx="14">
                  <c:v>28.4</c:v>
                </c:pt>
                <c:pt idx="15">
                  <c:v>44.6</c:v>
                </c:pt>
                <c:pt idx="16">
                  <c:v>54.6</c:v>
                </c:pt>
                <c:pt idx="17">
                  <c:v>47.6</c:v>
                </c:pt>
                <c:pt idx="18">
                  <c:v>54.8</c:v>
                </c:pt>
                <c:pt idx="19">
                  <c:v>51.6</c:v>
                </c:pt>
                <c:pt idx="20">
                  <c:v>52</c:v>
                </c:pt>
                <c:pt idx="21">
                  <c:v>87.8</c:v>
                </c:pt>
                <c:pt idx="22">
                  <c:v>98.8</c:v>
                </c:pt>
                <c:pt idx="23">
                  <c:v>84.2</c:v>
                </c:pt>
                <c:pt idx="24">
                  <c:v>92.4</c:v>
                </c:pt>
                <c:pt idx="25">
                  <c:v>76.599999999999994</c:v>
                </c:pt>
                <c:pt idx="26">
                  <c:v>58.6</c:v>
                </c:pt>
                <c:pt idx="27">
                  <c:v>82.6</c:v>
                </c:pt>
                <c:pt idx="28">
                  <c:v>57.8</c:v>
                </c:pt>
                <c:pt idx="29">
                  <c:v>71</c:v>
                </c:pt>
                <c:pt idx="30">
                  <c:v>85</c:v>
                </c:pt>
                <c:pt idx="31">
                  <c:v>68.400000000000006</c:v>
                </c:pt>
                <c:pt idx="32">
                  <c:v>89.8</c:v>
                </c:pt>
                <c:pt idx="33">
                  <c:v>66.8</c:v>
                </c:pt>
                <c:pt idx="34">
                  <c:v>63.6</c:v>
                </c:pt>
                <c:pt idx="35">
                  <c:v>63.6</c:v>
                </c:pt>
                <c:pt idx="36">
                  <c:v>52.8</c:v>
                </c:pt>
                <c:pt idx="37">
                  <c:v>84.2</c:v>
                </c:pt>
                <c:pt idx="38">
                  <c:v>99</c:v>
                </c:pt>
                <c:pt idx="39">
                  <c:v>100</c:v>
                </c:pt>
                <c:pt idx="40">
                  <c:v>99.8</c:v>
                </c:pt>
                <c:pt idx="41">
                  <c:v>79.2</c:v>
                </c:pt>
                <c:pt idx="42">
                  <c:v>60</c:v>
                </c:pt>
                <c:pt idx="43">
                  <c:v>73.2</c:v>
                </c:pt>
                <c:pt idx="44">
                  <c:v>69</c:v>
                </c:pt>
                <c:pt idx="45">
                  <c:v>63.2</c:v>
                </c:pt>
                <c:pt idx="46">
                  <c:v>90.2</c:v>
                </c:pt>
                <c:pt idx="47">
                  <c:v>99.4</c:v>
                </c:pt>
                <c:pt idx="48">
                  <c:v>92</c:v>
                </c:pt>
                <c:pt idx="49">
                  <c:v>92.2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7-46F6-A607-72183CC2B488}"/>
            </c:ext>
          </c:extLst>
        </c:ser>
        <c:ser>
          <c:idx val="2"/>
          <c:order val="2"/>
          <c:tx>
            <c:strRef>
              <c:f>Aware_Full!$S$2</c:f>
              <c:strCache>
                <c:ptCount val="1"/>
                <c:pt idx="0">
                  <c:v>Mob_Max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Aware_Full!$K$3:$K$52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Aware_Full!$S$3:$S$52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34</c:v>
                </c:pt>
                <c:pt idx="5">
                  <c:v>98</c:v>
                </c:pt>
                <c:pt idx="6">
                  <c:v>99</c:v>
                </c:pt>
                <c:pt idx="7">
                  <c:v>61</c:v>
                </c:pt>
                <c:pt idx="8">
                  <c:v>99</c:v>
                </c:pt>
                <c:pt idx="9">
                  <c:v>95</c:v>
                </c:pt>
                <c:pt idx="10">
                  <c:v>57</c:v>
                </c:pt>
                <c:pt idx="11">
                  <c:v>25</c:v>
                </c:pt>
                <c:pt idx="12">
                  <c:v>28</c:v>
                </c:pt>
                <c:pt idx="13">
                  <c:v>26</c:v>
                </c:pt>
                <c:pt idx="14">
                  <c:v>47</c:v>
                </c:pt>
                <c:pt idx="15">
                  <c:v>94</c:v>
                </c:pt>
                <c:pt idx="16">
                  <c:v>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99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17-46F6-A607-72183CC2B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081392"/>
        <c:axId val="580082832"/>
      </c:lineChart>
      <c:catAx>
        <c:axId val="58008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2832"/>
        <c:crosses val="autoZero"/>
        <c:auto val="1"/>
        <c:lblAlgn val="ctr"/>
        <c:lblOffset val="100"/>
        <c:noMultiLvlLbl val="0"/>
      </c:catAx>
      <c:valAx>
        <c:axId val="58008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Learn_Full!$B$2</c:f>
              <c:strCache>
                <c:ptCount val="1"/>
                <c:pt idx="0">
                  <c:v>NI_Learn1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Learn_Full!$A$3:$A$52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Learn_Full!$B$3:$B$52</c:f>
              <c:numCache>
                <c:formatCode>General</c:formatCode>
                <c:ptCount val="50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9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5</c:v>
                </c:pt>
                <c:pt idx="29">
                  <c:v>0</c:v>
                </c:pt>
                <c:pt idx="30">
                  <c:v>4</c:v>
                </c:pt>
                <c:pt idx="31">
                  <c:v>6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6</c:v>
                </c:pt>
                <c:pt idx="37">
                  <c:v>0</c:v>
                </c:pt>
                <c:pt idx="38">
                  <c:v>2</c:v>
                </c:pt>
                <c:pt idx="39">
                  <c:v>3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30-41C0-8B0A-523534B85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Learn_Full!$C$2</c:f>
              <c:strCache>
                <c:ptCount val="1"/>
                <c:pt idx="0">
                  <c:v>NI_Learn2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Learn_Full!$A$3:$A$52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Learn_Full!$C$3:$C$52</c:f>
              <c:numCache>
                <c:formatCode>General</c:formatCode>
                <c:ptCount val="50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9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2</c:v>
                </c:pt>
                <c:pt idx="41">
                  <c:v>3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4</c:v>
                </c:pt>
                <c:pt idx="4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7B-4375-85D5-DF5506304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Learn_Full!$D$2</c:f>
              <c:strCache>
                <c:ptCount val="1"/>
                <c:pt idx="0">
                  <c:v>NI_Learn3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Learn_Full!$A$3:$A$52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Learn_Full!$D$3:$D$52</c:f>
              <c:numCache>
                <c:formatCode>General</c:formatCode>
                <c:ptCount val="5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9</c:v>
                </c:pt>
                <c:pt idx="11">
                  <c:v>11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E9-409E-B421-8E8AE7995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Learn_Full!$E$2</c:f>
              <c:strCache>
                <c:ptCount val="1"/>
                <c:pt idx="0">
                  <c:v>NI_Learn4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Learn_Full!$A$3:$A$52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Learn_Full!$E$3:$E$52</c:f>
              <c:numCache>
                <c:formatCode>General</c:formatCode>
                <c:ptCount val="5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4</c:v>
                </c:pt>
                <c:pt idx="9">
                  <c:v>10</c:v>
                </c:pt>
                <c:pt idx="10">
                  <c:v>9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2</c:v>
                </c:pt>
                <c:pt idx="24">
                  <c:v>1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82-4BE9-A57B-F900A35AA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Learn_Full!$F$2</c:f>
              <c:strCache>
                <c:ptCount val="1"/>
                <c:pt idx="0">
                  <c:v>NI_Learn5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Learn_Full!$A$3:$A$52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Learn_Full!$F$3:$F$52</c:f>
              <c:numCache>
                <c:formatCode>General</c:formatCode>
                <c:ptCount val="50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7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4</c:v>
                </c:pt>
                <c:pt idx="34">
                  <c:v>0</c:v>
                </c:pt>
                <c:pt idx="35">
                  <c:v>1</c:v>
                </c:pt>
                <c:pt idx="36">
                  <c:v>4</c:v>
                </c:pt>
                <c:pt idx="37">
                  <c:v>0</c:v>
                </c:pt>
                <c:pt idx="38">
                  <c:v>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2-4FD1-93F4-A982DAD7B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Learn_Full!$L$2</c:f>
              <c:strCache>
                <c:ptCount val="1"/>
                <c:pt idx="0">
                  <c:v>Mob_Learn1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Learn_Full!$K$3:$K$52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Learn_Full!$L$3:$L$52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99</c:v>
                </c:pt>
                <c:pt idx="3">
                  <c:v>100</c:v>
                </c:pt>
                <c:pt idx="4">
                  <c:v>19</c:v>
                </c:pt>
                <c:pt idx="5">
                  <c:v>98</c:v>
                </c:pt>
                <c:pt idx="6">
                  <c:v>23</c:v>
                </c:pt>
                <c:pt idx="7">
                  <c:v>14</c:v>
                </c:pt>
                <c:pt idx="8">
                  <c:v>15</c:v>
                </c:pt>
                <c:pt idx="9">
                  <c:v>10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20</c:v>
                </c:pt>
                <c:pt idx="14">
                  <c:v>13</c:v>
                </c:pt>
                <c:pt idx="15">
                  <c:v>25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18</c:v>
                </c:pt>
                <c:pt idx="21">
                  <c:v>23</c:v>
                </c:pt>
                <c:pt idx="22">
                  <c:v>99</c:v>
                </c:pt>
                <c:pt idx="23">
                  <c:v>22</c:v>
                </c:pt>
                <c:pt idx="24">
                  <c:v>99</c:v>
                </c:pt>
                <c:pt idx="25">
                  <c:v>99</c:v>
                </c:pt>
                <c:pt idx="26">
                  <c:v>16</c:v>
                </c:pt>
                <c:pt idx="27">
                  <c:v>95</c:v>
                </c:pt>
                <c:pt idx="28">
                  <c:v>99</c:v>
                </c:pt>
                <c:pt idx="29">
                  <c:v>17</c:v>
                </c:pt>
                <c:pt idx="30">
                  <c:v>98</c:v>
                </c:pt>
                <c:pt idx="31">
                  <c:v>100</c:v>
                </c:pt>
                <c:pt idx="32">
                  <c:v>18</c:v>
                </c:pt>
                <c:pt idx="33">
                  <c:v>97</c:v>
                </c:pt>
                <c:pt idx="34">
                  <c:v>15</c:v>
                </c:pt>
                <c:pt idx="35">
                  <c:v>19</c:v>
                </c:pt>
                <c:pt idx="36">
                  <c:v>93</c:v>
                </c:pt>
                <c:pt idx="37">
                  <c:v>26</c:v>
                </c:pt>
                <c:pt idx="38">
                  <c:v>99</c:v>
                </c:pt>
                <c:pt idx="39">
                  <c:v>99</c:v>
                </c:pt>
                <c:pt idx="40">
                  <c:v>17</c:v>
                </c:pt>
                <c:pt idx="41">
                  <c:v>95</c:v>
                </c:pt>
                <c:pt idx="42">
                  <c:v>17</c:v>
                </c:pt>
                <c:pt idx="43">
                  <c:v>17</c:v>
                </c:pt>
                <c:pt idx="44">
                  <c:v>98</c:v>
                </c:pt>
                <c:pt idx="45">
                  <c:v>17</c:v>
                </c:pt>
                <c:pt idx="46">
                  <c:v>99</c:v>
                </c:pt>
                <c:pt idx="47">
                  <c:v>100</c:v>
                </c:pt>
                <c:pt idx="48">
                  <c:v>23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D-4F10-B5E8-18E6CC2C1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Learn_Full!$M$2</c:f>
              <c:strCache>
                <c:ptCount val="1"/>
                <c:pt idx="0">
                  <c:v>Mob_Learn2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Learn_Full!$K$3:$K$52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Learn_Full!$M$3:$M$52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11</c:v>
                </c:pt>
                <c:pt idx="5">
                  <c:v>98</c:v>
                </c:pt>
                <c:pt idx="6">
                  <c:v>20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  <c:pt idx="10">
                  <c:v>18</c:v>
                </c:pt>
                <c:pt idx="11">
                  <c:v>10</c:v>
                </c:pt>
                <c:pt idx="12">
                  <c:v>14</c:v>
                </c:pt>
                <c:pt idx="13">
                  <c:v>13</c:v>
                </c:pt>
                <c:pt idx="14">
                  <c:v>23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20</c:v>
                </c:pt>
                <c:pt idx="20">
                  <c:v>30</c:v>
                </c:pt>
                <c:pt idx="21">
                  <c:v>99</c:v>
                </c:pt>
                <c:pt idx="22">
                  <c:v>13</c:v>
                </c:pt>
                <c:pt idx="23">
                  <c:v>98</c:v>
                </c:pt>
                <c:pt idx="24">
                  <c:v>100</c:v>
                </c:pt>
                <c:pt idx="25">
                  <c:v>10</c:v>
                </c:pt>
                <c:pt idx="26">
                  <c:v>98</c:v>
                </c:pt>
                <c:pt idx="27">
                  <c:v>100</c:v>
                </c:pt>
                <c:pt idx="28">
                  <c:v>32</c:v>
                </c:pt>
                <c:pt idx="29">
                  <c:v>100</c:v>
                </c:pt>
                <c:pt idx="30">
                  <c:v>32</c:v>
                </c:pt>
                <c:pt idx="31">
                  <c:v>13</c:v>
                </c:pt>
                <c:pt idx="32">
                  <c:v>98</c:v>
                </c:pt>
                <c:pt idx="33">
                  <c:v>28</c:v>
                </c:pt>
                <c:pt idx="34">
                  <c:v>99</c:v>
                </c:pt>
                <c:pt idx="35">
                  <c:v>100</c:v>
                </c:pt>
                <c:pt idx="36">
                  <c:v>30</c:v>
                </c:pt>
                <c:pt idx="37">
                  <c:v>99</c:v>
                </c:pt>
                <c:pt idx="38">
                  <c:v>100</c:v>
                </c:pt>
                <c:pt idx="39">
                  <c:v>11</c:v>
                </c:pt>
                <c:pt idx="40">
                  <c:v>99</c:v>
                </c:pt>
                <c:pt idx="41">
                  <c:v>100</c:v>
                </c:pt>
                <c:pt idx="42">
                  <c:v>28</c:v>
                </c:pt>
                <c:pt idx="43">
                  <c:v>99</c:v>
                </c:pt>
                <c:pt idx="44">
                  <c:v>12</c:v>
                </c:pt>
                <c:pt idx="45">
                  <c:v>18</c:v>
                </c:pt>
                <c:pt idx="46">
                  <c:v>99</c:v>
                </c:pt>
                <c:pt idx="47">
                  <c:v>28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19-405E-8A77-6811EDDA4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Learn_Full!$N$2</c:f>
              <c:strCache>
                <c:ptCount val="1"/>
                <c:pt idx="0">
                  <c:v>Mob_Learn3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Learn_Full!$K$3:$K$52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Learn_Full!$N$3:$N$52</c:f>
              <c:numCache>
                <c:formatCode>General</c:formatCode>
                <c:ptCount val="50"/>
                <c:pt idx="0">
                  <c:v>100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5</c:v>
                </c:pt>
                <c:pt idx="5">
                  <c:v>17</c:v>
                </c:pt>
                <c:pt idx="6">
                  <c:v>16</c:v>
                </c:pt>
                <c:pt idx="7">
                  <c:v>10</c:v>
                </c:pt>
                <c:pt idx="8">
                  <c:v>93</c:v>
                </c:pt>
                <c:pt idx="9">
                  <c:v>99</c:v>
                </c:pt>
                <c:pt idx="10">
                  <c:v>98</c:v>
                </c:pt>
                <c:pt idx="11">
                  <c:v>98</c:v>
                </c:pt>
                <c:pt idx="12">
                  <c:v>15</c:v>
                </c:pt>
                <c:pt idx="13">
                  <c:v>11</c:v>
                </c:pt>
                <c:pt idx="14">
                  <c:v>12</c:v>
                </c:pt>
                <c:pt idx="15">
                  <c:v>8</c:v>
                </c:pt>
                <c:pt idx="16">
                  <c:v>16</c:v>
                </c:pt>
                <c:pt idx="17">
                  <c:v>2</c:v>
                </c:pt>
                <c:pt idx="18">
                  <c:v>13</c:v>
                </c:pt>
                <c:pt idx="19">
                  <c:v>1</c:v>
                </c:pt>
                <c:pt idx="20">
                  <c:v>15</c:v>
                </c:pt>
                <c:pt idx="21">
                  <c:v>97</c:v>
                </c:pt>
                <c:pt idx="22">
                  <c:v>98</c:v>
                </c:pt>
                <c:pt idx="23">
                  <c:v>98</c:v>
                </c:pt>
                <c:pt idx="24">
                  <c:v>98</c:v>
                </c:pt>
                <c:pt idx="25">
                  <c:v>17</c:v>
                </c:pt>
                <c:pt idx="26">
                  <c:v>98</c:v>
                </c:pt>
                <c:pt idx="27">
                  <c:v>99</c:v>
                </c:pt>
                <c:pt idx="28">
                  <c:v>98</c:v>
                </c:pt>
                <c:pt idx="29">
                  <c:v>98</c:v>
                </c:pt>
                <c:pt idx="30">
                  <c:v>18</c:v>
                </c:pt>
                <c:pt idx="31">
                  <c:v>5</c:v>
                </c:pt>
                <c:pt idx="32">
                  <c:v>97</c:v>
                </c:pt>
                <c:pt idx="33">
                  <c:v>20</c:v>
                </c:pt>
                <c:pt idx="34">
                  <c:v>97</c:v>
                </c:pt>
                <c:pt idx="35">
                  <c:v>98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6A-477E-B63A-A3DC8DD66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Learn_Full!$O$2</c:f>
              <c:strCache>
                <c:ptCount val="1"/>
                <c:pt idx="0">
                  <c:v>Mob_Learn4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Learn_Full!$K$3:$K$52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Learn_Full!$O$3:$O$52</c:f>
              <c:numCache>
                <c:formatCode>General</c:formatCode>
                <c:ptCount val="50"/>
                <c:pt idx="0">
                  <c:v>100</c:v>
                </c:pt>
                <c:pt idx="1">
                  <c:v>98</c:v>
                </c:pt>
                <c:pt idx="2">
                  <c:v>98</c:v>
                </c:pt>
                <c:pt idx="3">
                  <c:v>97</c:v>
                </c:pt>
                <c:pt idx="4">
                  <c:v>14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93</c:v>
                </c:pt>
                <c:pt idx="9">
                  <c:v>98</c:v>
                </c:pt>
                <c:pt idx="10">
                  <c:v>98</c:v>
                </c:pt>
                <c:pt idx="11">
                  <c:v>19</c:v>
                </c:pt>
                <c:pt idx="12">
                  <c:v>14</c:v>
                </c:pt>
                <c:pt idx="13">
                  <c:v>7</c:v>
                </c:pt>
                <c:pt idx="14">
                  <c:v>9</c:v>
                </c:pt>
                <c:pt idx="15">
                  <c:v>17</c:v>
                </c:pt>
                <c:pt idx="16">
                  <c:v>94</c:v>
                </c:pt>
                <c:pt idx="17">
                  <c:v>99</c:v>
                </c:pt>
                <c:pt idx="18">
                  <c:v>11</c:v>
                </c:pt>
                <c:pt idx="19">
                  <c:v>10</c:v>
                </c:pt>
                <c:pt idx="20">
                  <c:v>14</c:v>
                </c:pt>
                <c:pt idx="21">
                  <c:v>19</c:v>
                </c:pt>
                <c:pt idx="22">
                  <c:v>95</c:v>
                </c:pt>
                <c:pt idx="23">
                  <c:v>98</c:v>
                </c:pt>
                <c:pt idx="24">
                  <c:v>98</c:v>
                </c:pt>
                <c:pt idx="25">
                  <c:v>98</c:v>
                </c:pt>
                <c:pt idx="26">
                  <c:v>15</c:v>
                </c:pt>
                <c:pt idx="27">
                  <c:v>14</c:v>
                </c:pt>
                <c:pt idx="28">
                  <c:v>20</c:v>
                </c:pt>
                <c:pt idx="29">
                  <c:v>8</c:v>
                </c:pt>
                <c:pt idx="30">
                  <c:v>94</c:v>
                </c:pt>
                <c:pt idx="31">
                  <c:v>98</c:v>
                </c:pt>
                <c:pt idx="32">
                  <c:v>98</c:v>
                </c:pt>
                <c:pt idx="33">
                  <c:v>98</c:v>
                </c:pt>
                <c:pt idx="34">
                  <c:v>98</c:v>
                </c:pt>
                <c:pt idx="35">
                  <c:v>14</c:v>
                </c:pt>
                <c:pt idx="36">
                  <c:v>22</c:v>
                </c:pt>
                <c:pt idx="37">
                  <c:v>98</c:v>
                </c:pt>
                <c:pt idx="38">
                  <c:v>15</c:v>
                </c:pt>
                <c:pt idx="39">
                  <c:v>97</c:v>
                </c:pt>
                <c:pt idx="40">
                  <c:v>99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A-462F-8CF8-3758E4F24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Learn_Full!$P$2</c:f>
              <c:strCache>
                <c:ptCount val="1"/>
                <c:pt idx="0">
                  <c:v>Mob_Learn5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Learn_Full!$K$3:$K$52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Learn_Full!$P$3:$P$52</c:f>
              <c:numCache>
                <c:formatCode>General</c:formatCode>
                <c:ptCount val="50"/>
                <c:pt idx="0">
                  <c:v>100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20</c:v>
                </c:pt>
                <c:pt idx="5">
                  <c:v>26</c:v>
                </c:pt>
                <c:pt idx="6">
                  <c:v>18</c:v>
                </c:pt>
                <c:pt idx="7">
                  <c:v>19</c:v>
                </c:pt>
                <c:pt idx="8">
                  <c:v>24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14</c:v>
                </c:pt>
                <c:pt idx="16">
                  <c:v>16</c:v>
                </c:pt>
                <c:pt idx="17">
                  <c:v>95</c:v>
                </c:pt>
                <c:pt idx="18">
                  <c:v>98</c:v>
                </c:pt>
                <c:pt idx="19">
                  <c:v>98</c:v>
                </c:pt>
                <c:pt idx="20">
                  <c:v>98</c:v>
                </c:pt>
                <c:pt idx="21">
                  <c:v>26</c:v>
                </c:pt>
                <c:pt idx="22">
                  <c:v>97</c:v>
                </c:pt>
                <c:pt idx="23">
                  <c:v>26</c:v>
                </c:pt>
                <c:pt idx="24">
                  <c:v>20</c:v>
                </c:pt>
                <c:pt idx="25">
                  <c:v>97</c:v>
                </c:pt>
                <c:pt idx="26">
                  <c:v>19</c:v>
                </c:pt>
                <c:pt idx="27">
                  <c:v>96</c:v>
                </c:pt>
                <c:pt idx="28">
                  <c:v>98</c:v>
                </c:pt>
                <c:pt idx="29">
                  <c:v>19</c:v>
                </c:pt>
                <c:pt idx="30">
                  <c:v>97</c:v>
                </c:pt>
                <c:pt idx="31">
                  <c:v>20</c:v>
                </c:pt>
                <c:pt idx="32">
                  <c:v>18</c:v>
                </c:pt>
                <c:pt idx="33">
                  <c:v>93</c:v>
                </c:pt>
                <c:pt idx="34">
                  <c:v>21</c:v>
                </c:pt>
                <c:pt idx="35">
                  <c:v>96</c:v>
                </c:pt>
                <c:pt idx="36">
                  <c:v>98</c:v>
                </c:pt>
                <c:pt idx="37">
                  <c:v>24</c:v>
                </c:pt>
                <c:pt idx="38">
                  <c:v>96</c:v>
                </c:pt>
                <c:pt idx="39">
                  <c:v>23</c:v>
                </c:pt>
                <c:pt idx="40">
                  <c:v>21</c:v>
                </c:pt>
                <c:pt idx="41">
                  <c:v>94</c:v>
                </c:pt>
                <c:pt idx="42">
                  <c:v>22</c:v>
                </c:pt>
                <c:pt idx="43">
                  <c:v>94</c:v>
                </c:pt>
                <c:pt idx="44">
                  <c:v>98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8-4726-8958-477E8793A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Aware New Infection:</a:t>
            </a:r>
            <a:r>
              <a:rPr lang="en-US" baseline="0"/>
              <a:t> Max, Min,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Learn_Full!$G$2</c:f>
              <c:strCache>
                <c:ptCount val="1"/>
                <c:pt idx="0">
                  <c:v>NI_Min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Learn_Full!$A$3:$A$52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Learn_Full!$G$3:$G$52</c:f>
              <c:numCache>
                <c:formatCode>General</c:formatCode>
                <c:ptCount val="50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6-4B22-999C-5B4C9E8CC409}"/>
            </c:ext>
          </c:extLst>
        </c:ser>
        <c:ser>
          <c:idx val="1"/>
          <c:order val="1"/>
          <c:tx>
            <c:strRef>
              <c:f>Learn_Full!$H$2</c:f>
              <c:strCache>
                <c:ptCount val="1"/>
                <c:pt idx="0">
                  <c:v>NI_Mean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Learn_Full!$A$3:$A$52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Learn_Full!$H$3:$H$52</c:f>
              <c:numCache>
                <c:formatCode>General</c:formatCode>
                <c:ptCount val="50"/>
                <c:pt idx="0">
                  <c:v>2</c:v>
                </c:pt>
                <c:pt idx="1">
                  <c:v>0.8</c:v>
                </c:pt>
                <c:pt idx="2">
                  <c:v>2.4</c:v>
                </c:pt>
                <c:pt idx="3">
                  <c:v>5</c:v>
                </c:pt>
                <c:pt idx="4">
                  <c:v>1.6</c:v>
                </c:pt>
                <c:pt idx="5">
                  <c:v>4</c:v>
                </c:pt>
                <c:pt idx="6">
                  <c:v>2.4</c:v>
                </c:pt>
                <c:pt idx="7">
                  <c:v>2.4</c:v>
                </c:pt>
                <c:pt idx="8">
                  <c:v>4.4000000000000004</c:v>
                </c:pt>
                <c:pt idx="9">
                  <c:v>4.5999999999999996</c:v>
                </c:pt>
                <c:pt idx="10">
                  <c:v>4.8</c:v>
                </c:pt>
                <c:pt idx="11">
                  <c:v>3.6</c:v>
                </c:pt>
                <c:pt idx="12">
                  <c:v>0.6</c:v>
                </c:pt>
                <c:pt idx="13">
                  <c:v>0.4</c:v>
                </c:pt>
                <c:pt idx="14">
                  <c:v>1</c:v>
                </c:pt>
                <c:pt idx="15">
                  <c:v>1.4</c:v>
                </c:pt>
                <c:pt idx="16">
                  <c:v>1.6</c:v>
                </c:pt>
                <c:pt idx="17">
                  <c:v>1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0.6</c:v>
                </c:pt>
                <c:pt idx="22">
                  <c:v>2</c:v>
                </c:pt>
                <c:pt idx="23">
                  <c:v>0.4</c:v>
                </c:pt>
                <c:pt idx="24">
                  <c:v>0.4</c:v>
                </c:pt>
                <c:pt idx="25">
                  <c:v>1.8</c:v>
                </c:pt>
                <c:pt idx="26">
                  <c:v>0.4</c:v>
                </c:pt>
                <c:pt idx="27">
                  <c:v>1.2</c:v>
                </c:pt>
                <c:pt idx="28">
                  <c:v>2</c:v>
                </c:pt>
                <c:pt idx="29">
                  <c:v>0.4</c:v>
                </c:pt>
                <c:pt idx="30">
                  <c:v>1.2</c:v>
                </c:pt>
                <c:pt idx="31">
                  <c:v>1.6</c:v>
                </c:pt>
                <c:pt idx="32">
                  <c:v>0.4</c:v>
                </c:pt>
                <c:pt idx="33">
                  <c:v>1</c:v>
                </c:pt>
                <c:pt idx="34">
                  <c:v>0.4</c:v>
                </c:pt>
                <c:pt idx="35">
                  <c:v>0.6</c:v>
                </c:pt>
                <c:pt idx="36">
                  <c:v>2</c:v>
                </c:pt>
                <c:pt idx="37">
                  <c:v>0</c:v>
                </c:pt>
                <c:pt idx="38">
                  <c:v>1.4</c:v>
                </c:pt>
                <c:pt idx="39">
                  <c:v>0.6</c:v>
                </c:pt>
                <c:pt idx="40">
                  <c:v>0.4</c:v>
                </c:pt>
                <c:pt idx="41">
                  <c:v>1</c:v>
                </c:pt>
                <c:pt idx="42">
                  <c:v>0</c:v>
                </c:pt>
                <c:pt idx="43">
                  <c:v>0.2</c:v>
                </c:pt>
                <c:pt idx="44">
                  <c:v>0.2</c:v>
                </c:pt>
                <c:pt idx="45">
                  <c:v>0</c:v>
                </c:pt>
                <c:pt idx="46">
                  <c:v>0.6</c:v>
                </c:pt>
                <c:pt idx="47">
                  <c:v>0.4</c:v>
                </c:pt>
                <c:pt idx="48">
                  <c:v>0.8</c:v>
                </c:pt>
                <c:pt idx="49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6-4B22-999C-5B4C9E8CC409}"/>
            </c:ext>
          </c:extLst>
        </c:ser>
        <c:ser>
          <c:idx val="2"/>
          <c:order val="2"/>
          <c:tx>
            <c:strRef>
              <c:f>Learn_Full!$I$2</c:f>
              <c:strCache>
                <c:ptCount val="1"/>
                <c:pt idx="0">
                  <c:v>NI_Max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Learn_Full!$A$3:$A$52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Learn_Full!$I$3:$I$52</c:f>
              <c:numCache>
                <c:formatCode>General</c:formatCode>
                <c:ptCount val="50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3</c:v>
                </c:pt>
                <c:pt idx="5">
                  <c:v>9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9</c:v>
                </c:pt>
                <c:pt idx="11">
                  <c:v>4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4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5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4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B6-4B22-999C-5B4C9E8CC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700160"/>
        <c:axId val="378696800"/>
      </c:lineChart>
      <c:catAx>
        <c:axId val="37870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96800"/>
        <c:crosses val="autoZero"/>
        <c:auto val="1"/>
        <c:lblAlgn val="ctr"/>
        <c:lblOffset val="100"/>
        <c:noMultiLvlLbl val="0"/>
      </c:catAx>
      <c:valAx>
        <c:axId val="37869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0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Aware Mobility</a:t>
            </a:r>
            <a:r>
              <a:rPr lang="en-US" baseline="0"/>
              <a:t>: Max, Min, Avg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Learn_Full!$Q$2</c:f>
              <c:strCache>
                <c:ptCount val="1"/>
                <c:pt idx="0">
                  <c:v>Mob_Min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Learn_Full!$K$3:$K$52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Learn_Full!$Q$3:$Q$52</c:f>
              <c:numCache>
                <c:formatCode>General</c:formatCode>
                <c:ptCount val="50"/>
                <c:pt idx="0">
                  <c:v>100</c:v>
                </c:pt>
                <c:pt idx="1">
                  <c:v>98</c:v>
                </c:pt>
                <c:pt idx="2">
                  <c:v>98</c:v>
                </c:pt>
                <c:pt idx="3">
                  <c:v>97</c:v>
                </c:pt>
                <c:pt idx="4">
                  <c:v>5</c:v>
                </c:pt>
                <c:pt idx="5">
                  <c:v>14</c:v>
                </c:pt>
                <c:pt idx="6">
                  <c:v>15</c:v>
                </c:pt>
                <c:pt idx="7">
                  <c:v>10</c:v>
                </c:pt>
                <c:pt idx="8">
                  <c:v>14</c:v>
                </c:pt>
                <c:pt idx="9">
                  <c:v>10</c:v>
                </c:pt>
                <c:pt idx="10">
                  <c:v>13</c:v>
                </c:pt>
                <c:pt idx="11">
                  <c:v>10</c:v>
                </c:pt>
                <c:pt idx="12">
                  <c:v>9</c:v>
                </c:pt>
                <c:pt idx="13">
                  <c:v>7</c:v>
                </c:pt>
                <c:pt idx="14">
                  <c:v>9</c:v>
                </c:pt>
                <c:pt idx="15">
                  <c:v>8</c:v>
                </c:pt>
                <c:pt idx="16">
                  <c:v>16</c:v>
                </c:pt>
                <c:pt idx="17">
                  <c:v>2</c:v>
                </c:pt>
                <c:pt idx="18">
                  <c:v>11</c:v>
                </c:pt>
                <c:pt idx="19">
                  <c:v>1</c:v>
                </c:pt>
                <c:pt idx="20">
                  <c:v>14</c:v>
                </c:pt>
                <c:pt idx="21">
                  <c:v>19</c:v>
                </c:pt>
                <c:pt idx="22">
                  <c:v>13</c:v>
                </c:pt>
                <c:pt idx="23">
                  <c:v>22</c:v>
                </c:pt>
                <c:pt idx="24">
                  <c:v>20</c:v>
                </c:pt>
                <c:pt idx="25">
                  <c:v>10</c:v>
                </c:pt>
                <c:pt idx="26">
                  <c:v>15</c:v>
                </c:pt>
                <c:pt idx="27">
                  <c:v>14</c:v>
                </c:pt>
                <c:pt idx="28">
                  <c:v>20</c:v>
                </c:pt>
                <c:pt idx="29">
                  <c:v>8</c:v>
                </c:pt>
                <c:pt idx="30">
                  <c:v>18</c:v>
                </c:pt>
                <c:pt idx="31">
                  <c:v>5</c:v>
                </c:pt>
                <c:pt idx="32">
                  <c:v>18</c:v>
                </c:pt>
                <c:pt idx="33">
                  <c:v>20</c:v>
                </c:pt>
                <c:pt idx="34">
                  <c:v>15</c:v>
                </c:pt>
                <c:pt idx="35">
                  <c:v>14</c:v>
                </c:pt>
                <c:pt idx="36">
                  <c:v>22</c:v>
                </c:pt>
                <c:pt idx="37">
                  <c:v>24</c:v>
                </c:pt>
                <c:pt idx="38">
                  <c:v>15</c:v>
                </c:pt>
                <c:pt idx="39">
                  <c:v>11</c:v>
                </c:pt>
                <c:pt idx="40">
                  <c:v>17</c:v>
                </c:pt>
                <c:pt idx="41">
                  <c:v>94</c:v>
                </c:pt>
                <c:pt idx="42">
                  <c:v>17</c:v>
                </c:pt>
                <c:pt idx="43">
                  <c:v>17</c:v>
                </c:pt>
                <c:pt idx="44">
                  <c:v>12</c:v>
                </c:pt>
                <c:pt idx="45">
                  <c:v>17</c:v>
                </c:pt>
                <c:pt idx="46">
                  <c:v>99</c:v>
                </c:pt>
                <c:pt idx="47">
                  <c:v>28</c:v>
                </c:pt>
                <c:pt idx="48">
                  <c:v>23</c:v>
                </c:pt>
                <c:pt idx="4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DC-4418-BE00-8095C56317B1}"/>
            </c:ext>
          </c:extLst>
        </c:ser>
        <c:ser>
          <c:idx val="1"/>
          <c:order val="1"/>
          <c:tx>
            <c:strRef>
              <c:f>Learn_Full!$R$2</c:f>
              <c:strCache>
                <c:ptCount val="1"/>
                <c:pt idx="0">
                  <c:v>Mob_Mean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Learn_Full!$K$3:$K$52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Learn_Full!$R$3:$R$52</c:f>
              <c:numCache>
                <c:formatCode>General</c:formatCode>
                <c:ptCount val="50"/>
                <c:pt idx="0">
                  <c:v>100</c:v>
                </c:pt>
                <c:pt idx="1">
                  <c:v>98.8</c:v>
                </c:pt>
                <c:pt idx="2">
                  <c:v>98.6</c:v>
                </c:pt>
                <c:pt idx="3">
                  <c:v>98.6</c:v>
                </c:pt>
                <c:pt idx="4">
                  <c:v>13.8</c:v>
                </c:pt>
                <c:pt idx="5">
                  <c:v>50.6</c:v>
                </c:pt>
                <c:pt idx="6">
                  <c:v>18.399999999999999</c:v>
                </c:pt>
                <c:pt idx="7">
                  <c:v>14</c:v>
                </c:pt>
                <c:pt idx="8">
                  <c:v>47.8</c:v>
                </c:pt>
                <c:pt idx="9">
                  <c:v>47.6</c:v>
                </c:pt>
                <c:pt idx="10">
                  <c:v>48.2</c:v>
                </c:pt>
                <c:pt idx="11">
                  <c:v>30.4</c:v>
                </c:pt>
                <c:pt idx="12">
                  <c:v>13.2</c:v>
                </c:pt>
                <c:pt idx="13">
                  <c:v>12.2</c:v>
                </c:pt>
                <c:pt idx="14">
                  <c:v>13.6</c:v>
                </c:pt>
                <c:pt idx="15">
                  <c:v>32.799999999999997</c:v>
                </c:pt>
                <c:pt idx="16">
                  <c:v>65.2</c:v>
                </c:pt>
                <c:pt idx="17">
                  <c:v>79.2</c:v>
                </c:pt>
                <c:pt idx="18">
                  <c:v>64.400000000000006</c:v>
                </c:pt>
                <c:pt idx="19">
                  <c:v>45.8</c:v>
                </c:pt>
                <c:pt idx="20">
                  <c:v>35</c:v>
                </c:pt>
                <c:pt idx="21">
                  <c:v>52.8</c:v>
                </c:pt>
                <c:pt idx="22">
                  <c:v>80.400000000000006</c:v>
                </c:pt>
                <c:pt idx="23">
                  <c:v>68.400000000000006</c:v>
                </c:pt>
                <c:pt idx="24">
                  <c:v>83</c:v>
                </c:pt>
                <c:pt idx="25">
                  <c:v>64.2</c:v>
                </c:pt>
                <c:pt idx="26">
                  <c:v>49.2</c:v>
                </c:pt>
                <c:pt idx="27">
                  <c:v>80.8</c:v>
                </c:pt>
                <c:pt idx="28">
                  <c:v>69.400000000000006</c:v>
                </c:pt>
                <c:pt idx="29">
                  <c:v>48.4</c:v>
                </c:pt>
                <c:pt idx="30">
                  <c:v>67.8</c:v>
                </c:pt>
                <c:pt idx="31">
                  <c:v>47.2</c:v>
                </c:pt>
                <c:pt idx="32">
                  <c:v>65.8</c:v>
                </c:pt>
                <c:pt idx="33">
                  <c:v>67.2</c:v>
                </c:pt>
                <c:pt idx="34">
                  <c:v>66</c:v>
                </c:pt>
                <c:pt idx="35">
                  <c:v>65.400000000000006</c:v>
                </c:pt>
                <c:pt idx="36">
                  <c:v>68.599999999999994</c:v>
                </c:pt>
                <c:pt idx="37">
                  <c:v>69.400000000000006</c:v>
                </c:pt>
                <c:pt idx="38">
                  <c:v>82</c:v>
                </c:pt>
                <c:pt idx="39">
                  <c:v>66</c:v>
                </c:pt>
                <c:pt idx="40">
                  <c:v>67.2</c:v>
                </c:pt>
                <c:pt idx="41">
                  <c:v>97.8</c:v>
                </c:pt>
                <c:pt idx="42">
                  <c:v>53.4</c:v>
                </c:pt>
                <c:pt idx="43">
                  <c:v>82</c:v>
                </c:pt>
                <c:pt idx="44">
                  <c:v>81.599999999999994</c:v>
                </c:pt>
                <c:pt idx="45">
                  <c:v>67</c:v>
                </c:pt>
                <c:pt idx="46">
                  <c:v>99.6</c:v>
                </c:pt>
                <c:pt idx="47">
                  <c:v>85.6</c:v>
                </c:pt>
                <c:pt idx="48">
                  <c:v>84.6</c:v>
                </c:pt>
                <c:pt idx="4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DC-4418-BE00-8095C56317B1}"/>
            </c:ext>
          </c:extLst>
        </c:ser>
        <c:ser>
          <c:idx val="2"/>
          <c:order val="2"/>
          <c:tx>
            <c:strRef>
              <c:f>Learn_Full!$S$2</c:f>
              <c:strCache>
                <c:ptCount val="1"/>
                <c:pt idx="0">
                  <c:v>Mob_Max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Learn_Full!$K$3:$K$52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Learn_Full!$S$3:$S$52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20</c:v>
                </c:pt>
                <c:pt idx="5">
                  <c:v>98</c:v>
                </c:pt>
                <c:pt idx="6">
                  <c:v>23</c:v>
                </c:pt>
                <c:pt idx="7">
                  <c:v>19</c:v>
                </c:pt>
                <c:pt idx="8">
                  <c:v>93</c:v>
                </c:pt>
                <c:pt idx="9">
                  <c:v>99</c:v>
                </c:pt>
                <c:pt idx="10">
                  <c:v>98</c:v>
                </c:pt>
                <c:pt idx="11">
                  <c:v>98</c:v>
                </c:pt>
                <c:pt idx="12">
                  <c:v>15</c:v>
                </c:pt>
                <c:pt idx="13">
                  <c:v>20</c:v>
                </c:pt>
                <c:pt idx="14">
                  <c:v>23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98</c:v>
                </c:pt>
                <c:pt idx="21">
                  <c:v>99</c:v>
                </c:pt>
                <c:pt idx="22">
                  <c:v>99</c:v>
                </c:pt>
                <c:pt idx="23">
                  <c:v>98</c:v>
                </c:pt>
                <c:pt idx="24">
                  <c:v>100</c:v>
                </c:pt>
                <c:pt idx="25">
                  <c:v>99</c:v>
                </c:pt>
                <c:pt idx="26">
                  <c:v>98</c:v>
                </c:pt>
                <c:pt idx="27">
                  <c:v>100</c:v>
                </c:pt>
                <c:pt idx="28">
                  <c:v>99</c:v>
                </c:pt>
                <c:pt idx="29">
                  <c:v>100</c:v>
                </c:pt>
                <c:pt idx="30">
                  <c:v>98</c:v>
                </c:pt>
                <c:pt idx="31">
                  <c:v>100</c:v>
                </c:pt>
                <c:pt idx="32">
                  <c:v>98</c:v>
                </c:pt>
                <c:pt idx="33">
                  <c:v>98</c:v>
                </c:pt>
                <c:pt idx="34">
                  <c:v>99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DC-4418-BE00-8095C5631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081392"/>
        <c:axId val="580082832"/>
      </c:lineChart>
      <c:catAx>
        <c:axId val="58008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2832"/>
        <c:crosses val="autoZero"/>
        <c:auto val="1"/>
        <c:lblAlgn val="ctr"/>
        <c:lblOffset val="100"/>
        <c:noMultiLvlLbl val="0"/>
      </c:catAx>
      <c:valAx>
        <c:axId val="58008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Rich_Full!$B$2</c:f>
              <c:strCache>
                <c:ptCount val="1"/>
                <c:pt idx="0">
                  <c:v>NI_Rich1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Rich_Full!$A$3:$A$52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Rich_Full!$B$3:$B$52</c:f>
              <c:numCache>
                <c:formatCode>General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4</c:v>
                </c:pt>
                <c:pt idx="8">
                  <c:v>5</c:v>
                </c:pt>
                <c:pt idx="9">
                  <c:v>9</c:v>
                </c:pt>
                <c:pt idx="10">
                  <c:v>7</c:v>
                </c:pt>
                <c:pt idx="11">
                  <c:v>6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0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04-4B76-897F-F74E2F13A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Rich_Full!$C$2</c:f>
              <c:strCache>
                <c:ptCount val="1"/>
                <c:pt idx="0">
                  <c:v>NI_Rich2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Rich_Full!$A$3:$A$52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Rich_Full!$C$3:$C$52</c:f>
              <c:numCache>
                <c:formatCode>General</c:formatCode>
                <c:ptCount val="5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11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A1-42FF-AEEC-9089A798F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Rich_Full!$D$2</c:f>
              <c:strCache>
                <c:ptCount val="1"/>
                <c:pt idx="0">
                  <c:v>NI_Rich3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Rich_Full!$A$3:$A$52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Rich_Full!$D$3:$D$52</c:f>
              <c:numCache>
                <c:formatCode>General</c:formatCode>
                <c:ptCount val="50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7</c:v>
                </c:pt>
                <c:pt idx="7">
                  <c:v>10</c:v>
                </c:pt>
                <c:pt idx="8">
                  <c:v>8</c:v>
                </c:pt>
                <c:pt idx="9">
                  <c:v>10</c:v>
                </c:pt>
                <c:pt idx="10">
                  <c:v>7</c:v>
                </c:pt>
                <c:pt idx="11">
                  <c:v>8</c:v>
                </c:pt>
                <c:pt idx="12">
                  <c:v>4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46-469A-9101-86E4F4F07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Rich_Full!$E$2</c:f>
              <c:strCache>
                <c:ptCount val="1"/>
                <c:pt idx="0">
                  <c:v>NI_Rich4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Rich_Full!$A$3:$A$52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Rich_Full!$E$3:$E$52</c:f>
              <c:numCache>
                <c:formatCode>General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A-4AD0-8EA8-F4827A752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Rich_Full!$F$2</c:f>
              <c:strCache>
                <c:ptCount val="1"/>
                <c:pt idx="0">
                  <c:v>NI_Rich5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Rich_Full!$A$3:$A$52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Rich_Full!$F$3:$F$52</c:f>
              <c:numCache>
                <c:formatCode>General</c:formatCode>
                <c:ptCount val="50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  <c:pt idx="5">
                  <c:v>5</c:v>
                </c:pt>
                <c:pt idx="6">
                  <c:v>9</c:v>
                </c:pt>
                <c:pt idx="7">
                  <c:v>12</c:v>
                </c:pt>
                <c:pt idx="8">
                  <c:v>5</c:v>
                </c:pt>
                <c:pt idx="9">
                  <c:v>4</c:v>
                </c:pt>
                <c:pt idx="10">
                  <c:v>7</c:v>
                </c:pt>
                <c:pt idx="11">
                  <c:v>5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3C-4FA9-A578-850A0E686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92415"/>
        <c:axId val="1818291935"/>
      </c:scatterChart>
      <c:valAx>
        <c:axId val="1818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1935"/>
        <c:crosses val="autoZero"/>
        <c:crossBetween val="midCat"/>
      </c:valAx>
      <c:valAx>
        <c:axId val="18182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Rich_Full!$L$2</c:f>
              <c:strCache>
                <c:ptCount val="1"/>
                <c:pt idx="0">
                  <c:v>Mob_Rich1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Rich_Full!$K$3:$K$52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Rich_Full!$L$3:$L$52</c:f>
              <c:numCache>
                <c:formatCode>General</c:formatCode>
                <c:ptCount val="50"/>
                <c:pt idx="0">
                  <c:v>100</c:v>
                </c:pt>
                <c:pt idx="1">
                  <c:v>99</c:v>
                </c:pt>
                <c:pt idx="2">
                  <c:v>99</c:v>
                </c:pt>
                <c:pt idx="3">
                  <c:v>97</c:v>
                </c:pt>
                <c:pt idx="4">
                  <c:v>50</c:v>
                </c:pt>
                <c:pt idx="5">
                  <c:v>45</c:v>
                </c:pt>
                <c:pt idx="6">
                  <c:v>47</c:v>
                </c:pt>
                <c:pt idx="7">
                  <c:v>49</c:v>
                </c:pt>
                <c:pt idx="8">
                  <c:v>39</c:v>
                </c:pt>
                <c:pt idx="9">
                  <c:v>41</c:v>
                </c:pt>
                <c:pt idx="10">
                  <c:v>46</c:v>
                </c:pt>
                <c:pt idx="11">
                  <c:v>42</c:v>
                </c:pt>
                <c:pt idx="12">
                  <c:v>38</c:v>
                </c:pt>
                <c:pt idx="13">
                  <c:v>35</c:v>
                </c:pt>
                <c:pt idx="14">
                  <c:v>39</c:v>
                </c:pt>
                <c:pt idx="15">
                  <c:v>46</c:v>
                </c:pt>
                <c:pt idx="16">
                  <c:v>53</c:v>
                </c:pt>
                <c:pt idx="17">
                  <c:v>46</c:v>
                </c:pt>
                <c:pt idx="18">
                  <c:v>49</c:v>
                </c:pt>
                <c:pt idx="19">
                  <c:v>91</c:v>
                </c:pt>
                <c:pt idx="20">
                  <c:v>52</c:v>
                </c:pt>
                <c:pt idx="21">
                  <c:v>98</c:v>
                </c:pt>
                <c:pt idx="22">
                  <c:v>95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8A-4A9A-9223-D03384C9A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Rich_Full!$M$2</c:f>
              <c:strCache>
                <c:ptCount val="1"/>
                <c:pt idx="0">
                  <c:v>Mob_Rich2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Rich_Full!$K$3:$K$52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Rich_Full!$M$3:$M$52</c:f>
              <c:numCache>
                <c:formatCode>General</c:formatCode>
                <c:ptCount val="50"/>
                <c:pt idx="0">
                  <c:v>100</c:v>
                </c:pt>
                <c:pt idx="1">
                  <c:v>98</c:v>
                </c:pt>
                <c:pt idx="2">
                  <c:v>97</c:v>
                </c:pt>
                <c:pt idx="3">
                  <c:v>97</c:v>
                </c:pt>
                <c:pt idx="4">
                  <c:v>54</c:v>
                </c:pt>
                <c:pt idx="5">
                  <c:v>79</c:v>
                </c:pt>
                <c:pt idx="6">
                  <c:v>51</c:v>
                </c:pt>
                <c:pt idx="7">
                  <c:v>49</c:v>
                </c:pt>
                <c:pt idx="8">
                  <c:v>51</c:v>
                </c:pt>
                <c:pt idx="9">
                  <c:v>35</c:v>
                </c:pt>
                <c:pt idx="10">
                  <c:v>39</c:v>
                </c:pt>
                <c:pt idx="11">
                  <c:v>36</c:v>
                </c:pt>
                <c:pt idx="12">
                  <c:v>36</c:v>
                </c:pt>
                <c:pt idx="13">
                  <c:v>47</c:v>
                </c:pt>
                <c:pt idx="14">
                  <c:v>45</c:v>
                </c:pt>
                <c:pt idx="15">
                  <c:v>46</c:v>
                </c:pt>
                <c:pt idx="16">
                  <c:v>70</c:v>
                </c:pt>
                <c:pt idx="17">
                  <c:v>44</c:v>
                </c:pt>
                <c:pt idx="18">
                  <c:v>72</c:v>
                </c:pt>
                <c:pt idx="19">
                  <c:v>97</c:v>
                </c:pt>
                <c:pt idx="20">
                  <c:v>50</c:v>
                </c:pt>
                <c:pt idx="21">
                  <c:v>96</c:v>
                </c:pt>
                <c:pt idx="22">
                  <c:v>72</c:v>
                </c:pt>
                <c:pt idx="23">
                  <c:v>76</c:v>
                </c:pt>
                <c:pt idx="24">
                  <c:v>95</c:v>
                </c:pt>
                <c:pt idx="25">
                  <c:v>53</c:v>
                </c:pt>
                <c:pt idx="26">
                  <c:v>96</c:v>
                </c:pt>
                <c:pt idx="27">
                  <c:v>95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4B-494E-9461-36C3FF96A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Rich_Full!$N$2</c:f>
              <c:strCache>
                <c:ptCount val="1"/>
                <c:pt idx="0">
                  <c:v>Mob_Rich3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Rich_Full!$K$3:$K$52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Rich_Full!$N$3:$N$52</c:f>
              <c:numCache>
                <c:formatCode>General</c:formatCode>
                <c:ptCount val="50"/>
                <c:pt idx="0">
                  <c:v>100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54</c:v>
                </c:pt>
                <c:pt idx="5">
                  <c:v>49</c:v>
                </c:pt>
                <c:pt idx="6">
                  <c:v>93</c:v>
                </c:pt>
                <c:pt idx="7">
                  <c:v>93</c:v>
                </c:pt>
                <c:pt idx="8">
                  <c:v>43</c:v>
                </c:pt>
                <c:pt idx="9">
                  <c:v>46</c:v>
                </c:pt>
                <c:pt idx="10">
                  <c:v>35</c:v>
                </c:pt>
                <c:pt idx="11">
                  <c:v>41</c:v>
                </c:pt>
                <c:pt idx="12">
                  <c:v>39</c:v>
                </c:pt>
                <c:pt idx="13">
                  <c:v>41</c:v>
                </c:pt>
                <c:pt idx="14">
                  <c:v>37</c:v>
                </c:pt>
                <c:pt idx="15">
                  <c:v>35</c:v>
                </c:pt>
                <c:pt idx="16">
                  <c:v>43</c:v>
                </c:pt>
                <c:pt idx="17">
                  <c:v>64</c:v>
                </c:pt>
                <c:pt idx="18">
                  <c:v>53</c:v>
                </c:pt>
                <c:pt idx="19">
                  <c:v>96</c:v>
                </c:pt>
                <c:pt idx="20">
                  <c:v>65</c:v>
                </c:pt>
                <c:pt idx="21">
                  <c:v>52</c:v>
                </c:pt>
                <c:pt idx="22">
                  <c:v>69</c:v>
                </c:pt>
                <c:pt idx="23">
                  <c:v>71</c:v>
                </c:pt>
                <c:pt idx="24">
                  <c:v>94</c:v>
                </c:pt>
                <c:pt idx="25">
                  <c:v>66</c:v>
                </c:pt>
                <c:pt idx="26">
                  <c:v>50</c:v>
                </c:pt>
                <c:pt idx="27">
                  <c:v>67</c:v>
                </c:pt>
                <c:pt idx="28">
                  <c:v>72</c:v>
                </c:pt>
                <c:pt idx="29">
                  <c:v>70</c:v>
                </c:pt>
                <c:pt idx="30">
                  <c:v>66</c:v>
                </c:pt>
                <c:pt idx="31">
                  <c:v>95</c:v>
                </c:pt>
                <c:pt idx="32">
                  <c:v>95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EA-4A56-84F9-7386E800A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Rich_Full!$O$2</c:f>
              <c:strCache>
                <c:ptCount val="1"/>
                <c:pt idx="0">
                  <c:v>Mob_Rich4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Rich_Full!$K$3:$K$52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Rich_Full!$O$3:$O$52</c:f>
              <c:numCache>
                <c:formatCode>General</c:formatCode>
                <c:ptCount val="50"/>
                <c:pt idx="0">
                  <c:v>100</c:v>
                </c:pt>
                <c:pt idx="1">
                  <c:v>98</c:v>
                </c:pt>
                <c:pt idx="2">
                  <c:v>95</c:v>
                </c:pt>
                <c:pt idx="3">
                  <c:v>98</c:v>
                </c:pt>
                <c:pt idx="4">
                  <c:v>48</c:v>
                </c:pt>
                <c:pt idx="5">
                  <c:v>42</c:v>
                </c:pt>
                <c:pt idx="6">
                  <c:v>40</c:v>
                </c:pt>
                <c:pt idx="7">
                  <c:v>36</c:v>
                </c:pt>
                <c:pt idx="8">
                  <c:v>34</c:v>
                </c:pt>
                <c:pt idx="9">
                  <c:v>33</c:v>
                </c:pt>
                <c:pt idx="10">
                  <c:v>26</c:v>
                </c:pt>
                <c:pt idx="11">
                  <c:v>30</c:v>
                </c:pt>
                <c:pt idx="12">
                  <c:v>24</c:v>
                </c:pt>
                <c:pt idx="13">
                  <c:v>43</c:v>
                </c:pt>
                <c:pt idx="14">
                  <c:v>40</c:v>
                </c:pt>
                <c:pt idx="15">
                  <c:v>45</c:v>
                </c:pt>
                <c:pt idx="16">
                  <c:v>64</c:v>
                </c:pt>
                <c:pt idx="17">
                  <c:v>65</c:v>
                </c:pt>
                <c:pt idx="18">
                  <c:v>97</c:v>
                </c:pt>
                <c:pt idx="19">
                  <c:v>64</c:v>
                </c:pt>
                <c:pt idx="20">
                  <c:v>64</c:v>
                </c:pt>
                <c:pt idx="21">
                  <c:v>64</c:v>
                </c:pt>
                <c:pt idx="22">
                  <c:v>49</c:v>
                </c:pt>
                <c:pt idx="23">
                  <c:v>70</c:v>
                </c:pt>
                <c:pt idx="24">
                  <c:v>63</c:v>
                </c:pt>
                <c:pt idx="25">
                  <c:v>95</c:v>
                </c:pt>
                <c:pt idx="26">
                  <c:v>48</c:v>
                </c:pt>
                <c:pt idx="27">
                  <c:v>44</c:v>
                </c:pt>
                <c:pt idx="28">
                  <c:v>49</c:v>
                </c:pt>
                <c:pt idx="29">
                  <c:v>47</c:v>
                </c:pt>
                <c:pt idx="30">
                  <c:v>94</c:v>
                </c:pt>
                <c:pt idx="31">
                  <c:v>94</c:v>
                </c:pt>
                <c:pt idx="32">
                  <c:v>66</c:v>
                </c:pt>
                <c:pt idx="33">
                  <c:v>98</c:v>
                </c:pt>
                <c:pt idx="34">
                  <c:v>96</c:v>
                </c:pt>
                <c:pt idx="35">
                  <c:v>50</c:v>
                </c:pt>
                <c:pt idx="36">
                  <c:v>97</c:v>
                </c:pt>
                <c:pt idx="37">
                  <c:v>96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2A-4162-BE06-4AD8B24F3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Rich_Full!$P$2</c:f>
              <c:strCache>
                <c:ptCount val="1"/>
                <c:pt idx="0">
                  <c:v>Mob_Rich5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Rich_Full!$K$3:$K$52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Rich_Full!$P$3:$P$52</c:f>
              <c:numCache>
                <c:formatCode>General</c:formatCode>
                <c:ptCount val="50"/>
                <c:pt idx="0">
                  <c:v>100</c:v>
                </c:pt>
                <c:pt idx="1">
                  <c:v>98</c:v>
                </c:pt>
                <c:pt idx="2">
                  <c:v>98</c:v>
                </c:pt>
                <c:pt idx="3">
                  <c:v>96</c:v>
                </c:pt>
                <c:pt idx="4">
                  <c:v>41</c:v>
                </c:pt>
                <c:pt idx="5">
                  <c:v>41</c:v>
                </c:pt>
                <c:pt idx="6">
                  <c:v>45</c:v>
                </c:pt>
                <c:pt idx="7">
                  <c:v>54</c:v>
                </c:pt>
                <c:pt idx="8">
                  <c:v>46</c:v>
                </c:pt>
                <c:pt idx="9">
                  <c:v>37</c:v>
                </c:pt>
                <c:pt idx="10">
                  <c:v>40</c:v>
                </c:pt>
                <c:pt idx="11">
                  <c:v>45</c:v>
                </c:pt>
                <c:pt idx="12">
                  <c:v>39</c:v>
                </c:pt>
                <c:pt idx="13">
                  <c:v>37</c:v>
                </c:pt>
                <c:pt idx="14">
                  <c:v>38</c:v>
                </c:pt>
                <c:pt idx="15">
                  <c:v>44</c:v>
                </c:pt>
                <c:pt idx="16">
                  <c:v>43</c:v>
                </c:pt>
                <c:pt idx="17">
                  <c:v>49</c:v>
                </c:pt>
                <c:pt idx="18">
                  <c:v>93</c:v>
                </c:pt>
                <c:pt idx="19">
                  <c:v>67</c:v>
                </c:pt>
                <c:pt idx="20">
                  <c:v>44</c:v>
                </c:pt>
                <c:pt idx="21">
                  <c:v>96</c:v>
                </c:pt>
                <c:pt idx="22">
                  <c:v>43</c:v>
                </c:pt>
                <c:pt idx="23">
                  <c:v>65</c:v>
                </c:pt>
                <c:pt idx="24">
                  <c:v>95</c:v>
                </c:pt>
                <c:pt idx="25">
                  <c:v>66</c:v>
                </c:pt>
                <c:pt idx="26">
                  <c:v>97</c:v>
                </c:pt>
                <c:pt idx="27">
                  <c:v>67</c:v>
                </c:pt>
                <c:pt idx="28">
                  <c:v>67</c:v>
                </c:pt>
                <c:pt idx="29">
                  <c:v>95</c:v>
                </c:pt>
                <c:pt idx="30">
                  <c:v>68</c:v>
                </c:pt>
                <c:pt idx="31">
                  <c:v>98</c:v>
                </c:pt>
                <c:pt idx="32">
                  <c:v>67</c:v>
                </c:pt>
                <c:pt idx="33">
                  <c:v>98</c:v>
                </c:pt>
                <c:pt idx="34">
                  <c:v>97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1F-4C0D-82DF-7A0BD0260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1791"/>
        <c:axId val="386315391"/>
      </c:scatterChart>
      <c:valAx>
        <c:axId val="38634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5391"/>
        <c:crosses val="autoZero"/>
        <c:crossBetween val="midCat"/>
      </c:valAx>
      <c:valAx>
        <c:axId val="3863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Aware New Infection:</a:t>
            </a:r>
            <a:r>
              <a:rPr lang="en-US" baseline="0"/>
              <a:t> Max, Min,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Rich_Full!$G$2</c:f>
              <c:strCache>
                <c:ptCount val="1"/>
                <c:pt idx="0">
                  <c:v>NI_Min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Rich_Full!$A$3:$A$52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Rich_Full!$G$3:$G$52</c:f>
              <c:numCache>
                <c:formatCode>General</c:formatCode>
                <c:ptCount val="50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A9-48C7-B685-7FD65CDFCEF6}"/>
            </c:ext>
          </c:extLst>
        </c:ser>
        <c:ser>
          <c:idx val="1"/>
          <c:order val="1"/>
          <c:tx>
            <c:strRef>
              <c:f>Rich_Full!$H$2</c:f>
              <c:strCache>
                <c:ptCount val="1"/>
                <c:pt idx="0">
                  <c:v>NI_Mean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Rich_Full!$A$3:$A$52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Rich_Full!$H$3:$H$52</c:f>
              <c:numCache>
                <c:formatCode>General</c:formatCode>
                <c:ptCount val="50"/>
                <c:pt idx="0">
                  <c:v>2</c:v>
                </c:pt>
                <c:pt idx="1">
                  <c:v>2.8</c:v>
                </c:pt>
                <c:pt idx="2">
                  <c:v>3.2</c:v>
                </c:pt>
                <c:pt idx="3">
                  <c:v>4</c:v>
                </c:pt>
                <c:pt idx="4">
                  <c:v>4.4000000000000004</c:v>
                </c:pt>
                <c:pt idx="5">
                  <c:v>5.6</c:v>
                </c:pt>
                <c:pt idx="6">
                  <c:v>8</c:v>
                </c:pt>
                <c:pt idx="7">
                  <c:v>7.6</c:v>
                </c:pt>
                <c:pt idx="8">
                  <c:v>7.2</c:v>
                </c:pt>
                <c:pt idx="9">
                  <c:v>6.2</c:v>
                </c:pt>
                <c:pt idx="10">
                  <c:v>6.4</c:v>
                </c:pt>
                <c:pt idx="11">
                  <c:v>5.6</c:v>
                </c:pt>
                <c:pt idx="12">
                  <c:v>2</c:v>
                </c:pt>
                <c:pt idx="13">
                  <c:v>2.4</c:v>
                </c:pt>
                <c:pt idx="14">
                  <c:v>1</c:v>
                </c:pt>
                <c:pt idx="15">
                  <c:v>0.4</c:v>
                </c:pt>
                <c:pt idx="16">
                  <c:v>2.2000000000000002</c:v>
                </c:pt>
                <c:pt idx="17">
                  <c:v>0.6</c:v>
                </c:pt>
                <c:pt idx="18">
                  <c:v>1.2</c:v>
                </c:pt>
                <c:pt idx="19">
                  <c:v>0.8</c:v>
                </c:pt>
                <c:pt idx="20">
                  <c:v>0.2</c:v>
                </c:pt>
                <c:pt idx="21">
                  <c:v>0.8</c:v>
                </c:pt>
                <c:pt idx="22">
                  <c:v>1</c:v>
                </c:pt>
                <c:pt idx="23">
                  <c:v>1</c:v>
                </c:pt>
                <c:pt idx="24">
                  <c:v>0.8</c:v>
                </c:pt>
                <c:pt idx="25">
                  <c:v>1.2</c:v>
                </c:pt>
                <c:pt idx="26">
                  <c:v>0.4</c:v>
                </c:pt>
                <c:pt idx="27">
                  <c:v>0</c:v>
                </c:pt>
                <c:pt idx="28">
                  <c:v>0.4</c:v>
                </c:pt>
                <c:pt idx="29">
                  <c:v>0</c:v>
                </c:pt>
                <c:pt idx="30">
                  <c:v>0</c:v>
                </c:pt>
                <c:pt idx="31">
                  <c:v>0.4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A9-48C7-B685-7FD65CDFCEF6}"/>
            </c:ext>
          </c:extLst>
        </c:ser>
        <c:ser>
          <c:idx val="2"/>
          <c:order val="2"/>
          <c:tx>
            <c:strRef>
              <c:f>Rich_Full!$I$2</c:f>
              <c:strCache>
                <c:ptCount val="1"/>
                <c:pt idx="0">
                  <c:v>NI_Max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Rich_Full!$A$3:$A$52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Rich_Full!$I$3:$I$52</c:f>
              <c:numCache>
                <c:formatCode>General</c:formatCode>
                <c:ptCount val="50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10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5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A9-48C7-B685-7FD65CDFC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700160"/>
        <c:axId val="378696800"/>
      </c:lineChart>
      <c:catAx>
        <c:axId val="37870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96800"/>
        <c:crosses val="autoZero"/>
        <c:auto val="1"/>
        <c:lblAlgn val="ctr"/>
        <c:lblOffset val="100"/>
        <c:noMultiLvlLbl val="0"/>
      </c:catAx>
      <c:valAx>
        <c:axId val="37869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0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Aware Mobility</a:t>
            </a:r>
            <a:r>
              <a:rPr lang="en-US" baseline="0"/>
              <a:t>: Max, Min, Avg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Rich_Full!$Q$2</c:f>
              <c:strCache>
                <c:ptCount val="1"/>
                <c:pt idx="0">
                  <c:v>Mob_Min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Rich_Full!$K$3:$K$52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Rich_Full!$Q$3:$Q$52</c:f>
              <c:numCache>
                <c:formatCode>General</c:formatCode>
                <c:ptCount val="50"/>
                <c:pt idx="0">
                  <c:v>100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41</c:v>
                </c:pt>
                <c:pt idx="5">
                  <c:v>41</c:v>
                </c:pt>
                <c:pt idx="6">
                  <c:v>40</c:v>
                </c:pt>
                <c:pt idx="7">
                  <c:v>36</c:v>
                </c:pt>
                <c:pt idx="8">
                  <c:v>34</c:v>
                </c:pt>
                <c:pt idx="9">
                  <c:v>33</c:v>
                </c:pt>
                <c:pt idx="10">
                  <c:v>26</c:v>
                </c:pt>
                <c:pt idx="11">
                  <c:v>30</c:v>
                </c:pt>
                <c:pt idx="12">
                  <c:v>24</c:v>
                </c:pt>
                <c:pt idx="13">
                  <c:v>35</c:v>
                </c:pt>
                <c:pt idx="14">
                  <c:v>37</c:v>
                </c:pt>
                <c:pt idx="15">
                  <c:v>35</c:v>
                </c:pt>
                <c:pt idx="16">
                  <c:v>43</c:v>
                </c:pt>
                <c:pt idx="17">
                  <c:v>44</c:v>
                </c:pt>
                <c:pt idx="18">
                  <c:v>49</c:v>
                </c:pt>
                <c:pt idx="19">
                  <c:v>64</c:v>
                </c:pt>
                <c:pt idx="20">
                  <c:v>44</c:v>
                </c:pt>
                <c:pt idx="21">
                  <c:v>52</c:v>
                </c:pt>
                <c:pt idx="22">
                  <c:v>43</c:v>
                </c:pt>
                <c:pt idx="23">
                  <c:v>65</c:v>
                </c:pt>
                <c:pt idx="24">
                  <c:v>63</c:v>
                </c:pt>
                <c:pt idx="25">
                  <c:v>53</c:v>
                </c:pt>
                <c:pt idx="26">
                  <c:v>48</c:v>
                </c:pt>
                <c:pt idx="27">
                  <c:v>44</c:v>
                </c:pt>
                <c:pt idx="28">
                  <c:v>49</c:v>
                </c:pt>
                <c:pt idx="29">
                  <c:v>47</c:v>
                </c:pt>
                <c:pt idx="30">
                  <c:v>66</c:v>
                </c:pt>
                <c:pt idx="31">
                  <c:v>94</c:v>
                </c:pt>
                <c:pt idx="32">
                  <c:v>66</c:v>
                </c:pt>
                <c:pt idx="33">
                  <c:v>98</c:v>
                </c:pt>
                <c:pt idx="34">
                  <c:v>96</c:v>
                </c:pt>
                <c:pt idx="35">
                  <c:v>50</c:v>
                </c:pt>
                <c:pt idx="36">
                  <c:v>97</c:v>
                </c:pt>
                <c:pt idx="37">
                  <c:v>96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8-42C7-953D-E2D0680D70CC}"/>
            </c:ext>
          </c:extLst>
        </c:ser>
        <c:ser>
          <c:idx val="1"/>
          <c:order val="1"/>
          <c:tx>
            <c:strRef>
              <c:f>Rich_Full!$R$2</c:f>
              <c:strCache>
                <c:ptCount val="1"/>
                <c:pt idx="0">
                  <c:v>Mob_Mean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Rich_Full!$K$3:$K$52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Rich_Full!$R$3:$R$52</c:f>
              <c:numCache>
                <c:formatCode>General</c:formatCode>
                <c:ptCount val="50"/>
                <c:pt idx="0">
                  <c:v>100</c:v>
                </c:pt>
                <c:pt idx="1">
                  <c:v>97.6</c:v>
                </c:pt>
                <c:pt idx="2">
                  <c:v>96.8</c:v>
                </c:pt>
                <c:pt idx="3">
                  <c:v>96.6</c:v>
                </c:pt>
                <c:pt idx="4">
                  <c:v>49.4</c:v>
                </c:pt>
                <c:pt idx="5">
                  <c:v>51.2</c:v>
                </c:pt>
                <c:pt idx="6">
                  <c:v>55.2</c:v>
                </c:pt>
                <c:pt idx="7">
                  <c:v>56.2</c:v>
                </c:pt>
                <c:pt idx="8">
                  <c:v>42.6</c:v>
                </c:pt>
                <c:pt idx="9">
                  <c:v>38.4</c:v>
                </c:pt>
                <c:pt idx="10">
                  <c:v>37.200000000000003</c:v>
                </c:pt>
                <c:pt idx="11">
                  <c:v>38.799999999999997</c:v>
                </c:pt>
                <c:pt idx="12">
                  <c:v>35.200000000000003</c:v>
                </c:pt>
                <c:pt idx="13">
                  <c:v>40.6</c:v>
                </c:pt>
                <c:pt idx="14">
                  <c:v>39.799999999999997</c:v>
                </c:pt>
                <c:pt idx="15">
                  <c:v>43.2</c:v>
                </c:pt>
                <c:pt idx="16">
                  <c:v>54.6</c:v>
                </c:pt>
                <c:pt idx="17">
                  <c:v>53.6</c:v>
                </c:pt>
                <c:pt idx="18">
                  <c:v>72.8</c:v>
                </c:pt>
                <c:pt idx="19">
                  <c:v>83</c:v>
                </c:pt>
                <c:pt idx="20">
                  <c:v>55</c:v>
                </c:pt>
                <c:pt idx="21">
                  <c:v>81.2</c:v>
                </c:pt>
                <c:pt idx="22">
                  <c:v>65.599999999999994</c:v>
                </c:pt>
                <c:pt idx="23">
                  <c:v>76.400000000000006</c:v>
                </c:pt>
                <c:pt idx="24">
                  <c:v>89.4</c:v>
                </c:pt>
                <c:pt idx="25">
                  <c:v>76</c:v>
                </c:pt>
                <c:pt idx="26">
                  <c:v>78.2</c:v>
                </c:pt>
                <c:pt idx="27">
                  <c:v>74.599999999999994</c:v>
                </c:pt>
                <c:pt idx="28">
                  <c:v>77.599999999999994</c:v>
                </c:pt>
                <c:pt idx="29">
                  <c:v>82.4</c:v>
                </c:pt>
                <c:pt idx="30">
                  <c:v>85.6</c:v>
                </c:pt>
                <c:pt idx="31">
                  <c:v>97.4</c:v>
                </c:pt>
                <c:pt idx="32">
                  <c:v>85.6</c:v>
                </c:pt>
                <c:pt idx="33">
                  <c:v>99.2</c:v>
                </c:pt>
                <c:pt idx="34">
                  <c:v>98.6</c:v>
                </c:pt>
                <c:pt idx="35">
                  <c:v>90</c:v>
                </c:pt>
                <c:pt idx="36">
                  <c:v>99.4</c:v>
                </c:pt>
                <c:pt idx="37">
                  <c:v>99.2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E8-42C7-953D-E2D0680D70CC}"/>
            </c:ext>
          </c:extLst>
        </c:ser>
        <c:ser>
          <c:idx val="2"/>
          <c:order val="2"/>
          <c:tx>
            <c:strRef>
              <c:f>Rich_Full!$S$2</c:f>
              <c:strCache>
                <c:ptCount val="1"/>
                <c:pt idx="0">
                  <c:v>Mob_Max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Rich_Full!$K$3:$K$52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Rich_Full!$S$3:$S$52</c:f>
              <c:numCache>
                <c:formatCode>General</c:formatCode>
                <c:ptCount val="50"/>
                <c:pt idx="0">
                  <c:v>100</c:v>
                </c:pt>
                <c:pt idx="1">
                  <c:v>99</c:v>
                </c:pt>
                <c:pt idx="2">
                  <c:v>99</c:v>
                </c:pt>
                <c:pt idx="3">
                  <c:v>98</c:v>
                </c:pt>
                <c:pt idx="4">
                  <c:v>54</c:v>
                </c:pt>
                <c:pt idx="5">
                  <c:v>79</c:v>
                </c:pt>
                <c:pt idx="6">
                  <c:v>93</c:v>
                </c:pt>
                <c:pt idx="7">
                  <c:v>93</c:v>
                </c:pt>
                <c:pt idx="8">
                  <c:v>51</c:v>
                </c:pt>
                <c:pt idx="9">
                  <c:v>46</c:v>
                </c:pt>
                <c:pt idx="10">
                  <c:v>46</c:v>
                </c:pt>
                <c:pt idx="11">
                  <c:v>45</c:v>
                </c:pt>
                <c:pt idx="12">
                  <c:v>39</c:v>
                </c:pt>
                <c:pt idx="13">
                  <c:v>47</c:v>
                </c:pt>
                <c:pt idx="14">
                  <c:v>45</c:v>
                </c:pt>
                <c:pt idx="15">
                  <c:v>46</c:v>
                </c:pt>
                <c:pt idx="16">
                  <c:v>70</c:v>
                </c:pt>
                <c:pt idx="17">
                  <c:v>65</c:v>
                </c:pt>
                <c:pt idx="18">
                  <c:v>97</c:v>
                </c:pt>
                <c:pt idx="19">
                  <c:v>97</c:v>
                </c:pt>
                <c:pt idx="20">
                  <c:v>65</c:v>
                </c:pt>
                <c:pt idx="21">
                  <c:v>98</c:v>
                </c:pt>
                <c:pt idx="22">
                  <c:v>95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E8-42C7-953D-E2D0680D7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081392"/>
        <c:axId val="580082832"/>
      </c:lineChart>
      <c:catAx>
        <c:axId val="58008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2832"/>
        <c:crosses val="autoZero"/>
        <c:auto val="1"/>
        <c:lblAlgn val="ctr"/>
        <c:lblOffset val="100"/>
        <c:noMultiLvlLbl val="0"/>
      </c:catAx>
      <c:valAx>
        <c:axId val="58008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8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0" Type="http://schemas.openxmlformats.org/officeDocument/2006/relationships/chart" Target="../charts/chart31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12" Type="http://schemas.openxmlformats.org/officeDocument/2006/relationships/chart" Target="../charts/chart45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11" Type="http://schemas.openxmlformats.org/officeDocument/2006/relationships/chart" Target="../charts/chart44.xml"/><Relationship Id="rId5" Type="http://schemas.openxmlformats.org/officeDocument/2006/relationships/chart" Target="../charts/chart38.xml"/><Relationship Id="rId10" Type="http://schemas.openxmlformats.org/officeDocument/2006/relationships/chart" Target="../charts/chart43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3" Type="http://schemas.openxmlformats.org/officeDocument/2006/relationships/chart" Target="../charts/chart48.xml"/><Relationship Id="rId7" Type="http://schemas.openxmlformats.org/officeDocument/2006/relationships/chart" Target="../charts/chart52.xml"/><Relationship Id="rId12" Type="http://schemas.openxmlformats.org/officeDocument/2006/relationships/chart" Target="../charts/chart57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11" Type="http://schemas.openxmlformats.org/officeDocument/2006/relationships/chart" Target="../charts/chart56.xml"/><Relationship Id="rId5" Type="http://schemas.openxmlformats.org/officeDocument/2006/relationships/chart" Target="../charts/chart50.xml"/><Relationship Id="rId10" Type="http://schemas.openxmlformats.org/officeDocument/2006/relationships/chart" Target="../charts/chart55.xml"/><Relationship Id="rId4" Type="http://schemas.openxmlformats.org/officeDocument/2006/relationships/chart" Target="../charts/chart49.xml"/><Relationship Id="rId9" Type="http://schemas.openxmlformats.org/officeDocument/2006/relationships/chart" Target="../charts/chart54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5.xml"/><Relationship Id="rId3" Type="http://schemas.openxmlformats.org/officeDocument/2006/relationships/chart" Target="../charts/chart60.xml"/><Relationship Id="rId7" Type="http://schemas.openxmlformats.org/officeDocument/2006/relationships/chart" Target="../charts/chart64.xml"/><Relationship Id="rId12" Type="http://schemas.openxmlformats.org/officeDocument/2006/relationships/chart" Target="../charts/chart69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Relationship Id="rId6" Type="http://schemas.openxmlformats.org/officeDocument/2006/relationships/chart" Target="../charts/chart63.xml"/><Relationship Id="rId11" Type="http://schemas.openxmlformats.org/officeDocument/2006/relationships/chart" Target="../charts/chart68.xml"/><Relationship Id="rId5" Type="http://schemas.openxmlformats.org/officeDocument/2006/relationships/chart" Target="../charts/chart62.xml"/><Relationship Id="rId10" Type="http://schemas.openxmlformats.org/officeDocument/2006/relationships/chart" Target="../charts/chart67.xml"/><Relationship Id="rId4" Type="http://schemas.openxmlformats.org/officeDocument/2006/relationships/chart" Target="../charts/chart61.xml"/><Relationship Id="rId9" Type="http://schemas.openxmlformats.org/officeDocument/2006/relationships/chart" Target="../charts/chart6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602181</xdr:colOff>
      <xdr:row>2</xdr:row>
      <xdr:rowOff>35766</xdr:rowOff>
    </xdr:from>
    <xdr:to>
      <xdr:col>63</xdr:col>
      <xdr:colOff>292465</xdr:colOff>
      <xdr:row>16</xdr:row>
      <xdr:rowOff>116063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D99AB-603F-81AE-245C-6AB2CE30F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586569</xdr:colOff>
      <xdr:row>17</xdr:row>
      <xdr:rowOff>98615</xdr:rowOff>
    </xdr:from>
    <xdr:to>
      <xdr:col>63</xdr:col>
      <xdr:colOff>276853</xdr:colOff>
      <xdr:row>31</xdr:row>
      <xdr:rowOff>174815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B9CEE2-6D92-4EA6-B661-ECE42585C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</xdr:col>
      <xdr:colOff>53991</xdr:colOff>
      <xdr:row>16</xdr:row>
      <xdr:rowOff>122318</xdr:rowOff>
    </xdr:from>
    <xdr:to>
      <xdr:col>55</xdr:col>
      <xdr:colOff>358791</xdr:colOff>
      <xdr:row>31</xdr:row>
      <xdr:rowOff>8018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088C13-E16D-46AC-976F-598208518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190500</xdr:colOff>
      <xdr:row>2</xdr:row>
      <xdr:rowOff>40822</xdr:rowOff>
    </xdr:from>
    <xdr:to>
      <xdr:col>55</xdr:col>
      <xdr:colOff>495300</xdr:colOff>
      <xdr:row>16</xdr:row>
      <xdr:rowOff>117022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6BCC8D-5718-4E77-B606-6F5A6B236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384449</xdr:colOff>
      <xdr:row>38</xdr:row>
      <xdr:rowOff>59478</xdr:rowOff>
    </xdr:from>
    <xdr:to>
      <xdr:col>64</xdr:col>
      <xdr:colOff>84131</xdr:colOff>
      <xdr:row>52</xdr:row>
      <xdr:rowOff>135678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8B99DA-BCDE-4FC8-8E91-78B4C056F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89216</xdr:colOff>
      <xdr:row>38</xdr:row>
      <xdr:rowOff>56029</xdr:rowOff>
    </xdr:from>
    <xdr:to>
      <xdr:col>56</xdr:col>
      <xdr:colOff>389100</xdr:colOff>
      <xdr:row>52</xdr:row>
      <xdr:rowOff>136326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C5B831-2504-4C50-A255-1690BDC4E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84277</xdr:colOff>
      <xdr:row>52</xdr:row>
      <xdr:rowOff>123265</xdr:rowOff>
    </xdr:from>
    <xdr:to>
      <xdr:col>56</xdr:col>
      <xdr:colOff>389078</xdr:colOff>
      <xdr:row>67</xdr:row>
      <xdr:rowOff>8965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F657A35-B8F2-4598-B9D0-58B84D801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396239</xdr:colOff>
      <xdr:row>52</xdr:row>
      <xdr:rowOff>131338</xdr:rowOff>
    </xdr:from>
    <xdr:to>
      <xdr:col>64</xdr:col>
      <xdr:colOff>86523</xdr:colOff>
      <xdr:row>67</xdr:row>
      <xdr:rowOff>17038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79A0724-4ADA-48CF-8CEB-07595B02B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20</xdr:row>
      <xdr:rowOff>52387</xdr:rowOff>
    </xdr:from>
    <xdr:to>
      <xdr:col>6</xdr:col>
      <xdr:colOff>309562</xdr:colOff>
      <xdr:row>34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9B8BBF-5653-2A6C-66E9-EFD274FDE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33337</xdr:rowOff>
    </xdr:from>
    <xdr:to>
      <xdr:col>6</xdr:col>
      <xdr:colOff>285750</xdr:colOff>
      <xdr:row>49</xdr:row>
      <xdr:rowOff>109537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920041-2CFB-0A78-7B0C-0A4586BFB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520554</xdr:colOff>
      <xdr:row>21</xdr:row>
      <xdr:rowOff>179202</xdr:rowOff>
    </xdr:from>
    <xdr:to>
      <xdr:col>19</xdr:col>
      <xdr:colOff>354420</xdr:colOff>
      <xdr:row>46</xdr:row>
      <xdr:rowOff>110755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00C4BA-CF25-4B31-ACC0-77555F0B1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66675</xdr:colOff>
      <xdr:row>71</xdr:row>
      <xdr:rowOff>76200</xdr:rowOff>
    </xdr:from>
    <xdr:to>
      <xdr:col>5</xdr:col>
      <xdr:colOff>461963</xdr:colOff>
      <xdr:row>88</xdr:row>
      <xdr:rowOff>61913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F6C4C4-B42E-43EA-872D-B091C07AD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55</xdr:row>
      <xdr:rowOff>38100</xdr:rowOff>
    </xdr:from>
    <xdr:to>
      <xdr:col>5</xdr:col>
      <xdr:colOff>395288</xdr:colOff>
      <xdr:row>72</xdr:row>
      <xdr:rowOff>23813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D024160-9271-43BC-B12F-80104AE1A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522769</xdr:colOff>
      <xdr:row>46</xdr:row>
      <xdr:rowOff>166133</xdr:rowOff>
    </xdr:from>
    <xdr:to>
      <xdr:col>19</xdr:col>
      <xdr:colOff>354421</xdr:colOff>
      <xdr:row>71</xdr:row>
      <xdr:rowOff>143991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CD37E-1C9A-4D80-8AC5-B86A3BAD1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457207</xdr:colOff>
      <xdr:row>22</xdr:row>
      <xdr:rowOff>5316</xdr:rowOff>
    </xdr:from>
    <xdr:to>
      <xdr:col>32</xdr:col>
      <xdr:colOff>443023</xdr:colOff>
      <xdr:row>46</xdr:row>
      <xdr:rowOff>99680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0F0F315-2D57-49C4-8860-D294E2BA3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455645</xdr:colOff>
      <xdr:row>46</xdr:row>
      <xdr:rowOff>166142</xdr:rowOff>
    </xdr:from>
    <xdr:to>
      <xdr:col>26</xdr:col>
      <xdr:colOff>143982</xdr:colOff>
      <xdr:row>71</xdr:row>
      <xdr:rowOff>142662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6A33B2-5B85-419C-A6CF-8AA5B487A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161260</xdr:colOff>
      <xdr:row>46</xdr:row>
      <xdr:rowOff>166133</xdr:rowOff>
    </xdr:from>
    <xdr:to>
      <xdr:col>32</xdr:col>
      <xdr:colOff>443023</xdr:colOff>
      <xdr:row>71</xdr:row>
      <xdr:rowOff>147305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41C8280-7271-466A-97D1-CEF779915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0.01127</cdr:y>
    </cdr:from>
    <cdr:to>
      <cdr:x>0.0871</cdr:x>
      <cdr:y>0.1466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8668B7CD-040F-DAB8-7ED0-46C707C53F63}"/>
            </a:ext>
          </a:extLst>
        </cdr:cNvPr>
        <cdr:cNvSpPr txBox="1"/>
      </cdr:nvSpPr>
      <cdr:spPr>
        <a:xfrm xmlns:a="http://schemas.openxmlformats.org/drawingml/2006/main">
          <a:off x="0" y="52257"/>
          <a:ext cx="677215" cy="6277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4000" b="1"/>
            <a:t>A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0.00654</cdr:x>
      <cdr:y>0.01097</cdr:y>
    </cdr:from>
    <cdr:to>
      <cdr:x>0.09366</cdr:x>
      <cdr:y>0.14657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B1D3C58-4FD8-14ED-7455-F2252336819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77215" cy="6277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4000" b="1"/>
            <a:t>C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0.00653</cdr:x>
      <cdr:y>0.01101</cdr:y>
    </cdr:from>
    <cdr:to>
      <cdr:x>0.09354</cdr:x>
      <cdr:y>0.14709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B1D3C58-4FD8-14ED-7455-F2252336819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77215" cy="6277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4000" b="1"/>
            <a:t>B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0.01296</cdr:x>
      <cdr:y>0.01085</cdr:y>
    </cdr:from>
    <cdr:to>
      <cdr:x>0.18576</cdr:x>
      <cdr:y>0.14488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B1D3C58-4FD8-14ED-7455-F2252336819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77215" cy="6277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4000" b="1"/>
            <a:t>D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0.0129</cdr:x>
      <cdr:y>0.01081</cdr:y>
    </cdr:from>
    <cdr:to>
      <cdr:x>0.18792</cdr:x>
      <cdr:y>0.14074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B4DF90A7-ED2B-0BA5-30D6-90C655D4091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88980" cy="6105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4000" b="1"/>
            <a:t>E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157162</xdr:colOff>
      <xdr:row>6</xdr:row>
      <xdr:rowOff>14286</xdr:rowOff>
    </xdr:from>
    <xdr:to>
      <xdr:col>20</xdr:col>
      <xdr:colOff>571500</xdr:colOff>
      <xdr:row>22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315CF-A05E-4D10-ADE3-38A4DA3B6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442912</xdr:colOff>
      <xdr:row>13</xdr:row>
      <xdr:rowOff>166687</xdr:rowOff>
    </xdr:from>
    <xdr:to>
      <xdr:col>37</xdr:col>
      <xdr:colOff>138112</xdr:colOff>
      <xdr:row>28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331005-6100-E147-61AD-82460EBF8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338137</xdr:colOff>
      <xdr:row>6</xdr:row>
      <xdr:rowOff>61911</xdr:rowOff>
    </xdr:from>
    <xdr:to>
      <xdr:col>21</xdr:col>
      <xdr:colOff>142875</xdr:colOff>
      <xdr:row>23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6D567B-5A95-9362-274A-EDCFA0BB1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161925</xdr:colOff>
      <xdr:row>20</xdr:row>
      <xdr:rowOff>95250</xdr:rowOff>
    </xdr:from>
    <xdr:to>
      <xdr:col>40</xdr:col>
      <xdr:colOff>576263</xdr:colOff>
      <xdr:row>37</xdr:row>
      <xdr:rowOff>80963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61A887-E6B3-4C27-936A-22BF4D467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609168</xdr:colOff>
      <xdr:row>3</xdr:row>
      <xdr:rowOff>125123</xdr:rowOff>
    </xdr:from>
    <xdr:to>
      <xdr:col>57</xdr:col>
      <xdr:colOff>104342</xdr:colOff>
      <xdr:row>18</xdr:row>
      <xdr:rowOff>10823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D6C4D-0559-4AB2-923A-3C94227E8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18618</xdr:colOff>
      <xdr:row>18</xdr:row>
      <xdr:rowOff>44161</xdr:rowOff>
    </xdr:from>
    <xdr:to>
      <xdr:col>57</xdr:col>
      <xdr:colOff>132917</xdr:colOff>
      <xdr:row>32</xdr:row>
      <xdr:rowOff>120361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C0C17-4234-421C-88E9-1E00E5550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329479</xdr:colOff>
      <xdr:row>33</xdr:row>
      <xdr:rowOff>63211</xdr:rowOff>
    </xdr:from>
    <xdr:to>
      <xdr:col>57</xdr:col>
      <xdr:colOff>443779</xdr:colOff>
      <xdr:row>47</xdr:row>
      <xdr:rowOff>139411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4B3DE7-B175-4ED1-90FB-65AB42A9E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310429</xdr:colOff>
      <xdr:row>48</xdr:row>
      <xdr:rowOff>82261</xdr:rowOff>
    </xdr:from>
    <xdr:to>
      <xdr:col>57</xdr:col>
      <xdr:colOff>415204</xdr:colOff>
      <xdr:row>62</xdr:row>
      <xdr:rowOff>158461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13383E-3E2B-41A1-A597-B0EBC390D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262804</xdr:colOff>
      <xdr:row>63</xdr:row>
      <xdr:rowOff>6061</xdr:rowOff>
    </xdr:from>
    <xdr:to>
      <xdr:col>57</xdr:col>
      <xdr:colOff>377104</xdr:colOff>
      <xdr:row>77</xdr:row>
      <xdr:rowOff>82261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9C675B-1C7E-4DCD-8CE6-DF99D564C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90488</xdr:colOff>
      <xdr:row>3</xdr:row>
      <xdr:rowOff>123824</xdr:rowOff>
    </xdr:from>
    <xdr:to>
      <xdr:col>65</xdr:col>
      <xdr:colOff>395288</xdr:colOff>
      <xdr:row>18</xdr:row>
      <xdr:rowOff>9524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80E7EE-7ACB-43F3-9C22-9416B4FE8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323851</xdr:colOff>
      <xdr:row>18</xdr:row>
      <xdr:rowOff>157162</xdr:rowOff>
    </xdr:from>
    <xdr:to>
      <xdr:col>66</xdr:col>
      <xdr:colOff>19051</xdr:colOff>
      <xdr:row>33</xdr:row>
      <xdr:rowOff>42862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BF308E-1B5A-453A-8CAD-4D1433354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58</xdr:col>
      <xdr:colOff>266701</xdr:colOff>
      <xdr:row>34</xdr:row>
      <xdr:rowOff>71437</xdr:rowOff>
    </xdr:from>
    <xdr:to>
      <xdr:col>65</xdr:col>
      <xdr:colOff>581026</xdr:colOff>
      <xdr:row>48</xdr:row>
      <xdr:rowOff>147637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2DEE92-3747-4A40-82C1-386C97860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285751</xdr:colOff>
      <xdr:row>49</xdr:row>
      <xdr:rowOff>71437</xdr:rowOff>
    </xdr:from>
    <xdr:to>
      <xdr:col>65</xdr:col>
      <xdr:colOff>600076</xdr:colOff>
      <xdr:row>63</xdr:row>
      <xdr:rowOff>147637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7943092-3F65-427B-96A0-5737A561D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59</xdr:col>
      <xdr:colOff>66676</xdr:colOff>
      <xdr:row>64</xdr:row>
      <xdr:rowOff>176212</xdr:rowOff>
    </xdr:from>
    <xdr:to>
      <xdr:col>66</xdr:col>
      <xdr:colOff>371476</xdr:colOff>
      <xdr:row>79</xdr:row>
      <xdr:rowOff>61912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13E19E8-8387-4D16-BC27-B854F5AF7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45</xdr:col>
      <xdr:colOff>284349</xdr:colOff>
      <xdr:row>3</xdr:row>
      <xdr:rowOff>96369</xdr:rowOff>
    </xdr:from>
    <xdr:to>
      <xdr:col>53</xdr:col>
      <xdr:colOff>15408</xdr:colOff>
      <xdr:row>17</xdr:row>
      <xdr:rowOff>172569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7D4FE55-B9A3-4D69-A97E-1F0868B79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45</xdr:col>
      <xdr:colOff>166688</xdr:colOff>
      <xdr:row>20</xdr:row>
      <xdr:rowOff>51545</xdr:rowOff>
    </xdr:from>
    <xdr:to>
      <xdr:col>52</xdr:col>
      <xdr:colOff>502865</xdr:colOff>
      <xdr:row>34</xdr:row>
      <xdr:rowOff>127745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57F3D33-8E92-4516-9B2A-729846788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31173</xdr:colOff>
      <xdr:row>2</xdr:row>
      <xdr:rowOff>29874</xdr:rowOff>
    </xdr:from>
    <xdr:to>
      <xdr:col>53</xdr:col>
      <xdr:colOff>145473</xdr:colOff>
      <xdr:row>16</xdr:row>
      <xdr:rowOff>106074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C712E-D745-5590-3286-C30A22A12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59748</xdr:colOff>
      <xdr:row>16</xdr:row>
      <xdr:rowOff>139412</xdr:rowOff>
    </xdr:from>
    <xdr:to>
      <xdr:col>53</xdr:col>
      <xdr:colOff>174048</xdr:colOff>
      <xdr:row>31</xdr:row>
      <xdr:rowOff>25112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3AA5DF-BF8E-4C2E-ACD2-A68A27DE0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370609</xdr:colOff>
      <xdr:row>31</xdr:row>
      <xdr:rowOff>158462</xdr:rowOff>
    </xdr:from>
    <xdr:to>
      <xdr:col>53</xdr:col>
      <xdr:colOff>484910</xdr:colOff>
      <xdr:row>46</xdr:row>
      <xdr:rowOff>44162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05F5F4-B753-475E-B888-25A622A52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351559</xdr:colOff>
      <xdr:row>46</xdr:row>
      <xdr:rowOff>177512</xdr:rowOff>
    </xdr:from>
    <xdr:to>
      <xdr:col>53</xdr:col>
      <xdr:colOff>465860</xdr:colOff>
      <xdr:row>61</xdr:row>
      <xdr:rowOff>63212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96861C-FE86-4C3A-AEBA-EE549C769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303934</xdr:colOff>
      <xdr:row>61</xdr:row>
      <xdr:rowOff>101312</xdr:rowOff>
    </xdr:from>
    <xdr:to>
      <xdr:col>53</xdr:col>
      <xdr:colOff>418235</xdr:colOff>
      <xdr:row>75</xdr:row>
      <xdr:rowOff>177512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95A7BD-F0E7-4E66-BE1B-944995385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54</xdr:col>
      <xdr:colOff>131618</xdr:colOff>
      <xdr:row>2</xdr:row>
      <xdr:rowOff>28575</xdr:rowOff>
    </xdr:from>
    <xdr:to>
      <xdr:col>61</xdr:col>
      <xdr:colOff>436419</xdr:colOff>
      <xdr:row>16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A45739-9E56-2E6B-89EB-58813D6F3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54</xdr:col>
      <xdr:colOff>364981</xdr:colOff>
      <xdr:row>17</xdr:row>
      <xdr:rowOff>61913</xdr:rowOff>
    </xdr:from>
    <xdr:to>
      <xdr:col>62</xdr:col>
      <xdr:colOff>60181</xdr:colOff>
      <xdr:row>31</xdr:row>
      <xdr:rowOff>138113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344064-9F45-47EB-B4E6-AB57ECAE4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54</xdr:col>
      <xdr:colOff>307831</xdr:colOff>
      <xdr:row>32</xdr:row>
      <xdr:rowOff>166688</xdr:rowOff>
    </xdr:from>
    <xdr:to>
      <xdr:col>62</xdr:col>
      <xdr:colOff>16020</xdr:colOff>
      <xdr:row>47</xdr:row>
      <xdr:rowOff>52388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3F3F47C-A681-4148-B0D6-5578C2A9D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54</xdr:col>
      <xdr:colOff>326881</xdr:colOff>
      <xdr:row>47</xdr:row>
      <xdr:rowOff>166688</xdr:rowOff>
    </xdr:from>
    <xdr:to>
      <xdr:col>62</xdr:col>
      <xdr:colOff>22081</xdr:colOff>
      <xdr:row>62</xdr:row>
      <xdr:rowOff>52388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FBD2CB7-BD43-4D3B-A475-4987C7ECB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55</xdr:col>
      <xdr:colOff>107806</xdr:colOff>
      <xdr:row>63</xdr:row>
      <xdr:rowOff>80963</xdr:rowOff>
    </xdr:from>
    <xdr:to>
      <xdr:col>62</xdr:col>
      <xdr:colOff>412606</xdr:colOff>
      <xdr:row>77</xdr:row>
      <xdr:rowOff>157163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8C98BDD-892C-48BB-B720-C67A97AE4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62</xdr:col>
      <xdr:colOff>580012</xdr:colOff>
      <xdr:row>0</xdr:row>
      <xdr:rowOff>69155</xdr:rowOff>
    </xdr:from>
    <xdr:to>
      <xdr:col>70</xdr:col>
      <xdr:colOff>303868</xdr:colOff>
      <xdr:row>14</xdr:row>
      <xdr:rowOff>145355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C91E76-77D2-F06C-FB3B-8A1FE6E70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63</xdr:col>
      <xdr:colOff>74147</xdr:colOff>
      <xdr:row>16</xdr:row>
      <xdr:rowOff>158802</xdr:rowOff>
    </xdr:from>
    <xdr:to>
      <xdr:col>70</xdr:col>
      <xdr:colOff>417529</xdr:colOff>
      <xdr:row>31</xdr:row>
      <xdr:rowOff>44502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124F805-8C00-8083-502B-C080D1418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169719</xdr:colOff>
      <xdr:row>4</xdr:row>
      <xdr:rowOff>116465</xdr:rowOff>
    </xdr:from>
    <xdr:to>
      <xdr:col>48</xdr:col>
      <xdr:colOff>284019</xdr:colOff>
      <xdr:row>19</xdr:row>
      <xdr:rowOff>2165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19A14-C611-480C-AE15-267715FE9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198294</xdr:colOff>
      <xdr:row>19</xdr:row>
      <xdr:rowOff>35503</xdr:rowOff>
    </xdr:from>
    <xdr:to>
      <xdr:col>48</xdr:col>
      <xdr:colOff>312594</xdr:colOff>
      <xdr:row>33</xdr:row>
      <xdr:rowOff>111703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F772C-F54E-4EB7-B9CC-618A8F57C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509155</xdr:colOff>
      <xdr:row>34</xdr:row>
      <xdr:rowOff>54553</xdr:rowOff>
    </xdr:from>
    <xdr:to>
      <xdr:col>49</xdr:col>
      <xdr:colOff>17319</xdr:colOff>
      <xdr:row>48</xdr:row>
      <xdr:rowOff>130753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AACA40-D509-4EA5-922C-6762541AF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490105</xdr:colOff>
      <xdr:row>49</xdr:row>
      <xdr:rowOff>125558</xdr:rowOff>
    </xdr:from>
    <xdr:to>
      <xdr:col>48</xdr:col>
      <xdr:colOff>604406</xdr:colOff>
      <xdr:row>64</xdr:row>
      <xdr:rowOff>11258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E4A75B-7C06-446A-A539-65EB3AAF4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442480</xdr:colOff>
      <xdr:row>64</xdr:row>
      <xdr:rowOff>49358</xdr:rowOff>
    </xdr:from>
    <xdr:to>
      <xdr:col>48</xdr:col>
      <xdr:colOff>556781</xdr:colOff>
      <xdr:row>78</xdr:row>
      <xdr:rowOff>125558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C25420-3F91-415A-BB03-7A233AEF6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270164</xdr:colOff>
      <xdr:row>4</xdr:row>
      <xdr:rowOff>115166</xdr:rowOff>
    </xdr:from>
    <xdr:to>
      <xdr:col>56</xdr:col>
      <xdr:colOff>574965</xdr:colOff>
      <xdr:row>19</xdr:row>
      <xdr:rowOff>866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F71679-94EB-47F9-85F1-0875110DB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503527</xdr:colOff>
      <xdr:row>19</xdr:row>
      <xdr:rowOff>148504</xdr:rowOff>
    </xdr:from>
    <xdr:to>
      <xdr:col>57</xdr:col>
      <xdr:colOff>198727</xdr:colOff>
      <xdr:row>34</xdr:row>
      <xdr:rowOff>34204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2BB9FE-7862-4954-8D1D-1DB5B9FB2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49</xdr:col>
      <xdr:colOff>446377</xdr:colOff>
      <xdr:row>35</xdr:row>
      <xdr:rowOff>114734</xdr:rowOff>
    </xdr:from>
    <xdr:to>
      <xdr:col>57</xdr:col>
      <xdr:colOff>154566</xdr:colOff>
      <xdr:row>50</xdr:row>
      <xdr:rowOff>434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502161-A8F1-4CE6-A90E-9AC237FCD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49</xdr:col>
      <xdr:colOff>465427</xdr:colOff>
      <xdr:row>50</xdr:row>
      <xdr:rowOff>114734</xdr:rowOff>
    </xdr:from>
    <xdr:to>
      <xdr:col>57</xdr:col>
      <xdr:colOff>160627</xdr:colOff>
      <xdr:row>65</xdr:row>
      <xdr:rowOff>434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D7EC86D-A1F2-4D23-953B-E869378EF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50</xdr:col>
      <xdr:colOff>246352</xdr:colOff>
      <xdr:row>66</xdr:row>
      <xdr:rowOff>29009</xdr:rowOff>
    </xdr:from>
    <xdr:to>
      <xdr:col>57</xdr:col>
      <xdr:colOff>551152</xdr:colOff>
      <xdr:row>80</xdr:row>
      <xdr:rowOff>105209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0ED791-08C6-4450-AEC1-2A8756F11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41</xdr:col>
      <xdr:colOff>532059</xdr:colOff>
      <xdr:row>3</xdr:row>
      <xdr:rowOff>155747</xdr:rowOff>
    </xdr:from>
    <xdr:to>
      <xdr:col>49</xdr:col>
      <xdr:colOff>263119</xdr:colOff>
      <xdr:row>18</xdr:row>
      <xdr:rowOff>41447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9FE799-7911-4279-8E17-A5794510B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46</xdr:col>
      <xdr:colOff>305542</xdr:colOff>
      <xdr:row>21</xdr:row>
      <xdr:rowOff>29280</xdr:rowOff>
    </xdr:from>
    <xdr:to>
      <xdr:col>54</xdr:col>
      <xdr:colOff>35584</xdr:colOff>
      <xdr:row>35</xdr:row>
      <xdr:rowOff>105480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C3523B0-A4D5-4A24-B361-107CD2356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396892</xdr:colOff>
      <xdr:row>2</xdr:row>
      <xdr:rowOff>7463</xdr:rowOff>
    </xdr:from>
    <xdr:to>
      <xdr:col>56</xdr:col>
      <xdr:colOff>511192</xdr:colOff>
      <xdr:row>16</xdr:row>
      <xdr:rowOff>83663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7A22E0-A1D8-457B-A7C9-FDE0BB66B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50</xdr:col>
      <xdr:colOff>425467</xdr:colOff>
      <xdr:row>16</xdr:row>
      <xdr:rowOff>117001</xdr:rowOff>
    </xdr:from>
    <xdr:to>
      <xdr:col>56</xdr:col>
      <xdr:colOff>539767</xdr:colOff>
      <xdr:row>31</xdr:row>
      <xdr:rowOff>2701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7B25F2-2F15-4AAC-B5FA-4358BB24B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130191</xdr:colOff>
      <xdr:row>31</xdr:row>
      <xdr:rowOff>136051</xdr:rowOff>
    </xdr:from>
    <xdr:to>
      <xdr:col>57</xdr:col>
      <xdr:colOff>244492</xdr:colOff>
      <xdr:row>46</xdr:row>
      <xdr:rowOff>21751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6E9277-545E-4FF7-A9A1-D53A565E1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111141</xdr:colOff>
      <xdr:row>46</xdr:row>
      <xdr:rowOff>155101</xdr:rowOff>
    </xdr:from>
    <xdr:to>
      <xdr:col>57</xdr:col>
      <xdr:colOff>225442</xdr:colOff>
      <xdr:row>61</xdr:row>
      <xdr:rowOff>40801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514267-73E1-41F1-A3E6-81D3A0C46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63516</xdr:colOff>
      <xdr:row>61</xdr:row>
      <xdr:rowOff>78901</xdr:rowOff>
    </xdr:from>
    <xdr:to>
      <xdr:col>57</xdr:col>
      <xdr:colOff>177817</xdr:colOff>
      <xdr:row>75</xdr:row>
      <xdr:rowOff>155101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6770FF-7F47-4114-AA59-BDA09EEA4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374073</xdr:colOff>
      <xdr:row>2</xdr:row>
      <xdr:rowOff>28575</xdr:rowOff>
    </xdr:from>
    <xdr:to>
      <xdr:col>50</xdr:col>
      <xdr:colOff>72737</xdr:colOff>
      <xdr:row>16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5F012C-AF5F-4DCD-9734-BD289DDC7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1299</xdr:colOff>
      <xdr:row>17</xdr:row>
      <xdr:rowOff>61913</xdr:rowOff>
    </xdr:from>
    <xdr:to>
      <xdr:col>50</xdr:col>
      <xdr:colOff>302636</xdr:colOff>
      <xdr:row>31</xdr:row>
      <xdr:rowOff>138113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06A873-EFFB-456D-A4B8-53B21DA68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550286</xdr:colOff>
      <xdr:row>32</xdr:row>
      <xdr:rowOff>166688</xdr:rowOff>
    </xdr:from>
    <xdr:to>
      <xdr:col>50</xdr:col>
      <xdr:colOff>258475</xdr:colOff>
      <xdr:row>47</xdr:row>
      <xdr:rowOff>52388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41BC3B-9ABB-4DB2-86D4-7F2551B2F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42</xdr:col>
      <xdr:colOff>569336</xdr:colOff>
      <xdr:row>47</xdr:row>
      <xdr:rowOff>166688</xdr:rowOff>
    </xdr:from>
    <xdr:to>
      <xdr:col>50</xdr:col>
      <xdr:colOff>264536</xdr:colOff>
      <xdr:row>62</xdr:row>
      <xdr:rowOff>52388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701791-1347-4E85-A44D-5E696BE62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350260</xdr:colOff>
      <xdr:row>63</xdr:row>
      <xdr:rowOff>80963</xdr:rowOff>
    </xdr:from>
    <xdr:to>
      <xdr:col>51</xdr:col>
      <xdr:colOff>48924</xdr:colOff>
      <xdr:row>77</xdr:row>
      <xdr:rowOff>157163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1C31260-C9C1-49E4-B14B-E7EB7CA42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354003</xdr:colOff>
      <xdr:row>16</xdr:row>
      <xdr:rowOff>12327</xdr:rowOff>
    </xdr:from>
    <xdr:to>
      <xdr:col>54</xdr:col>
      <xdr:colOff>86081</xdr:colOff>
      <xdr:row>30</xdr:row>
      <xdr:rowOff>88527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44678EC-D7E6-4251-85BA-58A8920AB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315803</xdr:colOff>
      <xdr:row>18</xdr:row>
      <xdr:rowOff>90767</xdr:rowOff>
    </xdr:from>
    <xdr:to>
      <xdr:col>50</xdr:col>
      <xdr:colOff>45843</xdr:colOff>
      <xdr:row>32</xdr:row>
      <xdr:rowOff>166967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0ECB53A-586A-4A43-A159-7E4B9EE23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EA74-EFC4-439D-9138-2511588482A2}">
  <dimension ref="A1:AV248"/>
  <sheetViews>
    <sheetView tabSelected="1" topLeftCell="AN13" zoomScale="130" zoomScaleNormal="130" workbookViewId="0">
      <selection activeCell="AW51" sqref="AW51"/>
    </sheetView>
  </sheetViews>
  <sheetFormatPr defaultRowHeight="15" x14ac:dyDescent="0.25"/>
  <sheetData>
    <row r="1" spans="1:48" x14ac:dyDescent="0.25">
      <c r="A1" s="7" t="s">
        <v>136</v>
      </c>
      <c r="B1" s="7"/>
      <c r="C1" s="7" t="s">
        <v>137</v>
      </c>
      <c r="D1" s="7"/>
      <c r="E1" s="7" t="s">
        <v>138</v>
      </c>
      <c r="F1" s="7"/>
      <c r="G1" s="7" t="s">
        <v>139</v>
      </c>
      <c r="H1" s="7"/>
      <c r="I1" s="7" t="s">
        <v>140</v>
      </c>
      <c r="J1" s="7"/>
      <c r="K1" s="7" t="s">
        <v>141</v>
      </c>
      <c r="L1" s="7"/>
      <c r="M1" s="7" t="s">
        <v>142</v>
      </c>
      <c r="N1" s="7"/>
      <c r="O1" s="7" t="s">
        <v>143</v>
      </c>
      <c r="P1" s="7"/>
      <c r="Q1" s="7" t="s">
        <v>144</v>
      </c>
      <c r="R1" s="7"/>
      <c r="S1" s="7" t="s">
        <v>145</v>
      </c>
      <c r="T1" s="7"/>
      <c r="U1" s="7" t="s">
        <v>146</v>
      </c>
      <c r="V1" s="7"/>
      <c r="W1" s="7" t="s">
        <v>147</v>
      </c>
      <c r="X1" s="7"/>
      <c r="Y1" s="7" t="s">
        <v>148</v>
      </c>
      <c r="Z1" s="7"/>
      <c r="AA1" s="7" t="s">
        <v>149</v>
      </c>
      <c r="AB1" s="7"/>
      <c r="AC1" s="7" t="s">
        <v>150</v>
      </c>
      <c r="AD1" s="7"/>
      <c r="AE1" s="7" t="s">
        <v>151</v>
      </c>
      <c r="AF1" s="7"/>
      <c r="AG1" s="7" t="s">
        <v>152</v>
      </c>
      <c r="AH1" s="7"/>
      <c r="AI1" s="7" t="s">
        <v>153</v>
      </c>
      <c r="AJ1" s="7"/>
      <c r="AK1" s="7" t="s">
        <v>154</v>
      </c>
      <c r="AL1" s="7"/>
      <c r="AM1" s="7" t="s">
        <v>155</v>
      </c>
      <c r="AN1" s="7"/>
      <c r="AO1" s="7" t="s">
        <v>156</v>
      </c>
      <c r="AP1" s="7"/>
      <c r="AQ1" s="7" t="s">
        <v>157</v>
      </c>
      <c r="AR1" s="7"/>
      <c r="AS1" s="7" t="s">
        <v>158</v>
      </c>
      <c r="AT1" s="7"/>
      <c r="AU1" s="7" t="s">
        <v>133</v>
      </c>
      <c r="AV1" s="7"/>
    </row>
    <row r="2" spans="1:48" x14ac:dyDescent="0.25">
      <c r="A2" t="s">
        <v>134</v>
      </c>
      <c r="B2" t="s">
        <v>15</v>
      </c>
      <c r="C2" t="s">
        <v>134</v>
      </c>
      <c r="D2" t="s">
        <v>15</v>
      </c>
      <c r="E2" t="s">
        <v>134</v>
      </c>
      <c r="F2" t="s">
        <v>15</v>
      </c>
      <c r="G2" t="s">
        <v>134</v>
      </c>
      <c r="H2" t="s">
        <v>15</v>
      </c>
      <c r="I2" t="s">
        <v>134</v>
      </c>
      <c r="J2" t="s">
        <v>15</v>
      </c>
      <c r="K2" t="s">
        <v>134</v>
      </c>
      <c r="L2" t="s">
        <v>15</v>
      </c>
      <c r="M2" t="s">
        <v>134</v>
      </c>
      <c r="N2" t="s">
        <v>15</v>
      </c>
      <c r="O2" t="s">
        <v>134</v>
      </c>
      <c r="P2" t="s">
        <v>15</v>
      </c>
      <c r="Q2" t="s">
        <v>134</v>
      </c>
      <c r="R2" t="s">
        <v>15</v>
      </c>
      <c r="S2" t="s">
        <v>134</v>
      </c>
      <c r="T2" t="s">
        <v>15</v>
      </c>
      <c r="U2" t="s">
        <v>134</v>
      </c>
      <c r="V2" t="s">
        <v>15</v>
      </c>
      <c r="W2" t="s">
        <v>134</v>
      </c>
      <c r="X2" t="s">
        <v>15</v>
      </c>
      <c r="Y2" t="s">
        <v>134</v>
      </c>
      <c r="Z2" t="s">
        <v>15</v>
      </c>
      <c r="AA2" t="s">
        <v>134</v>
      </c>
      <c r="AB2" t="s">
        <v>15</v>
      </c>
      <c r="AC2" t="s">
        <v>134</v>
      </c>
      <c r="AD2" t="s">
        <v>15</v>
      </c>
      <c r="AE2" t="s">
        <v>134</v>
      </c>
      <c r="AF2" t="s">
        <v>15</v>
      </c>
      <c r="AG2" t="s">
        <v>134</v>
      </c>
      <c r="AH2" t="s">
        <v>15</v>
      </c>
      <c r="AI2" t="s">
        <v>134</v>
      </c>
      <c r="AJ2" t="s">
        <v>15</v>
      </c>
      <c r="AK2" t="s">
        <v>134</v>
      </c>
      <c r="AL2" t="s">
        <v>15</v>
      </c>
      <c r="AM2" t="s">
        <v>134</v>
      </c>
      <c r="AN2" t="s">
        <v>15</v>
      </c>
      <c r="AO2" t="s">
        <v>135</v>
      </c>
      <c r="AP2" s="4" t="s">
        <v>15</v>
      </c>
      <c r="AQ2" t="s">
        <v>135</v>
      </c>
      <c r="AR2" s="4" t="s">
        <v>15</v>
      </c>
      <c r="AS2" t="s">
        <v>135</v>
      </c>
      <c r="AT2" s="4" t="s">
        <v>15</v>
      </c>
      <c r="AU2" t="s">
        <v>135</v>
      </c>
      <c r="AV2" s="4" t="s">
        <v>15</v>
      </c>
    </row>
    <row r="3" spans="1:48" x14ac:dyDescent="0.25">
      <c r="A3" s="5">
        <f>Aware1!$K2/100</f>
        <v>0</v>
      </c>
      <c r="B3">
        <f>Aware1!$G3/100</f>
        <v>1</v>
      </c>
      <c r="C3" s="5">
        <f>Aware2!$K2/100</f>
        <v>0</v>
      </c>
      <c r="D3">
        <f>Aware2!$G3/100</f>
        <v>1</v>
      </c>
      <c r="E3" s="5">
        <f>Aware3!$K2/100</f>
        <v>0</v>
      </c>
      <c r="F3">
        <f>Aware3!$G3/100</f>
        <v>1</v>
      </c>
      <c r="G3" s="5">
        <f>Aware4!$K2/100</f>
        <v>0</v>
      </c>
      <c r="H3">
        <f>Aware4!$G3/100</f>
        <v>1</v>
      </c>
      <c r="I3" s="5">
        <f>Aware5!$K2/100</f>
        <v>0</v>
      </c>
      <c r="J3">
        <f>Aware5!$G3/100</f>
        <v>1</v>
      </c>
      <c r="K3" s="5">
        <f>Learn1!$K2/100</f>
        <v>0</v>
      </c>
      <c r="L3">
        <f>Learn1!$G3/100</f>
        <v>1</v>
      </c>
      <c r="M3" s="5">
        <f>Learn2!$K2/100</f>
        <v>0</v>
      </c>
      <c r="N3">
        <f>Learn2!$G3/100</f>
        <v>1</v>
      </c>
      <c r="O3" s="5">
        <f>Learn3!$K2/100</f>
        <v>0</v>
      </c>
      <c r="P3">
        <f>Learn3!$G3/100</f>
        <v>0.98</v>
      </c>
      <c r="Q3" s="5">
        <f>Learn4!$K2/100</f>
        <v>0</v>
      </c>
      <c r="R3">
        <f>Learn4!$G3/100</f>
        <v>0.98</v>
      </c>
      <c r="S3" s="5">
        <f>Learn5!$K2/100</f>
        <v>0</v>
      </c>
      <c r="T3">
        <f>Learn5!$G3/100</f>
        <v>0.98</v>
      </c>
      <c r="U3" s="5">
        <f>Rich1!$K2/100</f>
        <v>0</v>
      </c>
      <c r="V3">
        <f>Rich1!$G3/100</f>
        <v>0.99</v>
      </c>
      <c r="W3" s="5">
        <f>Rich2!$K2/100</f>
        <v>0</v>
      </c>
      <c r="X3">
        <f>Rich2!$G3/100</f>
        <v>0.98</v>
      </c>
      <c r="Y3" s="5">
        <f>Rich3!$K2/100</f>
        <v>0</v>
      </c>
      <c r="Z3">
        <f>Rich3!$G3/100</f>
        <v>0.95</v>
      </c>
      <c r="AA3" s="5">
        <f>Rich4!$K2/100</f>
        <v>0</v>
      </c>
      <c r="AB3">
        <f>Rich4!$G3/100</f>
        <v>0.98</v>
      </c>
      <c r="AC3" s="5">
        <f>Rich5!$K2/100</f>
        <v>0</v>
      </c>
      <c r="AD3">
        <f>Rich5!$G3/100</f>
        <v>0.98</v>
      </c>
      <c r="AE3" s="5">
        <f>Baserun1!$K2/100</f>
        <v>0</v>
      </c>
      <c r="AF3">
        <f>Baserun1!$G3/100</f>
        <v>1</v>
      </c>
      <c r="AG3" s="5">
        <f>Baserun2!$K2/100</f>
        <v>0</v>
      </c>
      <c r="AH3">
        <f>Baserun2!$G3/100</f>
        <v>1</v>
      </c>
      <c r="AI3" s="5">
        <f>Baserun3!$K2/100</f>
        <v>0</v>
      </c>
      <c r="AJ3">
        <f>Baserun3!$G3/100</f>
        <v>1</v>
      </c>
      <c r="AK3" s="5">
        <f>Baserun4!$K2/100</f>
        <v>0</v>
      </c>
      <c r="AL3">
        <f>Baserun4!$G3/100</f>
        <v>1</v>
      </c>
      <c r="AM3" s="5">
        <f>Baserun5!$K2/100</f>
        <v>0</v>
      </c>
      <c r="AN3">
        <f>Baserun5!$G3/100</f>
        <v>0.99</v>
      </c>
      <c r="AO3" s="6">
        <f>A3</f>
        <v>0</v>
      </c>
      <c r="AP3">
        <f>B3</f>
        <v>1</v>
      </c>
      <c r="AQ3" s="6">
        <f>K3</f>
        <v>0</v>
      </c>
      <c r="AR3">
        <f>L3</f>
        <v>1</v>
      </c>
      <c r="AS3" s="6">
        <f>U3</f>
        <v>0</v>
      </c>
      <c r="AT3">
        <f>V3</f>
        <v>0.99</v>
      </c>
      <c r="AU3" s="6">
        <f>AE3</f>
        <v>0</v>
      </c>
      <c r="AV3">
        <f>AF3</f>
        <v>1</v>
      </c>
    </row>
    <row r="4" spans="1:48" x14ac:dyDescent="0.25">
      <c r="A4" s="5">
        <f>Aware1!$K3/100</f>
        <v>0</v>
      </c>
      <c r="B4">
        <f>Aware1!$G4/100</f>
        <v>1</v>
      </c>
      <c r="C4" s="5">
        <f>Aware2!$K3/100</f>
        <v>0</v>
      </c>
      <c r="D4">
        <f>Aware2!$G4/100</f>
        <v>1</v>
      </c>
      <c r="E4" s="5">
        <f>Aware3!$K3/100</f>
        <v>0</v>
      </c>
      <c r="F4">
        <f>Aware3!$G4/100</f>
        <v>1</v>
      </c>
      <c r="G4" s="5">
        <f>Aware4!$K3/100</f>
        <v>0</v>
      </c>
      <c r="H4">
        <f>Aware4!$G4/100</f>
        <v>1</v>
      </c>
      <c r="I4" s="5">
        <f>Aware5!$K3/100</f>
        <v>0</v>
      </c>
      <c r="J4">
        <f>Aware5!$G4/100</f>
        <v>1</v>
      </c>
      <c r="K4" s="5">
        <f>Learn1!$K3/100</f>
        <v>0</v>
      </c>
      <c r="L4">
        <f>Learn1!$G4/100</f>
        <v>0.99</v>
      </c>
      <c r="M4" s="5">
        <f>Learn2!$K3/100</f>
        <v>0</v>
      </c>
      <c r="N4">
        <f>Learn2!$G4/100</f>
        <v>1</v>
      </c>
      <c r="O4" s="5">
        <f>Learn3!$K3/100</f>
        <v>0</v>
      </c>
      <c r="P4">
        <f>Learn3!$G4/100</f>
        <v>0.98</v>
      </c>
      <c r="Q4" s="5">
        <f>Learn4!$K3/100</f>
        <v>0</v>
      </c>
      <c r="R4">
        <f>Learn4!$G4/100</f>
        <v>0.98</v>
      </c>
      <c r="S4" s="5">
        <f>Learn5!$K3/100</f>
        <v>0</v>
      </c>
      <c r="T4">
        <f>Learn5!$G4/100</f>
        <v>0.98</v>
      </c>
      <c r="U4" s="5">
        <f>Rich1!$K3/100</f>
        <v>0</v>
      </c>
      <c r="V4">
        <f>Rich1!$G4/100</f>
        <v>0.99</v>
      </c>
      <c r="W4" s="5">
        <f>Rich2!$K3/100</f>
        <v>0</v>
      </c>
      <c r="X4">
        <f>Rich2!$G4/100</f>
        <v>0.97</v>
      </c>
      <c r="Y4" s="5">
        <f>Rich3!$K3/100</f>
        <v>0</v>
      </c>
      <c r="Z4">
        <f>Rich3!$G4/100</f>
        <v>0.95</v>
      </c>
      <c r="AA4" s="5">
        <f>Rich4!$K3/100</f>
        <v>0</v>
      </c>
      <c r="AB4">
        <f>Rich4!$G4/100</f>
        <v>0.95</v>
      </c>
      <c r="AC4" s="5">
        <f>Rich5!$K3/100</f>
        <v>0</v>
      </c>
      <c r="AD4">
        <f>Rich5!$G4/100</f>
        <v>0.98</v>
      </c>
      <c r="AE4" s="5">
        <f>Baserun1!$K3/100</f>
        <v>0</v>
      </c>
      <c r="AF4">
        <f>Baserun1!$G4/100</f>
        <v>1</v>
      </c>
      <c r="AG4" s="5">
        <f>Baserun2!$K3/100</f>
        <v>0</v>
      </c>
      <c r="AH4">
        <f>Baserun2!$G4/100</f>
        <v>1</v>
      </c>
      <c r="AI4" s="5">
        <f>Baserun3!$K3/100</f>
        <v>0</v>
      </c>
      <c r="AJ4">
        <f>Baserun3!$G4/100</f>
        <v>1</v>
      </c>
      <c r="AK4" s="5">
        <f>Baserun4!$K3/100</f>
        <v>0</v>
      </c>
      <c r="AL4">
        <f>Baserun4!$G4/100</f>
        <v>1</v>
      </c>
      <c r="AM4" s="5">
        <f>Baserun5!$K3/100</f>
        <v>0</v>
      </c>
      <c r="AN4">
        <f>Baserun5!$G4/100</f>
        <v>0.99</v>
      </c>
      <c r="AO4" s="6">
        <f t="shared" ref="AO4:AO51" si="0">A4</f>
        <v>0</v>
      </c>
      <c r="AP4">
        <f t="shared" ref="AP4:AP51" si="1">B4</f>
        <v>1</v>
      </c>
      <c r="AQ4" s="6">
        <f t="shared" ref="AQ4:AQ46" si="2">K4</f>
        <v>0</v>
      </c>
      <c r="AR4">
        <f t="shared" ref="AR4:AR46" si="3">L4</f>
        <v>0.99</v>
      </c>
      <c r="AS4" s="6">
        <f t="shared" ref="AS4:AS24" si="4">U4</f>
        <v>0</v>
      </c>
      <c r="AT4">
        <f t="shared" ref="AT4:AT24" si="5">V4</f>
        <v>0.99</v>
      </c>
      <c r="AU4" s="6">
        <f t="shared" ref="AU4:AU24" si="6">AE4</f>
        <v>0</v>
      </c>
      <c r="AV4">
        <f t="shared" ref="AV4:AV24" si="7">AF4</f>
        <v>1</v>
      </c>
    </row>
    <row r="5" spans="1:48" x14ac:dyDescent="0.25">
      <c r="A5" s="5">
        <f>Aware1!$K4/100</f>
        <v>0</v>
      </c>
      <c r="B5">
        <f>Aware1!$G5/100</f>
        <v>1</v>
      </c>
      <c r="C5" s="5">
        <f>Aware2!$K4/100</f>
        <v>0</v>
      </c>
      <c r="D5">
        <f>Aware2!$G5/100</f>
        <v>0.99</v>
      </c>
      <c r="E5" s="5">
        <f>Aware3!$K4/100</f>
        <v>0</v>
      </c>
      <c r="F5">
        <f>Aware3!$G5/100</f>
        <v>0.99</v>
      </c>
      <c r="G5" s="5">
        <f>Aware4!$K4/100</f>
        <v>0</v>
      </c>
      <c r="H5">
        <f>Aware4!$G5/100</f>
        <v>0.99</v>
      </c>
      <c r="I5" s="5">
        <f>Aware5!$K4/100</f>
        <v>0</v>
      </c>
      <c r="J5">
        <f>Aware5!$G5/100</f>
        <v>1</v>
      </c>
      <c r="K5" s="5">
        <f>Learn1!$K4/100</f>
        <v>0</v>
      </c>
      <c r="L5">
        <f>Learn1!$G5/100</f>
        <v>1</v>
      </c>
      <c r="M5" s="5">
        <f>Learn2!$K4/100</f>
        <v>0</v>
      </c>
      <c r="N5">
        <f>Learn2!$G5/100</f>
        <v>1</v>
      </c>
      <c r="O5" s="5">
        <f>Learn3!$K4/100</f>
        <v>0</v>
      </c>
      <c r="P5">
        <f>Learn3!$G5/100</f>
        <v>0.98</v>
      </c>
      <c r="Q5" s="5">
        <f>Learn4!$K4/100</f>
        <v>0</v>
      </c>
      <c r="R5">
        <f>Learn4!$G5/100</f>
        <v>0.97</v>
      </c>
      <c r="S5" s="5">
        <f>Learn5!$K4/100</f>
        <v>0</v>
      </c>
      <c r="T5">
        <f>Learn5!$G5/100</f>
        <v>0.98</v>
      </c>
      <c r="U5" s="5">
        <f>Rich1!$K4/100</f>
        <v>0</v>
      </c>
      <c r="V5">
        <f>Rich1!$G5/100</f>
        <v>0.97</v>
      </c>
      <c r="W5" s="5">
        <f>Rich2!$K4/100</f>
        <v>0</v>
      </c>
      <c r="X5">
        <f>Rich2!$G5/100</f>
        <v>0.97</v>
      </c>
      <c r="Y5" s="5">
        <f>Rich3!$K4/100</f>
        <v>0</v>
      </c>
      <c r="Z5">
        <f>Rich3!$G5/100</f>
        <v>0.95</v>
      </c>
      <c r="AA5" s="5">
        <f>Rich4!$K4/100</f>
        <v>0</v>
      </c>
      <c r="AB5">
        <f>Rich4!$G5/100</f>
        <v>0.98</v>
      </c>
      <c r="AC5" s="5">
        <f>Rich5!$K4/100</f>
        <v>0</v>
      </c>
      <c r="AD5">
        <f>Rich5!$G5/100</f>
        <v>0.96</v>
      </c>
      <c r="AE5" s="5">
        <f>Baserun1!$K4/100</f>
        <v>0</v>
      </c>
      <c r="AF5">
        <f>Baserun1!$G5/100</f>
        <v>1</v>
      </c>
      <c r="AG5" s="5">
        <f>Baserun2!$K4/100</f>
        <v>0</v>
      </c>
      <c r="AH5">
        <f>Baserun2!$G5/100</f>
        <v>0.99</v>
      </c>
      <c r="AI5" s="5">
        <f>Baserun3!$K4/100</f>
        <v>0</v>
      </c>
      <c r="AJ5">
        <f>Baserun3!$G5/100</f>
        <v>0.99</v>
      </c>
      <c r="AK5" s="5">
        <f>Baserun4!$K4/100</f>
        <v>0</v>
      </c>
      <c r="AL5">
        <f>Baserun4!$G5/100</f>
        <v>0.99</v>
      </c>
      <c r="AM5" s="5">
        <f>Baserun5!$K4/100</f>
        <v>0</v>
      </c>
      <c r="AN5">
        <f>Baserun5!$G5/100</f>
        <v>0.99</v>
      </c>
      <c r="AO5" s="6">
        <f t="shared" si="0"/>
        <v>0</v>
      </c>
      <c r="AP5">
        <f t="shared" si="1"/>
        <v>1</v>
      </c>
      <c r="AQ5" s="6">
        <f t="shared" si="2"/>
        <v>0</v>
      </c>
      <c r="AR5">
        <f t="shared" si="3"/>
        <v>1</v>
      </c>
      <c r="AS5" s="6">
        <f t="shared" si="4"/>
        <v>0</v>
      </c>
      <c r="AT5">
        <f t="shared" si="5"/>
        <v>0.97</v>
      </c>
      <c r="AU5" s="6">
        <f t="shared" si="6"/>
        <v>0</v>
      </c>
      <c r="AV5">
        <f t="shared" si="7"/>
        <v>1</v>
      </c>
    </row>
    <row r="6" spans="1:48" x14ac:dyDescent="0.25">
      <c r="A6" s="5">
        <f>Aware1!$K5/100</f>
        <v>0.02</v>
      </c>
      <c r="B6">
        <f>Aware1!$G6/100</f>
        <v>0.34</v>
      </c>
      <c r="C6" s="5">
        <f>Aware2!$K5/100</f>
        <v>0.02</v>
      </c>
      <c r="D6">
        <f>Aware2!$G6/100</f>
        <v>0.27</v>
      </c>
      <c r="E6" s="5">
        <f>Aware3!$K5/100</f>
        <v>0.02</v>
      </c>
      <c r="F6">
        <f>Aware3!$G6/100</f>
        <v>0.28000000000000003</v>
      </c>
      <c r="G6" s="5">
        <f>Aware4!$K5/100</f>
        <v>0.02</v>
      </c>
      <c r="H6">
        <f>Aware4!$G6/100</f>
        <v>0.32</v>
      </c>
      <c r="I6" s="5">
        <f>Aware5!$K5/100</f>
        <v>0.02</v>
      </c>
      <c r="J6">
        <f>Aware5!$G6/100</f>
        <v>0.34</v>
      </c>
      <c r="K6" s="5">
        <f>Learn1!$K5/100</f>
        <v>0.02</v>
      </c>
      <c r="L6">
        <f>Learn1!$G6/100</f>
        <v>0.19</v>
      </c>
      <c r="M6" s="5">
        <f>Learn2!$K5/100</f>
        <v>0.02</v>
      </c>
      <c r="N6">
        <f>Learn2!$G6/100</f>
        <v>0.11</v>
      </c>
      <c r="O6" s="5">
        <f>Learn3!$K5/100</f>
        <v>0.02</v>
      </c>
      <c r="P6">
        <f>Learn3!$G6/100</f>
        <v>0.05</v>
      </c>
      <c r="Q6" s="5">
        <f>Learn4!$K5/100</f>
        <v>0.02</v>
      </c>
      <c r="R6">
        <f>Learn4!$G6/100</f>
        <v>0.14000000000000001</v>
      </c>
      <c r="S6" s="5">
        <f>Learn5!$K5/100</f>
        <v>0.02</v>
      </c>
      <c r="T6">
        <f>Learn5!$G6/100</f>
        <v>0.2</v>
      </c>
      <c r="U6" s="5">
        <f>Rich1!$K5/100</f>
        <v>0.02</v>
      </c>
      <c r="V6">
        <f>Rich1!$G6/100</f>
        <v>0.5</v>
      </c>
      <c r="W6" s="5">
        <f>Rich2!$K5/100</f>
        <v>0.02</v>
      </c>
      <c r="X6">
        <f>Rich2!$G6/100</f>
        <v>0.54</v>
      </c>
      <c r="Y6" s="5">
        <f>Rich3!$K5/100</f>
        <v>0.02</v>
      </c>
      <c r="Z6">
        <f>Rich3!$G6/100</f>
        <v>0.54</v>
      </c>
      <c r="AA6" s="5">
        <f>Rich4!$K5/100</f>
        <v>0.02</v>
      </c>
      <c r="AB6">
        <f>Rich4!$G6/100</f>
        <v>0.48</v>
      </c>
      <c r="AC6" s="5">
        <f>Rich5!$K5/100</f>
        <v>0.02</v>
      </c>
      <c r="AD6">
        <f>Rich5!$G6/100</f>
        <v>0.41</v>
      </c>
      <c r="AE6" s="5">
        <f>Baserun1!$K5/100</f>
        <v>0.02</v>
      </c>
      <c r="AF6">
        <f>Baserun1!$G6/100</f>
        <v>0.39</v>
      </c>
      <c r="AG6" s="5">
        <f>Baserun2!$K5/100</f>
        <v>0.02</v>
      </c>
      <c r="AH6">
        <f>Baserun2!$G6/100</f>
        <v>0.37</v>
      </c>
      <c r="AI6" s="5">
        <f>Baserun3!$K5/100</f>
        <v>0.02</v>
      </c>
      <c r="AJ6">
        <f>Baserun3!$G6/100</f>
        <v>0.38</v>
      </c>
      <c r="AK6" s="5">
        <f>Baserun4!$K5/100</f>
        <v>0.02</v>
      </c>
      <c r="AL6">
        <f>Baserun4!$G6/100</f>
        <v>0.37</v>
      </c>
      <c r="AM6" s="5">
        <f>Baserun5!$K5/100</f>
        <v>0.02</v>
      </c>
      <c r="AN6">
        <f>Baserun5!$G6/100</f>
        <v>0.3</v>
      </c>
      <c r="AO6" s="6">
        <f t="shared" si="0"/>
        <v>0.02</v>
      </c>
      <c r="AP6">
        <f t="shared" si="1"/>
        <v>0.34</v>
      </c>
      <c r="AQ6" s="6">
        <f t="shared" si="2"/>
        <v>0.02</v>
      </c>
      <c r="AR6">
        <f t="shared" si="3"/>
        <v>0.19</v>
      </c>
      <c r="AS6" s="6">
        <f t="shared" si="4"/>
        <v>0.02</v>
      </c>
      <c r="AT6">
        <f t="shared" si="5"/>
        <v>0.5</v>
      </c>
      <c r="AU6" s="6">
        <f t="shared" si="6"/>
        <v>0.02</v>
      </c>
      <c r="AV6">
        <f t="shared" si="7"/>
        <v>0.39</v>
      </c>
    </row>
    <row r="7" spans="1:48" x14ac:dyDescent="0.25">
      <c r="A7" s="5">
        <f>Aware1!$K6/100</f>
        <v>0.03</v>
      </c>
      <c r="B7">
        <f>Aware1!$G7/100</f>
        <v>0.33</v>
      </c>
      <c r="C7" s="5">
        <f>Aware2!$K6/100</f>
        <v>0</v>
      </c>
      <c r="D7">
        <f>Aware2!$G7/100</f>
        <v>0.98</v>
      </c>
      <c r="E7" s="5">
        <f>Aware3!$K6/100</f>
        <v>0</v>
      </c>
      <c r="F7">
        <f>Aware3!$G7/100</f>
        <v>0.98</v>
      </c>
      <c r="G7" s="5">
        <f>Aware4!$K6/100</f>
        <v>0.02</v>
      </c>
      <c r="H7">
        <f>Aware4!$G7/100</f>
        <v>0.28000000000000003</v>
      </c>
      <c r="I7" s="5">
        <f>Aware5!$K6/100</f>
        <v>0.02</v>
      </c>
      <c r="J7">
        <f>Aware5!$G7/100</f>
        <v>0.34</v>
      </c>
      <c r="K7" s="5">
        <f>Learn1!$K6/100</f>
        <v>0</v>
      </c>
      <c r="L7">
        <f>Learn1!$G7/100</f>
        <v>0.98</v>
      </c>
      <c r="M7" s="5">
        <f>Learn2!$K6/100</f>
        <v>0</v>
      </c>
      <c r="N7">
        <f>Learn2!$G7/100</f>
        <v>0.98</v>
      </c>
      <c r="O7" s="5">
        <f>Learn3!$K6/100</f>
        <v>0.01</v>
      </c>
      <c r="P7">
        <f>Learn3!$G7/100</f>
        <v>0.17</v>
      </c>
      <c r="Q7" s="5">
        <f>Learn4!$K6/100</f>
        <v>0.02</v>
      </c>
      <c r="R7">
        <f>Learn4!$G7/100</f>
        <v>0.14000000000000001</v>
      </c>
      <c r="S7" s="5">
        <f>Learn5!$K6/100</f>
        <v>0.01</v>
      </c>
      <c r="T7">
        <f>Learn5!$G7/100</f>
        <v>0.26</v>
      </c>
      <c r="U7" s="5">
        <f>Rich1!$K6/100</f>
        <v>0.03</v>
      </c>
      <c r="V7">
        <f>Rich1!$G7/100</f>
        <v>0.45</v>
      </c>
      <c r="W7" s="5">
        <f>Rich2!$K6/100</f>
        <v>0.01</v>
      </c>
      <c r="X7">
        <f>Rich2!$G7/100</f>
        <v>0.79</v>
      </c>
      <c r="Y7" s="5">
        <f>Rich3!$K6/100</f>
        <v>0.02</v>
      </c>
      <c r="Z7">
        <f>Rich3!$G7/100</f>
        <v>0.49</v>
      </c>
      <c r="AA7" s="5">
        <f>Rich4!$K6/100</f>
        <v>0.03</v>
      </c>
      <c r="AB7">
        <f>Rich4!$G7/100</f>
        <v>0.42</v>
      </c>
      <c r="AC7" s="5">
        <f>Rich5!$K6/100</f>
        <v>0.05</v>
      </c>
      <c r="AD7">
        <f>Rich5!$G7/100</f>
        <v>0.41</v>
      </c>
      <c r="AE7" s="5">
        <f>Baserun1!$K6/100</f>
        <v>0</v>
      </c>
      <c r="AF7">
        <f>Baserun1!$G7/100</f>
        <v>0.97</v>
      </c>
      <c r="AG7" s="5">
        <f>Baserun2!$K6/100</f>
        <v>0.04</v>
      </c>
      <c r="AH7">
        <f>Baserun2!$G7/100</f>
        <v>0.36</v>
      </c>
      <c r="AI7" s="5">
        <f>Baserun3!$K6/100</f>
        <v>0.01</v>
      </c>
      <c r="AJ7">
        <f>Baserun3!$G7/100</f>
        <v>0.52</v>
      </c>
      <c r="AK7" s="5">
        <f>Baserun4!$K6/100</f>
        <v>0.03</v>
      </c>
      <c r="AL7">
        <f>Baserun4!$G7/100</f>
        <v>0.42</v>
      </c>
      <c r="AM7" s="5">
        <f>Baserun5!$K6/100</f>
        <v>0.01</v>
      </c>
      <c r="AN7">
        <f>Baserun5!$G7/100</f>
        <v>0.46</v>
      </c>
      <c r="AO7" s="6">
        <f t="shared" si="0"/>
        <v>0.03</v>
      </c>
      <c r="AP7">
        <f t="shared" si="1"/>
        <v>0.33</v>
      </c>
      <c r="AQ7" s="6">
        <f t="shared" si="2"/>
        <v>0</v>
      </c>
      <c r="AR7">
        <f t="shared" si="3"/>
        <v>0.98</v>
      </c>
      <c r="AS7" s="6">
        <f t="shared" si="4"/>
        <v>0.03</v>
      </c>
      <c r="AT7">
        <f t="shared" si="5"/>
        <v>0.45</v>
      </c>
      <c r="AU7" s="6">
        <f t="shared" si="6"/>
        <v>0</v>
      </c>
      <c r="AV7">
        <f t="shared" si="7"/>
        <v>0.97</v>
      </c>
    </row>
    <row r="8" spans="1:48" x14ac:dyDescent="0.25">
      <c r="A8" s="5">
        <f>Aware1!$K7/100</f>
        <v>0.02</v>
      </c>
      <c r="B8">
        <f>Aware1!$G8/100</f>
        <v>0.33</v>
      </c>
      <c r="C8" s="5">
        <f>Aware2!$K7/100</f>
        <v>0</v>
      </c>
      <c r="D8">
        <f>Aware2!$G8/100</f>
        <v>0.99</v>
      </c>
      <c r="E8" s="5">
        <f>Aware3!$K7/100</f>
        <v>0.01</v>
      </c>
      <c r="F8">
        <f>Aware3!$G8/100</f>
        <v>0.5</v>
      </c>
      <c r="G8" s="5">
        <f>Aware4!$K7/100</f>
        <v>0.04</v>
      </c>
      <c r="H8">
        <f>Aware4!$G8/100</f>
        <v>0.28000000000000003</v>
      </c>
      <c r="I8" s="5">
        <f>Aware5!$K7/100</f>
        <v>0.05</v>
      </c>
      <c r="J8">
        <f>Aware5!$G8/100</f>
        <v>0.2</v>
      </c>
      <c r="K8" s="5">
        <f>Learn1!$K7/100</f>
        <v>0.01</v>
      </c>
      <c r="L8">
        <f>Learn1!$G8/100</f>
        <v>0.23</v>
      </c>
      <c r="M8" s="5">
        <f>Learn2!$K7/100</f>
        <v>0.03</v>
      </c>
      <c r="N8">
        <f>Learn2!$G8/100</f>
        <v>0.2</v>
      </c>
      <c r="O8" s="5">
        <f>Learn3!$K7/100</f>
        <v>0.01</v>
      </c>
      <c r="P8">
        <f>Learn3!$G8/100</f>
        <v>0.16</v>
      </c>
      <c r="Q8" s="5">
        <f>Learn4!$K7/100</f>
        <v>0.03</v>
      </c>
      <c r="R8">
        <f>Learn4!$G8/100</f>
        <v>0.15</v>
      </c>
      <c r="S8" s="5">
        <f>Learn5!$K7/100</f>
        <v>0.04</v>
      </c>
      <c r="T8">
        <f>Learn5!$G8/100</f>
        <v>0.18</v>
      </c>
      <c r="U8" s="5">
        <f>Rich1!$K7/100</f>
        <v>0.04</v>
      </c>
      <c r="V8">
        <f>Rich1!$G8/100</f>
        <v>0.47</v>
      </c>
      <c r="W8" s="5">
        <f>Rich2!$K7/100</f>
        <v>0.02</v>
      </c>
      <c r="X8">
        <f>Rich2!$G8/100</f>
        <v>0.51</v>
      </c>
      <c r="Y8" s="5">
        <f>Rich3!$K7/100</f>
        <v>0</v>
      </c>
      <c r="Z8">
        <f>Rich3!$G8/100</f>
        <v>0.93</v>
      </c>
      <c r="AA8" s="5">
        <f>Rich4!$K7/100</f>
        <v>0.05</v>
      </c>
      <c r="AB8">
        <f>Rich4!$G8/100</f>
        <v>0.4</v>
      </c>
      <c r="AC8" s="5">
        <f>Rich5!$K7/100</f>
        <v>0.05</v>
      </c>
      <c r="AD8">
        <f>Rich5!$G8/100</f>
        <v>0.45</v>
      </c>
      <c r="AE8" s="5">
        <f>Baserun1!$K7/100</f>
        <v>0.05</v>
      </c>
      <c r="AF8">
        <f>Baserun1!$G8/100</f>
        <v>0.37</v>
      </c>
      <c r="AG8" s="5">
        <f>Baserun2!$K7/100</f>
        <v>0.09</v>
      </c>
      <c r="AH8">
        <f>Baserun2!$G8/100</f>
        <v>0.28000000000000003</v>
      </c>
      <c r="AI8" s="5">
        <f>Baserun3!$K7/100</f>
        <v>0.03</v>
      </c>
      <c r="AJ8">
        <f>Baserun3!$G8/100</f>
        <v>0.37</v>
      </c>
      <c r="AK8" s="5">
        <f>Baserun4!$K7/100</f>
        <v>0.04</v>
      </c>
      <c r="AL8">
        <f>Baserun4!$G8/100</f>
        <v>0.34</v>
      </c>
      <c r="AM8" s="5">
        <f>Baserun5!$K7/100</f>
        <v>0.02</v>
      </c>
      <c r="AN8">
        <f>Baserun5!$G8/100</f>
        <v>0.28999999999999998</v>
      </c>
      <c r="AO8" s="6">
        <f t="shared" si="0"/>
        <v>0.02</v>
      </c>
      <c r="AP8">
        <f t="shared" si="1"/>
        <v>0.33</v>
      </c>
      <c r="AQ8" s="6">
        <f t="shared" si="2"/>
        <v>0.01</v>
      </c>
      <c r="AR8">
        <f t="shared" si="3"/>
        <v>0.23</v>
      </c>
      <c r="AS8" s="6">
        <f t="shared" si="4"/>
        <v>0.04</v>
      </c>
      <c r="AT8">
        <f t="shared" si="5"/>
        <v>0.47</v>
      </c>
      <c r="AU8" s="6">
        <f t="shared" si="6"/>
        <v>0.05</v>
      </c>
      <c r="AV8">
        <f t="shared" si="7"/>
        <v>0.37</v>
      </c>
    </row>
    <row r="9" spans="1:48" x14ac:dyDescent="0.25">
      <c r="A9" s="5">
        <f>Aware1!$K8/100</f>
        <v>7.0000000000000007E-2</v>
      </c>
      <c r="B9">
        <f>Aware1!$G9/100</f>
        <v>0.25</v>
      </c>
      <c r="C9" s="5">
        <f>Aware2!$K8/100</f>
        <v>0.01</v>
      </c>
      <c r="D9">
        <f>Aware2!$G9/100</f>
        <v>0.61</v>
      </c>
      <c r="E9" s="5">
        <f>Aware3!$K8/100</f>
        <v>0.02</v>
      </c>
      <c r="F9">
        <f>Aware3!$G9/100</f>
        <v>0.3</v>
      </c>
      <c r="G9" s="5">
        <f>Aware4!$K8/100</f>
        <v>0.03</v>
      </c>
      <c r="H9">
        <f>Aware4!$G9/100</f>
        <v>0.33</v>
      </c>
      <c r="I9" s="5">
        <f>Aware5!$K8/100</f>
        <v>0.08</v>
      </c>
      <c r="J9">
        <f>Aware5!$G9/100</f>
        <v>0.2</v>
      </c>
      <c r="K9" s="5">
        <f>Learn1!$K8/100</f>
        <v>0.04</v>
      </c>
      <c r="L9">
        <f>Learn1!$G9/100</f>
        <v>0.14000000000000001</v>
      </c>
      <c r="M9" s="5">
        <f>Learn2!$K8/100</f>
        <v>0.05</v>
      </c>
      <c r="N9">
        <f>Learn2!$G9/100</f>
        <v>0.13</v>
      </c>
      <c r="O9" s="5">
        <f>Learn3!$K8/100</f>
        <v>0.06</v>
      </c>
      <c r="P9">
        <f>Learn3!$G9/100</f>
        <v>0.1</v>
      </c>
      <c r="Q9" s="5">
        <f>Learn4!$K8/100</f>
        <v>0.06</v>
      </c>
      <c r="R9">
        <f>Learn4!$G9/100</f>
        <v>0.14000000000000001</v>
      </c>
      <c r="S9" s="5">
        <f>Learn5!$K8/100</f>
        <v>0.04</v>
      </c>
      <c r="T9">
        <f>Learn5!$G9/100</f>
        <v>0.19</v>
      </c>
      <c r="U9" s="5">
        <f>Rich1!$K8/100</f>
        <v>0.04</v>
      </c>
      <c r="V9">
        <f>Rich1!$G9/100</f>
        <v>0.49</v>
      </c>
      <c r="W9" s="5">
        <f>Rich2!$K8/100</f>
        <v>0.04</v>
      </c>
      <c r="X9">
        <f>Rich2!$G9/100</f>
        <v>0.49</v>
      </c>
      <c r="Y9" s="5">
        <f>Rich3!$K8/100</f>
        <v>0</v>
      </c>
      <c r="Z9">
        <f>Rich3!$G9/100</f>
        <v>0.93</v>
      </c>
      <c r="AA9" s="5">
        <f>Rich4!$K8/100</f>
        <v>0.06</v>
      </c>
      <c r="AB9">
        <f>Rich4!$G9/100</f>
        <v>0.36</v>
      </c>
      <c r="AC9" s="5">
        <f>Rich5!$K8/100</f>
        <v>0.06</v>
      </c>
      <c r="AD9">
        <f>Rich5!$G9/100</f>
        <v>0.54</v>
      </c>
      <c r="AE9" s="5">
        <f>Baserun1!$K8/100</f>
        <v>0.08</v>
      </c>
      <c r="AF9">
        <f>Baserun1!$G9/100</f>
        <v>0.3</v>
      </c>
      <c r="AG9" s="5">
        <f>Baserun2!$K8/100</f>
        <v>0.1</v>
      </c>
      <c r="AH9">
        <f>Baserun2!$G9/100</f>
        <v>0.14000000000000001</v>
      </c>
      <c r="AI9" s="5">
        <f>Baserun3!$K8/100</f>
        <v>0.03</v>
      </c>
      <c r="AJ9">
        <f>Baserun3!$G9/100</f>
        <v>0.34</v>
      </c>
      <c r="AK9" s="5">
        <f>Baserun4!$K8/100</f>
        <v>0.06</v>
      </c>
      <c r="AL9">
        <f>Baserun4!$G9/100</f>
        <v>0.3</v>
      </c>
      <c r="AM9" s="5">
        <f>Baserun5!$K8/100</f>
        <v>0.06</v>
      </c>
      <c r="AN9">
        <f>Baserun5!$G9/100</f>
        <v>0.26</v>
      </c>
      <c r="AO9" s="6">
        <f t="shared" si="0"/>
        <v>7.0000000000000007E-2</v>
      </c>
      <c r="AP9">
        <f t="shared" si="1"/>
        <v>0.25</v>
      </c>
      <c r="AQ9" s="6">
        <f t="shared" si="2"/>
        <v>0.04</v>
      </c>
      <c r="AR9">
        <f t="shared" si="3"/>
        <v>0.14000000000000001</v>
      </c>
      <c r="AS9" s="6">
        <f t="shared" si="4"/>
        <v>0.04</v>
      </c>
      <c r="AT9">
        <f t="shared" si="5"/>
        <v>0.49</v>
      </c>
      <c r="AU9" s="6">
        <f t="shared" si="6"/>
        <v>0.08</v>
      </c>
      <c r="AV9">
        <f t="shared" si="7"/>
        <v>0.3</v>
      </c>
    </row>
    <row r="10" spans="1:48" x14ac:dyDescent="0.25">
      <c r="A10" s="5">
        <f>Aware1!$K9/100</f>
        <v>0.03</v>
      </c>
      <c r="B10">
        <f>Aware1!$G10/100</f>
        <v>0.32</v>
      </c>
      <c r="C10" s="5">
        <f>Aware2!$K9/100</f>
        <v>0</v>
      </c>
      <c r="D10">
        <f>Aware2!$G10/100</f>
        <v>0.99</v>
      </c>
      <c r="E10" s="5">
        <f>Aware3!$K9/100</f>
        <v>0</v>
      </c>
      <c r="F10">
        <f>Aware3!$G10/100</f>
        <v>0.98</v>
      </c>
      <c r="G10" s="5">
        <f>Aware4!$K9/100</f>
        <v>0.01</v>
      </c>
      <c r="H10">
        <f>Aware4!$G10/100</f>
        <v>0.52</v>
      </c>
      <c r="I10" s="5">
        <f>Aware5!$K9/100</f>
        <v>0.01</v>
      </c>
      <c r="J10">
        <f>Aware5!$G10/100</f>
        <v>0.47</v>
      </c>
      <c r="K10" s="5">
        <f>Learn1!$K9/100</f>
        <v>0.04</v>
      </c>
      <c r="L10">
        <f>Learn1!$G10/100</f>
        <v>0.15</v>
      </c>
      <c r="M10" s="5">
        <f>Learn2!$K9/100</f>
        <v>0.03</v>
      </c>
      <c r="N10">
        <f>Learn2!$G10/100</f>
        <v>0.14000000000000001</v>
      </c>
      <c r="O10" s="5">
        <f>Learn3!$K9/100</f>
        <v>0</v>
      </c>
      <c r="P10">
        <f>Learn3!$G10/100</f>
        <v>0.93</v>
      </c>
      <c r="Q10" s="5">
        <f>Learn4!$K9/100</f>
        <v>0</v>
      </c>
      <c r="R10">
        <f>Learn4!$G10/100</f>
        <v>0.93</v>
      </c>
      <c r="S10" s="5">
        <f>Learn5!$K9/100</f>
        <v>0.01</v>
      </c>
      <c r="T10">
        <f>Learn5!$G10/100</f>
        <v>0.24</v>
      </c>
      <c r="U10" s="5">
        <f>Rich1!$K9/100</f>
        <v>0.05</v>
      </c>
      <c r="V10">
        <f>Rich1!$G10/100</f>
        <v>0.39</v>
      </c>
      <c r="W10" s="5">
        <f>Rich2!$K9/100</f>
        <v>0.05</v>
      </c>
      <c r="X10">
        <f>Rich2!$G10/100</f>
        <v>0.51</v>
      </c>
      <c r="Y10" s="5">
        <f>Rich3!$K9/100</f>
        <v>0.03</v>
      </c>
      <c r="Z10">
        <f>Rich3!$G10/100</f>
        <v>0.43</v>
      </c>
      <c r="AA10" s="5">
        <f>Rich4!$K9/100</f>
        <v>7.0000000000000007E-2</v>
      </c>
      <c r="AB10">
        <f>Rich4!$G10/100</f>
        <v>0.34</v>
      </c>
      <c r="AC10" s="5">
        <f>Rich5!$K9/100</f>
        <v>0.02</v>
      </c>
      <c r="AD10">
        <f>Rich5!$G10/100</f>
        <v>0.46</v>
      </c>
      <c r="AE10" s="5">
        <f>Baserun1!$K9/100</f>
        <v>0.04</v>
      </c>
      <c r="AF10">
        <f>Baserun1!$G10/100</f>
        <v>0.3</v>
      </c>
      <c r="AG10" s="5">
        <f>Baserun2!$K9/100</f>
        <v>0.06</v>
      </c>
      <c r="AH10">
        <f>Baserun2!$G10/100</f>
        <v>0.26</v>
      </c>
      <c r="AI10" s="5">
        <f>Baserun3!$K9/100</f>
        <v>0.03</v>
      </c>
      <c r="AJ10">
        <f>Baserun3!$G10/100</f>
        <v>0.28999999999999998</v>
      </c>
      <c r="AK10" s="5">
        <f>Baserun4!$K9/100</f>
        <v>0.03</v>
      </c>
      <c r="AL10">
        <f>Baserun4!$G10/100</f>
        <v>0.32</v>
      </c>
      <c r="AM10" s="5">
        <f>Baserun5!$K9/100</f>
        <v>0.02</v>
      </c>
      <c r="AN10">
        <f>Baserun5!$G10/100</f>
        <v>0.21</v>
      </c>
      <c r="AO10" s="6">
        <f t="shared" si="0"/>
        <v>0.03</v>
      </c>
      <c r="AP10">
        <f t="shared" si="1"/>
        <v>0.32</v>
      </c>
      <c r="AQ10" s="6">
        <f t="shared" si="2"/>
        <v>0.04</v>
      </c>
      <c r="AR10">
        <f t="shared" si="3"/>
        <v>0.15</v>
      </c>
      <c r="AS10" s="6">
        <f t="shared" si="4"/>
        <v>0.05</v>
      </c>
      <c r="AT10">
        <f t="shared" si="5"/>
        <v>0.39</v>
      </c>
      <c r="AU10" s="6">
        <f t="shared" si="6"/>
        <v>0.04</v>
      </c>
      <c r="AV10">
        <f t="shared" si="7"/>
        <v>0.3</v>
      </c>
    </row>
    <row r="11" spans="1:48" x14ac:dyDescent="0.25">
      <c r="A11" s="5">
        <f>Aware1!$K10/100</f>
        <v>0</v>
      </c>
      <c r="B11">
        <f>Aware1!$G11/100</f>
        <v>0.95</v>
      </c>
      <c r="C11" s="5">
        <f>Aware2!$K10/100</f>
        <v>0.01</v>
      </c>
      <c r="D11">
        <f>Aware2!$G11/100</f>
        <v>0.56000000000000005</v>
      </c>
      <c r="E11" s="5">
        <f>Aware3!$K10/100</f>
        <v>0.01</v>
      </c>
      <c r="F11">
        <f>Aware3!$G11/100</f>
        <v>0.47</v>
      </c>
      <c r="G11" s="5">
        <f>Aware4!$K10/100</f>
        <v>0.03</v>
      </c>
      <c r="H11">
        <f>Aware4!$G11/100</f>
        <v>0.33</v>
      </c>
      <c r="I11" s="5">
        <f>Aware5!$K10/100</f>
        <v>0.09</v>
      </c>
      <c r="J11">
        <f>Aware5!$G11/100</f>
        <v>0.09</v>
      </c>
      <c r="K11" s="5">
        <f>Learn1!$K10/100</f>
        <v>0.09</v>
      </c>
      <c r="L11">
        <f>Learn1!$G11/100</f>
        <v>0.1</v>
      </c>
      <c r="M11" s="5">
        <f>Learn2!$K10/100</f>
        <v>0.09</v>
      </c>
      <c r="N11">
        <f>Learn2!$G11/100</f>
        <v>0.14000000000000001</v>
      </c>
      <c r="O11" s="5">
        <f>Learn3!$K10/100</f>
        <v>0</v>
      </c>
      <c r="P11">
        <f>Learn3!$G11/100</f>
        <v>0.99</v>
      </c>
      <c r="Q11" s="5">
        <f>Learn4!$K10/100</f>
        <v>0</v>
      </c>
      <c r="R11">
        <f>Learn4!$G11/100</f>
        <v>0.98</v>
      </c>
      <c r="S11" s="5">
        <f>Learn5!$K10/100</f>
        <v>0.02</v>
      </c>
      <c r="T11">
        <f>Learn5!$G11/100</f>
        <v>0.17</v>
      </c>
      <c r="U11" s="5">
        <f>Rich1!$K10/100</f>
        <v>0.06</v>
      </c>
      <c r="V11">
        <f>Rich1!$G11/100</f>
        <v>0.41</v>
      </c>
      <c r="W11" s="5">
        <f>Rich2!$K10/100</f>
        <v>7.0000000000000007E-2</v>
      </c>
      <c r="X11">
        <f>Rich2!$G11/100</f>
        <v>0.35</v>
      </c>
      <c r="Y11" s="5">
        <f>Rich3!$K10/100</f>
        <v>0.03</v>
      </c>
      <c r="Z11">
        <f>Rich3!$G11/100</f>
        <v>0.46</v>
      </c>
      <c r="AA11" s="5">
        <f>Rich4!$K10/100</f>
        <v>7.0000000000000007E-2</v>
      </c>
      <c r="AB11">
        <f>Rich4!$G11/100</f>
        <v>0.33</v>
      </c>
      <c r="AC11" s="5">
        <f>Rich5!$K10/100</f>
        <v>0.05</v>
      </c>
      <c r="AD11">
        <f>Rich5!$G11/100</f>
        <v>0.37</v>
      </c>
      <c r="AE11" s="5">
        <f>Baserun1!$K10/100</f>
        <v>0.15</v>
      </c>
      <c r="AF11">
        <f>Baserun1!$G11/100</f>
        <v>0.22</v>
      </c>
      <c r="AG11" s="5">
        <f>Baserun2!$K10/100</f>
        <v>0.05</v>
      </c>
      <c r="AH11">
        <f>Baserun2!$G11/100</f>
        <v>0.18</v>
      </c>
      <c r="AI11" s="5">
        <f>Baserun3!$K10/100</f>
        <v>0.02</v>
      </c>
      <c r="AJ11">
        <f>Baserun3!$G11/100</f>
        <v>0.32</v>
      </c>
      <c r="AK11" s="5">
        <f>Baserun4!$K10/100</f>
        <v>0.06</v>
      </c>
      <c r="AL11">
        <f>Baserun4!$G11/100</f>
        <v>0.21</v>
      </c>
      <c r="AM11" s="5">
        <f>Baserun5!$K10/100</f>
        <v>0.06</v>
      </c>
      <c r="AN11">
        <f>Baserun5!$G11/100</f>
        <v>0.23</v>
      </c>
      <c r="AO11" s="6">
        <f t="shared" si="0"/>
        <v>0</v>
      </c>
      <c r="AP11">
        <f t="shared" si="1"/>
        <v>0.95</v>
      </c>
      <c r="AQ11" s="6">
        <f t="shared" si="2"/>
        <v>0.09</v>
      </c>
      <c r="AR11">
        <f t="shared" si="3"/>
        <v>0.1</v>
      </c>
      <c r="AS11" s="6">
        <f t="shared" si="4"/>
        <v>0.06</v>
      </c>
      <c r="AT11">
        <f t="shared" si="5"/>
        <v>0.41</v>
      </c>
      <c r="AU11" s="6">
        <f t="shared" si="6"/>
        <v>0.15</v>
      </c>
      <c r="AV11">
        <f t="shared" si="7"/>
        <v>0.22</v>
      </c>
    </row>
    <row r="12" spans="1:48" x14ac:dyDescent="0.25">
      <c r="A12" s="5">
        <f>Aware1!$K11/100</f>
        <v>0.03</v>
      </c>
      <c r="B12">
        <f>Aware1!$G12/100</f>
        <v>0.28000000000000003</v>
      </c>
      <c r="C12" s="5">
        <f>Aware2!$K11/100</f>
        <v>0.03</v>
      </c>
      <c r="D12">
        <f>Aware2!$G12/100</f>
        <v>0.28999999999999998</v>
      </c>
      <c r="E12" s="5">
        <f>Aware3!$K11/100</f>
        <v>0.01</v>
      </c>
      <c r="F12">
        <f>Aware3!$G12/100</f>
        <v>0.48</v>
      </c>
      <c r="G12" s="5">
        <f>Aware4!$K11/100</f>
        <v>0.01</v>
      </c>
      <c r="H12">
        <f>Aware4!$G12/100</f>
        <v>0.56999999999999995</v>
      </c>
      <c r="I12" s="5">
        <f>Aware5!$K11/100</f>
        <v>0.05</v>
      </c>
      <c r="J12">
        <f>Aware5!$G12/100</f>
        <v>0.12</v>
      </c>
      <c r="K12" s="5">
        <f>Learn1!$K11/100</f>
        <v>0.05</v>
      </c>
      <c r="L12">
        <f>Learn1!$G12/100</f>
        <v>0.13</v>
      </c>
      <c r="M12" s="5">
        <f>Learn2!$K11/100</f>
        <v>0.04</v>
      </c>
      <c r="N12">
        <f>Learn2!$G12/100</f>
        <v>0.18</v>
      </c>
      <c r="O12" s="5">
        <f>Learn3!$K11/100</f>
        <v>0</v>
      </c>
      <c r="P12">
        <f>Learn3!$G12/100</f>
        <v>0.98</v>
      </c>
      <c r="Q12" s="5">
        <f>Learn4!$K11/100</f>
        <v>0</v>
      </c>
      <c r="R12">
        <f>Learn4!$G12/100</f>
        <v>0.98</v>
      </c>
      <c r="S12" s="5">
        <f>Learn5!$K11/100</f>
        <v>0.03</v>
      </c>
      <c r="T12">
        <f>Learn5!$G12/100</f>
        <v>0.14000000000000001</v>
      </c>
      <c r="U12" s="5">
        <f>Rich1!$K11/100</f>
        <v>0.1</v>
      </c>
      <c r="V12">
        <f>Rich1!$G12/100</f>
        <v>0.46</v>
      </c>
      <c r="W12" s="5">
        <f>Rich2!$K11/100</f>
        <v>0.08</v>
      </c>
      <c r="X12">
        <f>Rich2!$G12/100</f>
        <v>0.39</v>
      </c>
      <c r="Y12" s="5">
        <f>Rich3!$K11/100</f>
        <v>7.0000000000000007E-2</v>
      </c>
      <c r="Z12">
        <f>Rich3!$G12/100</f>
        <v>0.35</v>
      </c>
      <c r="AA12" s="5">
        <f>Rich4!$K11/100</f>
        <v>0.06</v>
      </c>
      <c r="AB12">
        <f>Rich4!$G12/100</f>
        <v>0.26</v>
      </c>
      <c r="AC12" s="5">
        <f>Rich5!$K11/100</f>
        <v>0.09</v>
      </c>
      <c r="AD12">
        <f>Rich5!$G12/100</f>
        <v>0.4</v>
      </c>
      <c r="AE12" s="5">
        <f>Baserun1!$K11/100</f>
        <v>7.0000000000000007E-2</v>
      </c>
      <c r="AF12">
        <f>Baserun1!$G12/100</f>
        <v>0.2</v>
      </c>
      <c r="AG12" s="5">
        <f>Baserun2!$K11/100</f>
        <v>7.0000000000000007E-2</v>
      </c>
      <c r="AH12">
        <f>Baserun2!$G12/100</f>
        <v>0.27</v>
      </c>
      <c r="AI12" s="5">
        <f>Baserun3!$K11/100</f>
        <v>0.04</v>
      </c>
      <c r="AJ12">
        <f>Baserun3!$G12/100</f>
        <v>0.35</v>
      </c>
      <c r="AK12" s="5">
        <f>Baserun4!$K11/100</f>
        <v>7.0000000000000007E-2</v>
      </c>
      <c r="AL12">
        <f>Baserun4!$G12/100</f>
        <v>0.23</v>
      </c>
      <c r="AM12" s="5">
        <f>Baserun5!$K11/100</f>
        <v>0.04</v>
      </c>
      <c r="AN12">
        <f>Baserun5!$G12/100</f>
        <v>0.26</v>
      </c>
      <c r="AO12" s="6">
        <f t="shared" si="0"/>
        <v>0.03</v>
      </c>
      <c r="AP12">
        <f t="shared" si="1"/>
        <v>0.28000000000000003</v>
      </c>
      <c r="AQ12" s="6">
        <f t="shared" si="2"/>
        <v>0.05</v>
      </c>
      <c r="AR12">
        <f t="shared" si="3"/>
        <v>0.13</v>
      </c>
      <c r="AS12" s="6">
        <f t="shared" si="4"/>
        <v>0.1</v>
      </c>
      <c r="AT12">
        <f t="shared" si="5"/>
        <v>0.46</v>
      </c>
      <c r="AU12" s="6">
        <f t="shared" si="6"/>
        <v>7.0000000000000007E-2</v>
      </c>
      <c r="AV12">
        <f t="shared" si="7"/>
        <v>0.2</v>
      </c>
    </row>
    <row r="13" spans="1:48" x14ac:dyDescent="0.25">
      <c r="A13" s="5">
        <f>Aware1!$K12/100</f>
        <v>0.04</v>
      </c>
      <c r="B13">
        <f>Aware1!$G13/100</f>
        <v>0.19</v>
      </c>
      <c r="C13" s="5">
        <f>Aware2!$K12/100</f>
        <v>0.02</v>
      </c>
      <c r="D13">
        <f>Aware2!$G13/100</f>
        <v>0.25</v>
      </c>
      <c r="E13" s="5">
        <f>Aware3!$K12/100</f>
        <v>0.02</v>
      </c>
      <c r="F13">
        <f>Aware3!$G13/100</f>
        <v>0.23</v>
      </c>
      <c r="G13" s="5">
        <f>Aware4!$K12/100</f>
        <v>0.04</v>
      </c>
      <c r="H13">
        <f>Aware4!$G13/100</f>
        <v>0.24</v>
      </c>
      <c r="I13" s="5">
        <f>Aware5!$K12/100</f>
        <v>0.04</v>
      </c>
      <c r="J13">
        <f>Aware5!$G13/100</f>
        <v>0.18</v>
      </c>
      <c r="K13" s="5">
        <f>Learn1!$K12/100</f>
        <v>0.03</v>
      </c>
      <c r="L13">
        <f>Learn1!$G13/100</f>
        <v>0.14000000000000001</v>
      </c>
      <c r="M13" s="5">
        <f>Learn2!$K12/100</f>
        <v>0.03</v>
      </c>
      <c r="N13">
        <f>Learn2!$G13/100</f>
        <v>0.1</v>
      </c>
      <c r="O13" s="5">
        <f>Learn3!$K12/100</f>
        <v>0</v>
      </c>
      <c r="P13">
        <f>Learn3!$G13/100</f>
        <v>0.98</v>
      </c>
      <c r="Q13" s="5">
        <f>Learn4!$K12/100</f>
        <v>0.03</v>
      </c>
      <c r="R13">
        <f>Learn4!$G13/100</f>
        <v>0.19</v>
      </c>
      <c r="S13" s="5">
        <f>Learn5!$K12/100</f>
        <v>0.03</v>
      </c>
      <c r="T13">
        <f>Learn5!$G13/100</f>
        <v>0.11</v>
      </c>
      <c r="U13" s="5">
        <f>Rich1!$K12/100</f>
        <v>0.04</v>
      </c>
      <c r="V13">
        <f>Rich1!$G13/100</f>
        <v>0.42</v>
      </c>
      <c r="W13" s="5">
        <f>Rich2!$K12/100</f>
        <v>0.06</v>
      </c>
      <c r="X13">
        <f>Rich2!$G13/100</f>
        <v>0.36</v>
      </c>
      <c r="Y13" s="5">
        <f>Rich3!$K12/100</f>
        <v>0.1</v>
      </c>
      <c r="Z13">
        <f>Rich3!$G13/100</f>
        <v>0.41</v>
      </c>
      <c r="AA13" s="5">
        <f>Rich4!$K12/100</f>
        <v>0.06</v>
      </c>
      <c r="AB13">
        <f>Rich4!$G13/100</f>
        <v>0.3</v>
      </c>
      <c r="AC13" s="5">
        <f>Rich5!$K12/100</f>
        <v>0.12</v>
      </c>
      <c r="AD13">
        <f>Rich5!$G13/100</f>
        <v>0.45</v>
      </c>
      <c r="AE13" s="5">
        <f>Baserun1!$K12/100</f>
        <v>7.0000000000000007E-2</v>
      </c>
      <c r="AF13">
        <f>Baserun1!$G13/100</f>
        <v>0.18</v>
      </c>
      <c r="AG13" s="5">
        <f>Baserun2!$K12/100</f>
        <v>0.02</v>
      </c>
      <c r="AH13">
        <f>Baserun2!$G13/100</f>
        <v>0.26</v>
      </c>
      <c r="AI13" s="5">
        <f>Baserun3!$K12/100</f>
        <v>0.05</v>
      </c>
      <c r="AJ13">
        <f>Baserun3!$G13/100</f>
        <v>0.41</v>
      </c>
      <c r="AK13" s="5">
        <f>Baserun4!$K12/100</f>
        <v>0.04</v>
      </c>
      <c r="AL13">
        <f>Baserun4!$G13/100</f>
        <v>0.25</v>
      </c>
      <c r="AM13" s="5">
        <f>Baserun5!$K12/100</f>
        <v>0.03</v>
      </c>
      <c r="AN13">
        <f>Baserun5!$G13/100</f>
        <v>0.26</v>
      </c>
      <c r="AO13" s="6">
        <f t="shared" si="0"/>
        <v>0.04</v>
      </c>
      <c r="AP13">
        <f t="shared" si="1"/>
        <v>0.19</v>
      </c>
      <c r="AQ13" s="6">
        <f t="shared" si="2"/>
        <v>0.03</v>
      </c>
      <c r="AR13">
        <f t="shared" si="3"/>
        <v>0.14000000000000001</v>
      </c>
      <c r="AS13" s="6">
        <f t="shared" si="4"/>
        <v>0.04</v>
      </c>
      <c r="AT13">
        <f t="shared" si="5"/>
        <v>0.42</v>
      </c>
      <c r="AU13" s="6">
        <f t="shared" si="6"/>
        <v>7.0000000000000007E-2</v>
      </c>
      <c r="AV13">
        <f t="shared" si="7"/>
        <v>0.18</v>
      </c>
    </row>
    <row r="14" spans="1:48" x14ac:dyDescent="0.25">
      <c r="A14" s="5">
        <f>Aware1!$K13/100</f>
        <v>0.05</v>
      </c>
      <c r="B14">
        <f>Aware1!$G14/100</f>
        <v>0.26</v>
      </c>
      <c r="C14" s="5">
        <f>Aware2!$K13/100</f>
        <v>0.05</v>
      </c>
      <c r="D14">
        <f>Aware2!$G14/100</f>
        <v>0.23</v>
      </c>
      <c r="E14" s="5">
        <f>Aware3!$K13/100</f>
        <v>0.08</v>
      </c>
      <c r="F14">
        <f>Aware3!$G14/100</f>
        <v>0.2</v>
      </c>
      <c r="G14" s="5">
        <f>Aware4!$K13/100</f>
        <v>0.02</v>
      </c>
      <c r="H14">
        <f>Aware4!$G14/100</f>
        <v>0.28000000000000003</v>
      </c>
      <c r="I14" s="5">
        <f>Aware5!$K13/100</f>
        <v>0.1</v>
      </c>
      <c r="J14">
        <f>Aware5!$G14/100</f>
        <v>0.16</v>
      </c>
      <c r="K14" s="5">
        <f>Learn1!$K13/100</f>
        <v>0.03</v>
      </c>
      <c r="L14">
        <f>Learn1!$G14/100</f>
        <v>0.14000000000000001</v>
      </c>
      <c r="M14" s="5">
        <f>Learn2!$K13/100</f>
        <v>0.05</v>
      </c>
      <c r="N14">
        <f>Learn2!$G14/100</f>
        <v>0.14000000000000001</v>
      </c>
      <c r="O14" s="5">
        <f>Learn3!$K13/100</f>
        <v>0.03</v>
      </c>
      <c r="P14">
        <f>Learn3!$G14/100</f>
        <v>0.15</v>
      </c>
      <c r="Q14" s="5">
        <f>Learn4!$K13/100</f>
        <v>0.04</v>
      </c>
      <c r="R14">
        <f>Learn4!$G14/100</f>
        <v>0.14000000000000001</v>
      </c>
      <c r="S14" s="5">
        <f>Learn5!$K13/100</f>
        <v>7.0000000000000007E-2</v>
      </c>
      <c r="T14">
        <f>Learn5!$G14/100</f>
        <v>0.09</v>
      </c>
      <c r="U14" s="5">
        <f>Rich1!$K13/100</f>
        <v>0.05</v>
      </c>
      <c r="V14">
        <f>Rich1!$G14/100</f>
        <v>0.38</v>
      </c>
      <c r="W14" s="5">
        <f>Rich2!$K13/100</f>
        <v>0.11</v>
      </c>
      <c r="X14">
        <f>Rich2!$G14/100</f>
        <v>0.36</v>
      </c>
      <c r="Y14" s="5">
        <f>Rich3!$K13/100</f>
        <v>0.08</v>
      </c>
      <c r="Z14">
        <f>Rich3!$G14/100</f>
        <v>0.39</v>
      </c>
      <c r="AA14" s="5">
        <f>Rich4!$K13/100</f>
        <v>7.0000000000000007E-2</v>
      </c>
      <c r="AB14">
        <f>Rich4!$G14/100</f>
        <v>0.24</v>
      </c>
      <c r="AC14" s="5">
        <f>Rich5!$K13/100</f>
        <v>0.05</v>
      </c>
      <c r="AD14">
        <f>Rich5!$G14/100</f>
        <v>0.39</v>
      </c>
      <c r="AE14" s="5">
        <f>Baserun1!$K13/100</f>
        <v>0.08</v>
      </c>
      <c r="AF14">
        <f>Baserun1!$G14/100</f>
        <v>0.17</v>
      </c>
      <c r="AG14" s="5">
        <f>Baserun2!$K13/100</f>
        <v>0.05</v>
      </c>
      <c r="AH14">
        <f>Baserun2!$G14/100</f>
        <v>0.23</v>
      </c>
      <c r="AI14" s="5">
        <f>Baserun3!$K13/100</f>
        <v>0.02</v>
      </c>
      <c r="AJ14">
        <f>Baserun3!$G14/100</f>
        <v>0.3</v>
      </c>
      <c r="AK14" s="5">
        <f>Baserun4!$K13/100</f>
        <v>7.0000000000000007E-2</v>
      </c>
      <c r="AL14">
        <f>Baserun4!$G14/100</f>
        <v>0.23</v>
      </c>
      <c r="AM14" s="5">
        <f>Baserun5!$K13/100</f>
        <v>0.05</v>
      </c>
      <c r="AN14">
        <f>Baserun5!$G14/100</f>
        <v>0.21</v>
      </c>
      <c r="AO14" s="6">
        <f t="shared" si="0"/>
        <v>0.05</v>
      </c>
      <c r="AP14">
        <f t="shared" si="1"/>
        <v>0.26</v>
      </c>
      <c r="AQ14" s="6">
        <f t="shared" si="2"/>
        <v>0.03</v>
      </c>
      <c r="AR14">
        <f t="shared" si="3"/>
        <v>0.14000000000000001</v>
      </c>
      <c r="AS14" s="6">
        <f t="shared" si="4"/>
        <v>0.05</v>
      </c>
      <c r="AT14">
        <f t="shared" si="5"/>
        <v>0.38</v>
      </c>
      <c r="AU14" s="6">
        <f t="shared" si="6"/>
        <v>0.08</v>
      </c>
      <c r="AV14">
        <f t="shared" si="7"/>
        <v>0.17</v>
      </c>
    </row>
    <row r="15" spans="1:48" x14ac:dyDescent="0.25">
      <c r="A15" s="5">
        <f>Aware1!$K14/100</f>
        <v>0.09</v>
      </c>
      <c r="B15">
        <f>Aware1!$G15/100</f>
        <v>0.16</v>
      </c>
      <c r="C15" s="5">
        <f>Aware2!$K14/100</f>
        <v>0.06</v>
      </c>
      <c r="D15">
        <f>Aware2!$G15/100</f>
        <v>0.23</v>
      </c>
      <c r="E15" s="5">
        <f>Aware3!$K14/100</f>
        <v>0.02</v>
      </c>
      <c r="F15">
        <f>Aware3!$G15/100</f>
        <v>0.25</v>
      </c>
      <c r="G15" s="5">
        <f>Aware4!$K14/100</f>
        <v>0.04</v>
      </c>
      <c r="H15">
        <f>Aware4!$G15/100</f>
        <v>0.23</v>
      </c>
      <c r="I15" s="5">
        <f>Aware5!$K14/100</f>
        <v>0.02</v>
      </c>
      <c r="J15">
        <f>Aware5!$G15/100</f>
        <v>0.26</v>
      </c>
      <c r="K15" s="5">
        <f>Learn1!$K14/100</f>
        <v>0.01</v>
      </c>
      <c r="L15">
        <f>Learn1!$G15/100</f>
        <v>0.2</v>
      </c>
      <c r="M15" s="5">
        <f>Learn2!$K14/100</f>
        <v>0.04</v>
      </c>
      <c r="N15">
        <f>Learn2!$G15/100</f>
        <v>0.13</v>
      </c>
      <c r="O15" s="5">
        <f>Learn3!$K14/100</f>
        <v>0.05</v>
      </c>
      <c r="P15">
        <f>Learn3!$G15/100</f>
        <v>0.11</v>
      </c>
      <c r="Q15" s="5">
        <f>Learn4!$K14/100</f>
        <v>0.1</v>
      </c>
      <c r="R15">
        <f>Learn4!$G15/100</f>
        <v>7.0000000000000007E-2</v>
      </c>
      <c r="S15" s="5">
        <f>Learn5!$K14/100</f>
        <v>0.03</v>
      </c>
      <c r="T15">
        <f>Learn5!$G15/100</f>
        <v>0.1</v>
      </c>
      <c r="U15" s="5">
        <f>Rich1!$K14/100</f>
        <v>0.09</v>
      </c>
      <c r="V15">
        <f>Rich1!$G15/100</f>
        <v>0.35</v>
      </c>
      <c r="W15" s="5">
        <f>Rich2!$K14/100</f>
        <v>0.04</v>
      </c>
      <c r="X15">
        <f>Rich2!$G15/100</f>
        <v>0.47</v>
      </c>
      <c r="Y15" s="5">
        <f>Rich3!$K14/100</f>
        <v>0.1</v>
      </c>
      <c r="Z15">
        <f>Rich3!$G15/100</f>
        <v>0.41</v>
      </c>
      <c r="AA15" s="5">
        <f>Rich4!$K14/100</f>
        <v>0.04</v>
      </c>
      <c r="AB15">
        <f>Rich4!$G15/100</f>
        <v>0.43</v>
      </c>
      <c r="AC15" s="5">
        <f>Rich5!$K14/100</f>
        <v>0.04</v>
      </c>
      <c r="AD15">
        <f>Rich5!$G15/100</f>
        <v>0.37</v>
      </c>
      <c r="AE15" s="5">
        <f>Baserun1!$K14/100</f>
        <v>0</v>
      </c>
      <c r="AF15">
        <f>Baserun1!$G15/100</f>
        <v>0.92</v>
      </c>
      <c r="AG15" s="5">
        <f>Baserun2!$K14/100</f>
        <v>0.04</v>
      </c>
      <c r="AH15">
        <f>Baserun2!$G15/100</f>
        <v>0.27</v>
      </c>
      <c r="AI15" s="5">
        <f>Baserun3!$K14/100</f>
        <v>0.02</v>
      </c>
      <c r="AJ15">
        <f>Baserun3!$G15/100</f>
        <v>0.35</v>
      </c>
      <c r="AK15" s="5">
        <f>Baserun4!$K14/100</f>
        <v>0.03</v>
      </c>
      <c r="AL15">
        <f>Baserun4!$G15/100</f>
        <v>0.34</v>
      </c>
      <c r="AM15" s="5">
        <f>Baserun5!$K14/100</f>
        <v>0.05</v>
      </c>
      <c r="AN15">
        <f>Baserun5!$G15/100</f>
        <v>0.25</v>
      </c>
      <c r="AO15" s="6">
        <f t="shared" si="0"/>
        <v>0.09</v>
      </c>
      <c r="AP15">
        <f t="shared" si="1"/>
        <v>0.16</v>
      </c>
      <c r="AQ15" s="6">
        <f t="shared" si="2"/>
        <v>0.01</v>
      </c>
      <c r="AR15">
        <f t="shared" si="3"/>
        <v>0.2</v>
      </c>
      <c r="AS15" s="6">
        <f t="shared" si="4"/>
        <v>0.09</v>
      </c>
      <c r="AT15">
        <f t="shared" si="5"/>
        <v>0.35</v>
      </c>
      <c r="AU15" s="6">
        <f t="shared" si="6"/>
        <v>0</v>
      </c>
      <c r="AV15">
        <f t="shared" si="7"/>
        <v>0.92</v>
      </c>
    </row>
    <row r="16" spans="1:48" x14ac:dyDescent="0.25">
      <c r="A16" s="5">
        <f>Aware1!$K15/100</f>
        <v>0.04</v>
      </c>
      <c r="B16">
        <f>Aware1!$G16/100</f>
        <v>0.17</v>
      </c>
      <c r="C16" s="5">
        <f>Aware2!$K15/100</f>
        <v>0.01</v>
      </c>
      <c r="D16">
        <f>Aware2!$G16/100</f>
        <v>0.47</v>
      </c>
      <c r="E16" s="5">
        <f>Aware3!$K15/100</f>
        <v>0.04</v>
      </c>
      <c r="F16">
        <f>Aware3!$G16/100</f>
        <v>0.22</v>
      </c>
      <c r="G16" s="5">
        <f>Aware4!$K15/100</f>
        <v>0.02</v>
      </c>
      <c r="H16">
        <f>Aware4!$G16/100</f>
        <v>0.28000000000000003</v>
      </c>
      <c r="I16" s="5">
        <f>Aware5!$K15/100</f>
        <v>0.02</v>
      </c>
      <c r="J16">
        <f>Aware5!$G16/100</f>
        <v>0.28000000000000003</v>
      </c>
      <c r="K16" s="5">
        <f>Learn1!$K15/100</f>
        <v>0.02</v>
      </c>
      <c r="L16">
        <f>Learn1!$G16/100</f>
        <v>0.13</v>
      </c>
      <c r="M16" s="5">
        <f>Learn2!$K15/100</f>
        <v>0.01</v>
      </c>
      <c r="N16">
        <f>Learn2!$G16/100</f>
        <v>0.23</v>
      </c>
      <c r="O16" s="5">
        <f>Learn3!$K15/100</f>
        <v>0.09</v>
      </c>
      <c r="P16">
        <f>Learn3!$G16/100</f>
        <v>0.12</v>
      </c>
      <c r="Q16" s="5">
        <f>Learn4!$K15/100</f>
        <v>0.09</v>
      </c>
      <c r="R16">
        <f>Learn4!$G16/100</f>
        <v>0.09</v>
      </c>
      <c r="S16" s="5">
        <f>Learn5!$K15/100</f>
        <v>0.03</v>
      </c>
      <c r="T16">
        <f>Learn5!$G16/100</f>
        <v>0.11</v>
      </c>
      <c r="U16" s="5">
        <f>Rich1!$K15/100</f>
        <v>7.0000000000000007E-2</v>
      </c>
      <c r="V16">
        <f>Rich1!$G16/100</f>
        <v>0.39</v>
      </c>
      <c r="W16" s="5">
        <f>Rich2!$K15/100</f>
        <v>0.08</v>
      </c>
      <c r="X16">
        <f>Rich2!$G16/100</f>
        <v>0.45</v>
      </c>
      <c r="Y16" s="5">
        <f>Rich3!$K15/100</f>
        <v>7.0000000000000007E-2</v>
      </c>
      <c r="Z16">
        <f>Rich3!$G16/100</f>
        <v>0.37</v>
      </c>
      <c r="AA16" s="5">
        <f>Rich4!$K15/100</f>
        <v>0.03</v>
      </c>
      <c r="AB16">
        <f>Rich4!$G16/100</f>
        <v>0.4</v>
      </c>
      <c r="AC16" s="5">
        <f>Rich5!$K15/100</f>
        <v>7.0000000000000007E-2</v>
      </c>
      <c r="AD16">
        <f>Rich5!$G16/100</f>
        <v>0.38</v>
      </c>
      <c r="AE16" s="5">
        <f>Baserun1!$K15/100</f>
        <v>0</v>
      </c>
      <c r="AF16">
        <f>Baserun1!$G16/100</f>
        <v>0.97</v>
      </c>
      <c r="AG16" s="5">
        <f>Baserun2!$K15/100</f>
        <v>0.04</v>
      </c>
      <c r="AH16">
        <f>Baserun2!$G16/100</f>
        <v>0.28999999999999998</v>
      </c>
      <c r="AI16" s="5">
        <f>Baserun3!$K15/100</f>
        <v>0.03</v>
      </c>
      <c r="AJ16">
        <f>Baserun3!$G16/100</f>
        <v>0.36</v>
      </c>
      <c r="AK16" s="5">
        <f>Baserun4!$K15/100</f>
        <v>0.03</v>
      </c>
      <c r="AL16">
        <f>Baserun4!$G16/100</f>
        <v>0.35</v>
      </c>
      <c r="AM16" s="5">
        <f>Baserun5!$K15/100</f>
        <v>0.03</v>
      </c>
      <c r="AN16">
        <f>Baserun5!$G16/100</f>
        <v>0.31</v>
      </c>
      <c r="AO16" s="6">
        <f t="shared" si="0"/>
        <v>0.04</v>
      </c>
      <c r="AP16">
        <f t="shared" si="1"/>
        <v>0.17</v>
      </c>
      <c r="AQ16" s="6">
        <f t="shared" si="2"/>
        <v>0.02</v>
      </c>
      <c r="AR16">
        <f t="shared" si="3"/>
        <v>0.13</v>
      </c>
      <c r="AS16" s="6">
        <f t="shared" si="4"/>
        <v>7.0000000000000007E-2</v>
      </c>
      <c r="AT16">
        <f t="shared" si="5"/>
        <v>0.39</v>
      </c>
      <c r="AU16" s="6">
        <f t="shared" si="6"/>
        <v>0</v>
      </c>
      <c r="AV16">
        <f t="shared" si="7"/>
        <v>0.97</v>
      </c>
    </row>
    <row r="17" spans="1:48" x14ac:dyDescent="0.25">
      <c r="A17" s="5">
        <f>Aware1!$K16/100</f>
        <v>0.04</v>
      </c>
      <c r="B17">
        <f>Aware1!$G17/100</f>
        <v>0.24</v>
      </c>
      <c r="C17" s="5">
        <f>Aware2!$K16/100</f>
        <v>0.05</v>
      </c>
      <c r="D17">
        <f>Aware2!$G17/100</f>
        <v>0.19</v>
      </c>
      <c r="E17" s="5">
        <f>Aware3!$K16/100</f>
        <v>0.02</v>
      </c>
      <c r="F17">
        <f>Aware3!$G17/100</f>
        <v>0.28000000000000003</v>
      </c>
      <c r="G17" s="5">
        <f>Aware4!$K16/100</f>
        <v>0</v>
      </c>
      <c r="H17">
        <f>Aware4!$G17/100</f>
        <v>0.94</v>
      </c>
      <c r="I17" s="5">
        <f>Aware5!$K16/100</f>
        <v>0.01</v>
      </c>
      <c r="J17">
        <f>Aware5!$G17/100</f>
        <v>0.57999999999999996</v>
      </c>
      <c r="K17" s="5">
        <f>Learn1!$K16/100</f>
        <v>0.01</v>
      </c>
      <c r="L17">
        <f>Learn1!$G17/100</f>
        <v>0.25</v>
      </c>
      <c r="M17" s="5">
        <f>Learn2!$K16/100</f>
        <v>0</v>
      </c>
      <c r="N17">
        <f>Learn2!$G17/100</f>
        <v>1</v>
      </c>
      <c r="O17" s="5">
        <f>Learn3!$K16/100</f>
        <v>0.11</v>
      </c>
      <c r="P17">
        <f>Learn3!$G17/100</f>
        <v>0.08</v>
      </c>
      <c r="Q17" s="5">
        <f>Learn4!$K16/100</f>
        <v>0.04</v>
      </c>
      <c r="R17">
        <f>Learn4!$G17/100</f>
        <v>0.17</v>
      </c>
      <c r="S17" s="5">
        <f>Learn5!$K16/100</f>
        <v>0.02</v>
      </c>
      <c r="T17">
        <f>Learn5!$G17/100</f>
        <v>0.14000000000000001</v>
      </c>
      <c r="U17" s="5">
        <f>Rich1!$K16/100</f>
        <v>0.06</v>
      </c>
      <c r="V17">
        <f>Rich1!$G17/100</f>
        <v>0.46</v>
      </c>
      <c r="W17" s="5">
        <f>Rich2!$K16/100</f>
        <v>0.06</v>
      </c>
      <c r="X17">
        <f>Rich2!$G17/100</f>
        <v>0.46</v>
      </c>
      <c r="Y17" s="5">
        <f>Rich3!$K16/100</f>
        <v>0.08</v>
      </c>
      <c r="Z17">
        <f>Rich3!$G17/100</f>
        <v>0.35</v>
      </c>
      <c r="AA17" s="5">
        <f>Rich4!$K16/100</f>
        <v>0.03</v>
      </c>
      <c r="AB17">
        <f>Rich4!$G17/100</f>
        <v>0.45</v>
      </c>
      <c r="AC17" s="5">
        <f>Rich5!$K16/100</f>
        <v>0.05</v>
      </c>
      <c r="AD17">
        <f>Rich5!$G17/100</f>
        <v>0.44</v>
      </c>
      <c r="AE17" s="5">
        <f>Baserun1!$K16/100</f>
        <v>0</v>
      </c>
      <c r="AF17">
        <f>Baserun1!$G17/100</f>
        <v>1</v>
      </c>
      <c r="AG17" s="5">
        <f>Baserun2!$K16/100</f>
        <v>0</v>
      </c>
      <c r="AH17">
        <f>Baserun2!$G17/100</f>
        <v>0.95</v>
      </c>
      <c r="AI17" s="5">
        <f>Baserun3!$K16/100</f>
        <v>0.02</v>
      </c>
      <c r="AJ17">
        <f>Baserun3!$G17/100</f>
        <v>0.34</v>
      </c>
      <c r="AK17" s="5">
        <f>Baserun4!$K16/100</f>
        <v>0.02</v>
      </c>
      <c r="AL17">
        <f>Baserun4!$G17/100</f>
        <v>0.32</v>
      </c>
      <c r="AM17" s="5">
        <f>Baserun5!$K16/100</f>
        <v>0.02</v>
      </c>
      <c r="AN17">
        <f>Baserun5!$G17/100</f>
        <v>0.26</v>
      </c>
      <c r="AO17" s="6">
        <f t="shared" si="0"/>
        <v>0.04</v>
      </c>
      <c r="AP17">
        <f t="shared" si="1"/>
        <v>0.24</v>
      </c>
      <c r="AQ17" s="6">
        <f t="shared" si="2"/>
        <v>0.01</v>
      </c>
      <c r="AR17">
        <f t="shared" si="3"/>
        <v>0.25</v>
      </c>
      <c r="AS17" s="6">
        <f t="shared" si="4"/>
        <v>0.06</v>
      </c>
      <c r="AT17">
        <f t="shared" si="5"/>
        <v>0.46</v>
      </c>
      <c r="AU17" s="6">
        <f t="shared" si="6"/>
        <v>0</v>
      </c>
      <c r="AV17">
        <f t="shared" si="7"/>
        <v>1</v>
      </c>
    </row>
    <row r="18" spans="1:48" x14ac:dyDescent="0.25">
      <c r="A18" s="5">
        <f>Aware1!$K17/100</f>
        <v>0.03</v>
      </c>
      <c r="B18">
        <f>Aware1!$G18/100</f>
        <v>0.27</v>
      </c>
      <c r="C18" s="5">
        <f>Aware2!$K17/100</f>
        <v>0.05</v>
      </c>
      <c r="D18">
        <f>Aware2!$G18/100</f>
        <v>0.2</v>
      </c>
      <c r="E18" s="5">
        <f>Aware3!$K17/100</f>
        <v>0</v>
      </c>
      <c r="F18">
        <f>Aware3!$G18/100</f>
        <v>0.98</v>
      </c>
      <c r="G18" s="5">
        <f>Aware4!$K17/100</f>
        <v>0.03</v>
      </c>
      <c r="H18">
        <f>Aware4!$G18/100</f>
        <v>0.3</v>
      </c>
      <c r="I18" s="5">
        <f>Aware5!$K17/100</f>
        <v>0</v>
      </c>
      <c r="J18">
        <f>Aware5!$G18/100</f>
        <v>0.98</v>
      </c>
      <c r="K18" s="5">
        <f>Learn1!$K17/100</f>
        <v>0</v>
      </c>
      <c r="L18">
        <f>Learn1!$G18/100</f>
        <v>1</v>
      </c>
      <c r="M18" s="5">
        <f>Learn2!$K17/100</f>
        <v>0</v>
      </c>
      <c r="N18">
        <f>Learn2!$G18/100</f>
        <v>1</v>
      </c>
      <c r="O18" s="5">
        <f>Learn3!$K17/100</f>
        <v>0.01</v>
      </c>
      <c r="P18">
        <f>Learn3!$G18/100</f>
        <v>0.16</v>
      </c>
      <c r="Q18" s="5">
        <f>Learn4!$K17/100</f>
        <v>0</v>
      </c>
      <c r="R18">
        <f>Learn4!$G18/100</f>
        <v>0.94</v>
      </c>
      <c r="S18" s="5">
        <f>Learn5!$K17/100</f>
        <v>0.02</v>
      </c>
      <c r="T18">
        <f>Learn5!$G18/100</f>
        <v>0.16</v>
      </c>
      <c r="U18" s="5">
        <f>Rich1!$K17/100</f>
        <v>0.02</v>
      </c>
      <c r="V18">
        <f>Rich1!$G18/100</f>
        <v>0.53</v>
      </c>
      <c r="W18" s="5">
        <f>Rich2!$K17/100</f>
        <v>0.01</v>
      </c>
      <c r="X18">
        <f>Rich2!$G18/100</f>
        <v>0.7</v>
      </c>
      <c r="Y18" s="5">
        <f>Rich3!$K17/100</f>
        <v>0.04</v>
      </c>
      <c r="Z18">
        <f>Rich3!$G18/100</f>
        <v>0.43</v>
      </c>
      <c r="AA18" s="5">
        <f>Rich4!$K17/100</f>
        <v>0.01</v>
      </c>
      <c r="AB18">
        <f>Rich4!$G18/100</f>
        <v>0.64</v>
      </c>
      <c r="AC18" s="5">
        <f>Rich5!$K17/100</f>
        <v>0.02</v>
      </c>
      <c r="AD18">
        <f>Rich5!$G18/100</f>
        <v>0.43</v>
      </c>
      <c r="AE18" s="5">
        <f>Baserun1!$K17/100</f>
        <v>0.01</v>
      </c>
      <c r="AF18">
        <f>Baserun1!$G18/100</f>
        <v>0.56000000000000005</v>
      </c>
      <c r="AG18" s="5">
        <f>Baserun2!$K17/100</f>
        <v>0.01</v>
      </c>
      <c r="AH18">
        <f>Baserun2!$G18/100</f>
        <v>0.44</v>
      </c>
      <c r="AI18" s="5">
        <f>Baserun3!$K17/100</f>
        <v>0.02</v>
      </c>
      <c r="AJ18">
        <f>Baserun3!$G18/100</f>
        <v>0.34</v>
      </c>
      <c r="AK18" s="5">
        <f>Baserun4!$K17/100</f>
        <v>0.01</v>
      </c>
      <c r="AL18">
        <f>Baserun4!$G18/100</f>
        <v>0.45</v>
      </c>
      <c r="AM18" s="5">
        <f>Baserun5!$K17/100</f>
        <v>0</v>
      </c>
      <c r="AN18">
        <f>Baserun5!$G18/100</f>
        <v>0.96</v>
      </c>
      <c r="AO18" s="6">
        <f t="shared" si="0"/>
        <v>0.03</v>
      </c>
      <c r="AP18">
        <f t="shared" si="1"/>
        <v>0.27</v>
      </c>
      <c r="AQ18" s="6">
        <f t="shared" si="2"/>
        <v>0</v>
      </c>
      <c r="AR18">
        <f t="shared" si="3"/>
        <v>1</v>
      </c>
      <c r="AS18" s="6">
        <f t="shared" si="4"/>
        <v>0.02</v>
      </c>
      <c r="AT18">
        <f t="shared" si="5"/>
        <v>0.53</v>
      </c>
      <c r="AU18" s="6">
        <f t="shared" si="6"/>
        <v>0.01</v>
      </c>
      <c r="AV18">
        <f t="shared" si="7"/>
        <v>0.56000000000000005</v>
      </c>
    </row>
    <row r="19" spans="1:48" x14ac:dyDescent="0.25">
      <c r="A19" s="5">
        <f>Aware1!$K18/100</f>
        <v>0.01</v>
      </c>
      <c r="B19">
        <f>Aware1!$G19/100</f>
        <v>0.55000000000000004</v>
      </c>
      <c r="C19" s="5">
        <f>Aware2!$K18/100</f>
        <v>0.04</v>
      </c>
      <c r="D19">
        <f>Aware2!$G19/100</f>
        <v>0.23</v>
      </c>
      <c r="E19" s="5">
        <f>Aware3!$K18/100</f>
        <v>0.03</v>
      </c>
      <c r="F19">
        <f>Aware3!$G19/100</f>
        <v>0.35</v>
      </c>
      <c r="G19" s="5">
        <f>Aware4!$K18/100</f>
        <v>0.02</v>
      </c>
      <c r="H19">
        <f>Aware4!$G19/100</f>
        <v>0.25</v>
      </c>
      <c r="I19" s="5">
        <f>Aware5!$K18/100</f>
        <v>0</v>
      </c>
      <c r="J19">
        <f>Aware5!$G19/100</f>
        <v>1</v>
      </c>
      <c r="K19" s="5">
        <f>Learn1!$K18/100</f>
        <v>0</v>
      </c>
      <c r="L19">
        <f>Learn1!$G19/100</f>
        <v>1</v>
      </c>
      <c r="M19" s="5">
        <f>Learn2!$K18/100</f>
        <v>0</v>
      </c>
      <c r="N19">
        <f>Learn2!$G19/100</f>
        <v>1</v>
      </c>
      <c r="O19" s="5">
        <f>Learn3!$K18/100</f>
        <v>0.02</v>
      </c>
      <c r="P19">
        <f>Learn3!$G19/100</f>
        <v>0.02</v>
      </c>
      <c r="Q19" s="5">
        <f>Learn4!$K18/100</f>
        <v>0</v>
      </c>
      <c r="R19">
        <f>Learn4!$G19/100</f>
        <v>0.99</v>
      </c>
      <c r="S19" s="5">
        <f>Learn5!$K18/100</f>
        <v>0</v>
      </c>
      <c r="T19">
        <f>Learn5!$G19/100</f>
        <v>0.95</v>
      </c>
      <c r="U19" s="5">
        <f>Rich1!$K18/100</f>
        <v>0.03</v>
      </c>
      <c r="V19">
        <f>Rich1!$G19/100</f>
        <v>0.46</v>
      </c>
      <c r="W19" s="5">
        <f>Rich2!$K18/100</f>
        <v>0.04</v>
      </c>
      <c r="X19">
        <f>Rich2!$G19/100</f>
        <v>0.44</v>
      </c>
      <c r="Y19" s="5">
        <f>Rich3!$K18/100</f>
        <v>0.01</v>
      </c>
      <c r="Z19">
        <f>Rich3!$G19/100</f>
        <v>0.64</v>
      </c>
      <c r="AA19" s="5">
        <f>Rich4!$K18/100</f>
        <v>0.01</v>
      </c>
      <c r="AB19">
        <f>Rich4!$G19/100</f>
        <v>0.65</v>
      </c>
      <c r="AC19" s="5">
        <f>Rich5!$K18/100</f>
        <v>0.03</v>
      </c>
      <c r="AD19">
        <f>Rich5!$G19/100</f>
        <v>0.49</v>
      </c>
      <c r="AE19" s="5">
        <f>Baserun1!$K18/100</f>
        <v>0.05</v>
      </c>
      <c r="AF19">
        <f>Baserun1!$G19/100</f>
        <v>0.33</v>
      </c>
      <c r="AG19" s="5">
        <f>Baserun2!$K18/100</f>
        <v>0</v>
      </c>
      <c r="AH19">
        <f>Baserun2!$G19/100</f>
        <v>0.99</v>
      </c>
      <c r="AI19" s="5">
        <f>Baserun3!$K18/100</f>
        <v>0.02</v>
      </c>
      <c r="AJ19">
        <f>Baserun3!$G19/100</f>
        <v>0.31</v>
      </c>
      <c r="AK19" s="5">
        <f>Baserun4!$K18/100</f>
        <v>0.05</v>
      </c>
      <c r="AL19">
        <f>Baserun4!$G19/100</f>
        <v>0.34</v>
      </c>
      <c r="AM19" s="5">
        <f>Baserun5!$K18/100</f>
        <v>0.02</v>
      </c>
      <c r="AN19">
        <f>Baserun5!$G19/100</f>
        <v>0.3</v>
      </c>
      <c r="AO19" s="6">
        <f t="shared" si="0"/>
        <v>0.01</v>
      </c>
      <c r="AP19">
        <f t="shared" si="1"/>
        <v>0.55000000000000004</v>
      </c>
      <c r="AQ19" s="6">
        <f t="shared" si="2"/>
        <v>0</v>
      </c>
      <c r="AR19">
        <f t="shared" si="3"/>
        <v>1</v>
      </c>
      <c r="AS19" s="6">
        <f t="shared" si="4"/>
        <v>0.03</v>
      </c>
      <c r="AT19">
        <f t="shared" si="5"/>
        <v>0.46</v>
      </c>
      <c r="AU19" s="6">
        <f t="shared" si="6"/>
        <v>0.05</v>
      </c>
      <c r="AV19">
        <f t="shared" si="7"/>
        <v>0.33</v>
      </c>
    </row>
    <row r="20" spans="1:48" x14ac:dyDescent="0.25">
      <c r="A20" s="5">
        <f>Aware1!$K19/100</f>
        <v>0.01</v>
      </c>
      <c r="B20">
        <f>Aware1!$G20/100</f>
        <v>0.56999999999999995</v>
      </c>
      <c r="C20" s="5">
        <f>Aware2!$K19/100</f>
        <v>0.06</v>
      </c>
      <c r="D20">
        <f>Aware2!$G20/100</f>
        <v>0.2</v>
      </c>
      <c r="E20" s="5">
        <f>Aware3!$K19/100</f>
        <v>0.01</v>
      </c>
      <c r="F20">
        <f>Aware3!$G20/100</f>
        <v>0.45</v>
      </c>
      <c r="G20" s="5">
        <f>Aware4!$K19/100</f>
        <v>0.01</v>
      </c>
      <c r="H20">
        <f>Aware4!$G20/100</f>
        <v>0.52</v>
      </c>
      <c r="I20" s="5">
        <f>Aware5!$K19/100</f>
        <v>0</v>
      </c>
      <c r="J20">
        <f>Aware5!$G20/100</f>
        <v>1</v>
      </c>
      <c r="K20" s="5">
        <f>Learn1!$K19/100</f>
        <v>0</v>
      </c>
      <c r="L20">
        <f>Learn1!$G20/100</f>
        <v>1</v>
      </c>
      <c r="M20" s="5">
        <f>Learn2!$K19/100</f>
        <v>0</v>
      </c>
      <c r="N20">
        <f>Learn2!$G20/100</f>
        <v>1</v>
      </c>
      <c r="O20" s="5">
        <f>Learn3!$K19/100</f>
        <v>0.03</v>
      </c>
      <c r="P20">
        <f>Learn3!$G20/100</f>
        <v>0.13</v>
      </c>
      <c r="Q20" s="5">
        <f>Learn4!$K19/100</f>
        <v>0.02</v>
      </c>
      <c r="R20">
        <f>Learn4!$G20/100</f>
        <v>0.11</v>
      </c>
      <c r="S20" s="5">
        <f>Learn5!$K19/100</f>
        <v>0</v>
      </c>
      <c r="T20">
        <f>Learn5!$G20/100</f>
        <v>0.98</v>
      </c>
      <c r="U20" s="5">
        <f>Rich1!$K19/100</f>
        <v>0.02</v>
      </c>
      <c r="V20">
        <f>Rich1!$G20/100</f>
        <v>0.49</v>
      </c>
      <c r="W20" s="5">
        <f>Rich2!$K19/100</f>
        <v>0.01</v>
      </c>
      <c r="X20">
        <f>Rich2!$G20/100</f>
        <v>0.72</v>
      </c>
      <c r="Y20" s="5">
        <f>Rich3!$K19/100</f>
        <v>0.02</v>
      </c>
      <c r="Z20">
        <f>Rich3!$G20/100</f>
        <v>0.53</v>
      </c>
      <c r="AA20" s="5">
        <f>Rich4!$K19/100</f>
        <v>0</v>
      </c>
      <c r="AB20">
        <f>Rich4!$G20/100</f>
        <v>0.97</v>
      </c>
      <c r="AC20" s="5">
        <f>Rich5!$K19/100</f>
        <v>0</v>
      </c>
      <c r="AD20">
        <f>Rich5!$G20/100</f>
        <v>0.93</v>
      </c>
      <c r="AE20" s="5">
        <f>Baserun1!$K19/100</f>
        <v>0.05</v>
      </c>
      <c r="AF20">
        <f>Baserun1!$G20/100</f>
        <v>0.35</v>
      </c>
      <c r="AG20" s="5">
        <f>Baserun2!$K19/100</f>
        <v>0</v>
      </c>
      <c r="AH20">
        <f>Baserun2!$G20/100</f>
        <v>0.99</v>
      </c>
      <c r="AI20" s="5">
        <f>Baserun3!$K19/100</f>
        <v>0.01</v>
      </c>
      <c r="AJ20">
        <f>Baserun3!$G20/100</f>
        <v>0.52</v>
      </c>
      <c r="AK20" s="5">
        <f>Baserun4!$K19/100</f>
        <v>0.04</v>
      </c>
      <c r="AL20">
        <f>Baserun4!$G20/100</f>
        <v>0.41</v>
      </c>
      <c r="AM20" s="5">
        <f>Baserun5!$K19/100</f>
        <v>0</v>
      </c>
      <c r="AN20">
        <f>Baserun5!$G20/100</f>
        <v>0.98</v>
      </c>
      <c r="AO20" s="6">
        <f t="shared" si="0"/>
        <v>0.01</v>
      </c>
      <c r="AP20">
        <f t="shared" si="1"/>
        <v>0.56999999999999995</v>
      </c>
      <c r="AQ20" s="6">
        <f t="shared" si="2"/>
        <v>0</v>
      </c>
      <c r="AR20">
        <f t="shared" si="3"/>
        <v>1</v>
      </c>
      <c r="AS20" s="6">
        <f t="shared" si="4"/>
        <v>0.02</v>
      </c>
      <c r="AT20">
        <f t="shared" si="5"/>
        <v>0.49</v>
      </c>
      <c r="AU20" s="6">
        <f t="shared" si="6"/>
        <v>0.05</v>
      </c>
      <c r="AV20">
        <f t="shared" si="7"/>
        <v>0.35</v>
      </c>
    </row>
    <row r="21" spans="1:48" x14ac:dyDescent="0.25">
      <c r="A21" s="5">
        <f>Aware1!$K20/100</f>
        <v>0.01</v>
      </c>
      <c r="B21">
        <f>Aware1!$G21/100</f>
        <v>0.6</v>
      </c>
      <c r="C21" s="5">
        <f>Aware2!$K20/100</f>
        <v>0.01</v>
      </c>
      <c r="D21">
        <f>Aware2!$G21/100</f>
        <v>0.5</v>
      </c>
      <c r="E21" s="5">
        <f>Aware3!$K20/100</f>
        <v>0.04</v>
      </c>
      <c r="F21">
        <f>Aware3!$G21/100</f>
        <v>0.2</v>
      </c>
      <c r="G21" s="5">
        <f>Aware4!$K20/100</f>
        <v>0.02</v>
      </c>
      <c r="H21">
        <f>Aware4!$G21/100</f>
        <v>0.28000000000000003</v>
      </c>
      <c r="I21" s="5">
        <f>Aware5!$K20/100</f>
        <v>0</v>
      </c>
      <c r="J21">
        <f>Aware5!$G21/100</f>
        <v>1</v>
      </c>
      <c r="K21" s="5">
        <f>Learn1!$K20/100</f>
        <v>0</v>
      </c>
      <c r="L21">
        <f>Learn1!$G21/100</f>
        <v>1</v>
      </c>
      <c r="M21" s="5">
        <f>Learn2!$K20/100</f>
        <v>0.03</v>
      </c>
      <c r="N21">
        <f>Learn2!$G21/100</f>
        <v>0.2</v>
      </c>
      <c r="O21" s="5">
        <f>Learn3!$K20/100</f>
        <v>0.02</v>
      </c>
      <c r="P21">
        <f>Learn3!$G21/100</f>
        <v>0.01</v>
      </c>
      <c r="Q21" s="5">
        <f>Learn4!$K20/100</f>
        <v>0.02</v>
      </c>
      <c r="R21">
        <f>Learn4!$G21/100</f>
        <v>0.1</v>
      </c>
      <c r="S21" s="5">
        <f>Learn5!$K20/100</f>
        <v>0</v>
      </c>
      <c r="T21">
        <f>Learn5!$G21/100</f>
        <v>0.98</v>
      </c>
      <c r="U21" s="5">
        <f>Rich1!$K20/100</f>
        <v>0</v>
      </c>
      <c r="V21">
        <f>Rich1!$G21/100</f>
        <v>0.91</v>
      </c>
      <c r="W21" s="5">
        <f>Rich2!$K20/100</f>
        <v>0</v>
      </c>
      <c r="X21">
        <f>Rich2!$G21/100</f>
        <v>0.97</v>
      </c>
      <c r="Y21" s="5">
        <f>Rich3!$K20/100</f>
        <v>0</v>
      </c>
      <c r="Z21">
        <f>Rich3!$G21/100</f>
        <v>0.96</v>
      </c>
      <c r="AA21" s="5">
        <f>Rich4!$K20/100</f>
        <v>0.01</v>
      </c>
      <c r="AB21">
        <f>Rich4!$G21/100</f>
        <v>0.64</v>
      </c>
      <c r="AC21" s="5">
        <f>Rich5!$K20/100</f>
        <v>0.01</v>
      </c>
      <c r="AD21">
        <f>Rich5!$G21/100</f>
        <v>0.67</v>
      </c>
      <c r="AE21" s="5">
        <f>Baserun1!$K20/100</f>
        <v>0.03</v>
      </c>
      <c r="AF21">
        <f>Baserun1!$G21/100</f>
        <v>0.34</v>
      </c>
      <c r="AG21" s="5">
        <f>Baserun2!$K20/100</f>
        <v>0.01</v>
      </c>
      <c r="AH21">
        <f>Baserun2!$G21/100</f>
        <v>0.48</v>
      </c>
      <c r="AI21" s="5">
        <f>Baserun3!$K20/100</f>
        <v>0.01</v>
      </c>
      <c r="AJ21">
        <f>Baserun3!$G21/100</f>
        <v>0.55000000000000004</v>
      </c>
      <c r="AK21" s="5">
        <f>Baserun4!$K20/100</f>
        <v>0</v>
      </c>
      <c r="AL21">
        <f>Baserun4!$G21/100</f>
        <v>0.94</v>
      </c>
      <c r="AM21" s="5">
        <f>Baserun5!$K20/100</f>
        <v>0.01</v>
      </c>
      <c r="AN21">
        <f>Baserun5!$G21/100</f>
        <v>0.46</v>
      </c>
      <c r="AO21" s="6">
        <f t="shared" si="0"/>
        <v>0.01</v>
      </c>
      <c r="AP21">
        <f t="shared" si="1"/>
        <v>0.6</v>
      </c>
      <c r="AQ21" s="6">
        <f t="shared" si="2"/>
        <v>0</v>
      </c>
      <c r="AR21">
        <f t="shared" si="3"/>
        <v>1</v>
      </c>
      <c r="AS21" s="6">
        <f t="shared" si="4"/>
        <v>0</v>
      </c>
      <c r="AT21">
        <f t="shared" si="5"/>
        <v>0.91</v>
      </c>
      <c r="AU21" s="6">
        <f t="shared" si="6"/>
        <v>0.03</v>
      </c>
      <c r="AV21">
        <f t="shared" si="7"/>
        <v>0.34</v>
      </c>
    </row>
    <row r="22" spans="1:48" x14ac:dyDescent="0.25">
      <c r="A22" s="5">
        <f>Aware1!$K21/100</f>
        <v>0</v>
      </c>
      <c r="B22">
        <f>Aware1!$G22/100</f>
        <v>0.99</v>
      </c>
      <c r="C22" s="5">
        <f>Aware2!$K21/100</f>
        <v>0.02</v>
      </c>
      <c r="D22">
        <f>Aware2!$G22/100</f>
        <v>0.27</v>
      </c>
      <c r="E22" s="5">
        <f>Aware3!$K21/100</f>
        <v>0.1</v>
      </c>
      <c r="F22">
        <f>Aware3!$G22/100</f>
        <v>0.17</v>
      </c>
      <c r="G22" s="5">
        <f>Aware4!$K21/100</f>
        <v>0.01</v>
      </c>
      <c r="H22">
        <f>Aware4!$G22/100</f>
        <v>0.55000000000000004</v>
      </c>
      <c r="I22" s="5">
        <f>Aware5!$K21/100</f>
        <v>0.01</v>
      </c>
      <c r="J22">
        <f>Aware5!$G22/100</f>
        <v>0.62</v>
      </c>
      <c r="K22" s="5">
        <f>Learn1!$K21/100</f>
        <v>0.02</v>
      </c>
      <c r="L22">
        <f>Learn1!$G22/100</f>
        <v>0.18</v>
      </c>
      <c r="M22" s="5">
        <f>Learn2!$K21/100</f>
        <v>0.01</v>
      </c>
      <c r="N22">
        <f>Learn2!$G22/100</f>
        <v>0.3</v>
      </c>
      <c r="O22" s="5">
        <f>Learn3!$K21/100</f>
        <v>0.01</v>
      </c>
      <c r="P22">
        <f>Learn3!$G22/100</f>
        <v>0.15</v>
      </c>
      <c r="Q22" s="5">
        <f>Learn4!$K21/100</f>
        <v>0.04</v>
      </c>
      <c r="R22">
        <f>Learn4!$G22/100</f>
        <v>0.14000000000000001</v>
      </c>
      <c r="S22" s="5">
        <f>Learn5!$K21/100</f>
        <v>0</v>
      </c>
      <c r="T22">
        <f>Learn5!$G22/100</f>
        <v>0.98</v>
      </c>
      <c r="U22" s="5">
        <f>Rich1!$K21/100</f>
        <v>0.04</v>
      </c>
      <c r="V22">
        <f>Rich1!$G22/100</f>
        <v>0.52</v>
      </c>
      <c r="W22" s="5">
        <f>Rich2!$K21/100</f>
        <v>0.03</v>
      </c>
      <c r="X22">
        <f>Rich2!$G22/100</f>
        <v>0.5</v>
      </c>
      <c r="Y22" s="5">
        <f>Rich3!$K21/100</f>
        <v>0.01</v>
      </c>
      <c r="Z22">
        <f>Rich3!$G22/100</f>
        <v>0.65</v>
      </c>
      <c r="AA22" s="5">
        <f>Rich4!$K21/100</f>
        <v>0.01</v>
      </c>
      <c r="AB22">
        <f>Rich4!$G22/100</f>
        <v>0.64</v>
      </c>
      <c r="AC22" s="5">
        <f>Rich5!$K21/100</f>
        <v>0.02</v>
      </c>
      <c r="AD22">
        <f>Rich5!$G22/100</f>
        <v>0.44</v>
      </c>
      <c r="AE22" s="5">
        <f>Baserun1!$K21/100</f>
        <v>0.01</v>
      </c>
      <c r="AF22">
        <f>Baserun1!$G22/100</f>
        <v>0.51</v>
      </c>
      <c r="AG22" s="5">
        <f>Baserun2!$K21/100</f>
        <v>0</v>
      </c>
      <c r="AH22">
        <f>Baserun2!$G22/100</f>
        <v>0.99</v>
      </c>
      <c r="AI22" s="5">
        <f>Baserun3!$K21/100</f>
        <v>0</v>
      </c>
      <c r="AJ22">
        <f>Baserun3!$G22/100</f>
        <v>0.99</v>
      </c>
      <c r="AK22" s="5">
        <f>Baserun4!$K21/100</f>
        <v>0.01</v>
      </c>
      <c r="AL22">
        <f>Baserun4!$G22/100</f>
        <v>0.53</v>
      </c>
      <c r="AM22" s="5">
        <f>Baserun5!$K21/100</f>
        <v>0</v>
      </c>
      <c r="AN22">
        <f>Baserun5!$G22/100</f>
        <v>0.99</v>
      </c>
      <c r="AO22" s="6">
        <f t="shared" si="0"/>
        <v>0</v>
      </c>
      <c r="AP22">
        <f t="shared" si="1"/>
        <v>0.99</v>
      </c>
      <c r="AQ22" s="6">
        <f t="shared" si="2"/>
        <v>0.02</v>
      </c>
      <c r="AR22">
        <f t="shared" si="3"/>
        <v>0.18</v>
      </c>
      <c r="AS22" s="6">
        <f t="shared" si="4"/>
        <v>0.04</v>
      </c>
      <c r="AT22">
        <f t="shared" si="5"/>
        <v>0.52</v>
      </c>
      <c r="AU22" s="6">
        <f t="shared" si="6"/>
        <v>0.01</v>
      </c>
      <c r="AV22">
        <f t="shared" si="7"/>
        <v>0.51</v>
      </c>
    </row>
    <row r="23" spans="1:48" x14ac:dyDescent="0.25">
      <c r="A23" s="5">
        <f>Aware1!$K22/100</f>
        <v>0</v>
      </c>
      <c r="B23">
        <f>Aware1!$G23/100</f>
        <v>1</v>
      </c>
      <c r="C23" s="5">
        <f>Aware2!$K22/100</f>
        <v>0</v>
      </c>
      <c r="D23">
        <f>Aware2!$G23/100</f>
        <v>0.99</v>
      </c>
      <c r="E23" s="5">
        <f>Aware3!$K22/100</f>
        <v>0.01</v>
      </c>
      <c r="F23">
        <f>Aware3!$G23/100</f>
        <v>0.44</v>
      </c>
      <c r="G23" s="5">
        <f>Aware4!$K22/100</f>
        <v>0</v>
      </c>
      <c r="H23">
        <f>Aware4!$G23/100</f>
        <v>0.97</v>
      </c>
      <c r="I23" s="5">
        <f>Aware5!$K22/100</f>
        <v>0</v>
      </c>
      <c r="J23">
        <f>Aware5!$G23/100</f>
        <v>0.99</v>
      </c>
      <c r="K23" s="5">
        <f>Learn1!$K22/100</f>
        <v>0.01</v>
      </c>
      <c r="L23">
        <f>Learn1!$G23/100</f>
        <v>0.23</v>
      </c>
      <c r="M23" s="5">
        <f>Learn2!$K22/100</f>
        <v>0</v>
      </c>
      <c r="N23">
        <f>Learn2!$G23/100</f>
        <v>0.99</v>
      </c>
      <c r="O23" s="5">
        <f>Learn3!$K22/100</f>
        <v>0</v>
      </c>
      <c r="P23">
        <f>Learn3!$G23/100</f>
        <v>0.97</v>
      </c>
      <c r="Q23" s="5">
        <f>Learn4!$K22/100</f>
        <v>0.03</v>
      </c>
      <c r="R23">
        <f>Learn4!$G23/100</f>
        <v>0.19</v>
      </c>
      <c r="S23" s="5">
        <f>Learn5!$K22/100</f>
        <v>0.01</v>
      </c>
      <c r="T23">
        <f>Learn5!$G23/100</f>
        <v>0.26</v>
      </c>
      <c r="U23" s="5">
        <f>Rich1!$K22/100</f>
        <v>0</v>
      </c>
      <c r="V23">
        <f>Rich1!$G23/100</f>
        <v>0.98</v>
      </c>
      <c r="W23" s="5">
        <f>Rich2!$K22/100</f>
        <v>0</v>
      </c>
      <c r="X23">
        <f>Rich2!$G23/100</f>
        <v>0.96</v>
      </c>
      <c r="Y23" s="5">
        <f>Rich3!$K22/100</f>
        <v>0.02</v>
      </c>
      <c r="Z23">
        <f>Rich3!$G23/100</f>
        <v>0.52</v>
      </c>
      <c r="AA23" s="5">
        <f>Rich4!$K22/100</f>
        <v>0.01</v>
      </c>
      <c r="AB23">
        <f>Rich4!$G23/100</f>
        <v>0.64</v>
      </c>
      <c r="AC23" s="5">
        <f>Rich5!$K22/100</f>
        <v>0</v>
      </c>
      <c r="AD23">
        <f>Rich5!$G23/100</f>
        <v>0.96</v>
      </c>
      <c r="AE23" s="5">
        <f>Baserun1!$K22/100</f>
        <v>0</v>
      </c>
      <c r="AF23">
        <f>Baserun1!$G23/100</f>
        <v>0.98</v>
      </c>
      <c r="AG23" s="5">
        <f>Baserun2!$K22/100</f>
        <v>0</v>
      </c>
      <c r="AH23">
        <f>Baserun2!$G23/100</f>
        <v>0.99</v>
      </c>
      <c r="AI23" s="5">
        <f>Baserun3!$K22/100</f>
        <v>0.01</v>
      </c>
      <c r="AJ23">
        <f>Baserun3!$G23/100</f>
        <v>0.59</v>
      </c>
      <c r="AK23" s="5">
        <f>Baserun4!$K22/100</f>
        <v>0</v>
      </c>
      <c r="AL23">
        <f>Baserun4!$G23/100</f>
        <v>0.99</v>
      </c>
      <c r="AM23" s="5">
        <f>Baserun5!$K22/100</f>
        <v>0</v>
      </c>
      <c r="AN23">
        <f>Baserun5!$G23/100</f>
        <v>0.98</v>
      </c>
      <c r="AO23" s="6">
        <f t="shared" si="0"/>
        <v>0</v>
      </c>
      <c r="AP23">
        <f t="shared" si="1"/>
        <v>1</v>
      </c>
      <c r="AQ23" s="6">
        <f t="shared" si="2"/>
        <v>0.01</v>
      </c>
      <c r="AR23">
        <f t="shared" si="3"/>
        <v>0.23</v>
      </c>
      <c r="AS23" s="6">
        <f t="shared" si="4"/>
        <v>0</v>
      </c>
      <c r="AT23">
        <f t="shared" si="5"/>
        <v>0.98</v>
      </c>
      <c r="AU23" s="6">
        <f t="shared" si="6"/>
        <v>0</v>
      </c>
      <c r="AV23">
        <f t="shared" si="7"/>
        <v>0.98</v>
      </c>
    </row>
    <row r="24" spans="1:48" x14ac:dyDescent="0.25">
      <c r="A24" s="5">
        <f>Aware1!$K23/100</f>
        <v>0</v>
      </c>
      <c r="B24">
        <f>Aware1!$G24/100</f>
        <v>1</v>
      </c>
      <c r="C24" s="5">
        <f>Aware2!$K23/100</f>
        <v>0</v>
      </c>
      <c r="D24">
        <f>Aware2!$G24/100</f>
        <v>0.99</v>
      </c>
      <c r="E24" s="5">
        <f>Aware3!$K23/100</f>
        <v>0</v>
      </c>
      <c r="F24">
        <f>Aware3!$G24/100</f>
        <v>0.96</v>
      </c>
      <c r="G24" s="5">
        <f>Aware4!$K23/100</f>
        <v>0</v>
      </c>
      <c r="H24">
        <f>Aware4!$G24/100</f>
        <v>1</v>
      </c>
      <c r="I24" s="5">
        <f>Aware5!$K23/100</f>
        <v>0</v>
      </c>
      <c r="J24">
        <f>Aware5!$G24/100</f>
        <v>0.99</v>
      </c>
      <c r="K24" s="5">
        <f>Learn1!$K23/100</f>
        <v>0</v>
      </c>
      <c r="L24">
        <f>Learn1!$G24/100</f>
        <v>0.99</v>
      </c>
      <c r="M24" s="5">
        <f>Learn2!$K23/100</f>
        <v>0.02</v>
      </c>
      <c r="N24">
        <f>Learn2!$G24/100</f>
        <v>0.13</v>
      </c>
      <c r="O24" s="5">
        <f>Learn3!$K23/100</f>
        <v>0</v>
      </c>
      <c r="P24">
        <f>Learn3!$G24/100</f>
        <v>0.98</v>
      </c>
      <c r="Q24" s="5">
        <f>Learn4!$K23/100</f>
        <v>0</v>
      </c>
      <c r="R24">
        <f>Learn4!$G24/100</f>
        <v>0.95</v>
      </c>
      <c r="S24" s="5">
        <f>Learn5!$K23/100</f>
        <v>0</v>
      </c>
      <c r="T24">
        <f>Learn5!$G24/100</f>
        <v>0.97</v>
      </c>
      <c r="U24" s="5">
        <f>Rich1!$K23/100</f>
        <v>0</v>
      </c>
      <c r="V24">
        <f>Rich1!$G24/100</f>
        <v>0.95</v>
      </c>
      <c r="W24" s="5">
        <f>Rich2!$K23/100</f>
        <v>0.01</v>
      </c>
      <c r="X24">
        <f>Rich2!$G24/100</f>
        <v>0.72</v>
      </c>
      <c r="Y24" s="5">
        <f>Rich3!$K23/100</f>
        <v>0.01</v>
      </c>
      <c r="Z24">
        <f>Rich3!$G24/100</f>
        <v>0.69</v>
      </c>
      <c r="AA24" s="5">
        <f>Rich4!$K23/100</f>
        <v>0.02</v>
      </c>
      <c r="AB24">
        <f>Rich4!$G24/100</f>
        <v>0.49</v>
      </c>
      <c r="AC24" s="5">
        <f>Rich5!$K23/100</f>
        <v>0.02</v>
      </c>
      <c r="AD24">
        <f>Rich5!$G24/100</f>
        <v>0.43</v>
      </c>
      <c r="AE24" s="5">
        <f>Baserun1!$K23/100</f>
        <v>0</v>
      </c>
      <c r="AF24">
        <f>Baserun1!$G24/100</f>
        <v>1</v>
      </c>
      <c r="AI24" s="5">
        <f>Baserun3!$K23/100</f>
        <v>0.01</v>
      </c>
      <c r="AJ24">
        <f>Baserun3!$G24/100</f>
        <v>0.62</v>
      </c>
      <c r="AK24" s="5">
        <f>Baserun4!$K23/100</f>
        <v>0</v>
      </c>
      <c r="AL24">
        <f>Baserun4!$G24/100</f>
        <v>0.98</v>
      </c>
      <c r="AM24" s="5">
        <f>Baserun5!$K23/100</f>
        <v>0.03</v>
      </c>
      <c r="AN24">
        <f>Baserun5!$G24/100</f>
        <v>0.4</v>
      </c>
      <c r="AO24" s="6">
        <f t="shared" si="0"/>
        <v>0</v>
      </c>
      <c r="AP24">
        <f t="shared" si="1"/>
        <v>1</v>
      </c>
      <c r="AQ24" s="6">
        <f t="shared" si="2"/>
        <v>0</v>
      </c>
      <c r="AR24">
        <f t="shared" si="3"/>
        <v>0.99</v>
      </c>
      <c r="AS24" s="6">
        <f t="shared" si="4"/>
        <v>0</v>
      </c>
      <c r="AT24">
        <f t="shared" si="5"/>
        <v>0.95</v>
      </c>
      <c r="AU24" s="6">
        <f t="shared" si="6"/>
        <v>0</v>
      </c>
      <c r="AV24">
        <f t="shared" si="7"/>
        <v>1</v>
      </c>
    </row>
    <row r="25" spans="1:48" x14ac:dyDescent="0.25">
      <c r="A25" s="5">
        <f>Aware1!$K24/100</f>
        <v>0</v>
      </c>
      <c r="B25">
        <f>Aware1!$G25/100</f>
        <v>1</v>
      </c>
      <c r="C25" s="5">
        <f>Aware2!$K24/100</f>
        <v>0.01</v>
      </c>
      <c r="D25">
        <f>Aware2!$G25/100</f>
        <v>0.6</v>
      </c>
      <c r="E25" s="5">
        <f>Aware3!$K24/100</f>
        <v>0</v>
      </c>
      <c r="F25">
        <f>Aware3!$G25/100</f>
        <v>1</v>
      </c>
      <c r="G25" s="5">
        <f>Aware4!$K24/100</f>
        <v>0</v>
      </c>
      <c r="H25">
        <f>Aware4!$G25/100</f>
        <v>1</v>
      </c>
      <c r="I25" s="5">
        <f>Aware5!$K24/100</f>
        <v>0.01</v>
      </c>
      <c r="J25">
        <f>Aware5!$G25/100</f>
        <v>0.61</v>
      </c>
      <c r="K25" s="5">
        <f>Learn1!$K24/100</f>
        <v>0.01</v>
      </c>
      <c r="L25">
        <f>Learn1!$G25/100</f>
        <v>0.22</v>
      </c>
      <c r="M25" s="5">
        <f>Learn2!$K24/100</f>
        <v>0</v>
      </c>
      <c r="N25">
        <f>Learn2!$G25/100</f>
        <v>0.98</v>
      </c>
      <c r="O25" s="5">
        <f>Learn3!$K24/100</f>
        <v>0</v>
      </c>
      <c r="P25">
        <f>Learn3!$G25/100</f>
        <v>0.98</v>
      </c>
      <c r="Q25" s="5">
        <f>Learn4!$K24/100</f>
        <v>0</v>
      </c>
      <c r="R25">
        <f>Learn4!$G25/100</f>
        <v>0.98</v>
      </c>
      <c r="S25" s="5">
        <f>Learn5!$K24/100</f>
        <v>0.01</v>
      </c>
      <c r="T25">
        <f>Learn5!$G25/100</f>
        <v>0.26</v>
      </c>
      <c r="U25" s="5"/>
      <c r="W25" s="5">
        <f>Rich2!$K24/100</f>
        <v>0.01</v>
      </c>
      <c r="X25">
        <f>Rich2!$G25/100</f>
        <v>0.76</v>
      </c>
      <c r="Y25" s="5">
        <f>Rich3!$K24/100</f>
        <v>0.01</v>
      </c>
      <c r="Z25">
        <f>Rich3!$G25/100</f>
        <v>0.71</v>
      </c>
      <c r="AA25" s="5">
        <f>Rich4!$K24/100</f>
        <v>0.01</v>
      </c>
      <c r="AB25">
        <f>Rich4!$G25/100</f>
        <v>0.7</v>
      </c>
      <c r="AC25" s="5">
        <f>Rich5!$K24/100</f>
        <v>0.01</v>
      </c>
      <c r="AD25">
        <f>Rich5!$G25/100</f>
        <v>0.65</v>
      </c>
      <c r="AI25" s="5">
        <f>Baserun3!$K24/100</f>
        <v>0</v>
      </c>
      <c r="AJ25">
        <f>Baserun3!$G25/100</f>
        <v>0.99</v>
      </c>
      <c r="AK25" s="5">
        <f>Baserun4!$K24/100</f>
        <v>0.02</v>
      </c>
      <c r="AL25">
        <f>Baserun4!$G25/100</f>
        <v>0.35</v>
      </c>
      <c r="AM25" s="5">
        <f>Baserun5!$K24/100</f>
        <v>0</v>
      </c>
      <c r="AN25">
        <f>Baserun5!$G25/100</f>
        <v>0.96</v>
      </c>
      <c r="AO25" s="6">
        <f t="shared" si="0"/>
        <v>0</v>
      </c>
      <c r="AP25">
        <f t="shared" si="1"/>
        <v>1</v>
      </c>
      <c r="AQ25" s="6">
        <f t="shared" si="2"/>
        <v>0.01</v>
      </c>
      <c r="AR25">
        <f t="shared" si="3"/>
        <v>0.22</v>
      </c>
      <c r="AS25" s="6">
        <f>W3</f>
        <v>0</v>
      </c>
      <c r="AT25">
        <f>X3</f>
        <v>0.98</v>
      </c>
      <c r="AU25" s="6">
        <f>AG3</f>
        <v>0</v>
      </c>
      <c r="AV25">
        <f>AH3</f>
        <v>1</v>
      </c>
    </row>
    <row r="26" spans="1:48" x14ac:dyDescent="0.25">
      <c r="A26" s="5">
        <f>Aware1!$K25/100</f>
        <v>0</v>
      </c>
      <c r="B26">
        <f>Aware1!$G26/100</f>
        <v>1</v>
      </c>
      <c r="C26" s="5">
        <f>Aware2!$K25/100</f>
        <v>0</v>
      </c>
      <c r="D26">
        <f>Aware2!$G26/100</f>
        <v>1</v>
      </c>
      <c r="E26" s="5">
        <f>Aware3!$K25/100</f>
        <v>0</v>
      </c>
      <c r="F26">
        <f>Aware3!$G26/100</f>
        <v>1</v>
      </c>
      <c r="G26" s="5">
        <f>Aware4!$K25/100</f>
        <v>0</v>
      </c>
      <c r="H26">
        <f>Aware4!$G26/100</f>
        <v>1</v>
      </c>
      <c r="I26" s="5">
        <f>Aware5!$K25/100</f>
        <v>0.01</v>
      </c>
      <c r="J26">
        <f>Aware5!$G26/100</f>
        <v>0.62</v>
      </c>
      <c r="K26" s="5">
        <f>Learn1!$K25/100</f>
        <v>0</v>
      </c>
      <c r="L26">
        <f>Learn1!$G26/100</f>
        <v>0.99</v>
      </c>
      <c r="M26" s="5">
        <f>Learn2!$K25/100</f>
        <v>0</v>
      </c>
      <c r="N26">
        <f>Learn2!$G26/100</f>
        <v>1</v>
      </c>
      <c r="O26" s="5">
        <f>Learn3!$K25/100</f>
        <v>0</v>
      </c>
      <c r="P26">
        <f>Learn3!$G26/100</f>
        <v>0.98</v>
      </c>
      <c r="Q26" s="5">
        <f>Learn4!$K25/100</f>
        <v>0</v>
      </c>
      <c r="R26">
        <f>Learn4!$G26/100</f>
        <v>0.98</v>
      </c>
      <c r="S26" s="5">
        <f>Learn5!$K25/100</f>
        <v>0.02</v>
      </c>
      <c r="T26">
        <f>Learn5!$G26/100</f>
        <v>0.2</v>
      </c>
      <c r="U26" s="5"/>
      <c r="W26" s="5">
        <f>Rich2!$K25/100</f>
        <v>0</v>
      </c>
      <c r="X26">
        <f>Rich2!$G26/100</f>
        <v>0.95</v>
      </c>
      <c r="Y26" s="5">
        <f>Rich3!$K25/100</f>
        <v>0</v>
      </c>
      <c r="Z26">
        <f>Rich3!$G26/100</f>
        <v>0.94</v>
      </c>
      <c r="AA26" s="5">
        <f>Rich4!$K25/100</f>
        <v>0.01</v>
      </c>
      <c r="AB26">
        <f>Rich4!$G26/100</f>
        <v>0.63</v>
      </c>
      <c r="AC26" s="5">
        <f>Rich5!$K25/100</f>
        <v>0</v>
      </c>
      <c r="AD26">
        <f>Rich5!$G26/100</f>
        <v>0.95</v>
      </c>
      <c r="AI26" s="5">
        <f>Baserun3!$K25/100</f>
        <v>0.02</v>
      </c>
      <c r="AJ26">
        <f>Baserun3!$G26/100</f>
        <v>0.4</v>
      </c>
      <c r="AK26" s="5">
        <f>Baserun4!$K25/100</f>
        <v>0</v>
      </c>
      <c r="AL26">
        <f>Baserun4!$G26/100</f>
        <v>0.98</v>
      </c>
      <c r="AM26" s="5">
        <f>Baserun5!$K25/100</f>
        <v>0.01</v>
      </c>
      <c r="AN26">
        <f>Baserun5!$G26/100</f>
        <v>0.48</v>
      </c>
      <c r="AO26" s="6">
        <f t="shared" si="0"/>
        <v>0</v>
      </c>
      <c r="AP26">
        <f t="shared" si="1"/>
        <v>1</v>
      </c>
      <c r="AQ26" s="6">
        <f t="shared" si="2"/>
        <v>0</v>
      </c>
      <c r="AR26">
        <f t="shared" si="3"/>
        <v>0.99</v>
      </c>
      <c r="AS26" s="6">
        <f t="shared" ref="AS26:AT26" si="8">W4</f>
        <v>0</v>
      </c>
      <c r="AT26">
        <f t="shared" si="8"/>
        <v>0.97</v>
      </c>
      <c r="AU26" s="6">
        <f t="shared" ref="AU26:AV26" si="9">AG4</f>
        <v>0</v>
      </c>
      <c r="AV26">
        <f t="shared" si="9"/>
        <v>1</v>
      </c>
    </row>
    <row r="27" spans="1:48" x14ac:dyDescent="0.25">
      <c r="A27" s="5">
        <f>Aware1!$K26/100</f>
        <v>0.01</v>
      </c>
      <c r="B27">
        <f>Aware1!$G27/100</f>
        <v>0.6</v>
      </c>
      <c r="C27" s="5">
        <f>Aware2!$K26/100</f>
        <v>0.02</v>
      </c>
      <c r="D27">
        <f>Aware2!$G27/100</f>
        <v>0.26</v>
      </c>
      <c r="E27" s="5">
        <f>Aware3!$K26/100</f>
        <v>0</v>
      </c>
      <c r="F27">
        <f>Aware3!$G27/100</f>
        <v>0.99</v>
      </c>
      <c r="G27" s="5">
        <f>Aware4!$K26/100</f>
        <v>0</v>
      </c>
      <c r="H27">
        <f>Aware4!$G27/100</f>
        <v>1</v>
      </c>
      <c r="I27" s="5">
        <f>Aware5!$K26/100</f>
        <v>0</v>
      </c>
      <c r="J27">
        <f>Aware5!$G27/100</f>
        <v>0.98</v>
      </c>
      <c r="K27" s="5">
        <f>Learn1!$K26/100</f>
        <v>0</v>
      </c>
      <c r="L27">
        <f>Learn1!$G27/100</f>
        <v>0.99</v>
      </c>
      <c r="M27" s="5">
        <f>Learn2!$K26/100</f>
        <v>0.02</v>
      </c>
      <c r="N27">
        <f>Learn2!$G27/100</f>
        <v>0.1</v>
      </c>
      <c r="O27" s="5">
        <f>Learn3!$K26/100</f>
        <v>0.01</v>
      </c>
      <c r="P27">
        <f>Learn3!$G27/100</f>
        <v>0.17</v>
      </c>
      <c r="Q27" s="5">
        <f>Learn4!$K26/100</f>
        <v>0</v>
      </c>
      <c r="R27">
        <f>Learn4!$G27/100</f>
        <v>0.98</v>
      </c>
      <c r="S27" s="5">
        <f>Learn5!$K26/100</f>
        <v>0</v>
      </c>
      <c r="T27">
        <f>Learn5!$G27/100</f>
        <v>0.97</v>
      </c>
      <c r="U27" s="5"/>
      <c r="W27" s="5">
        <f>Rich2!$K26/100</f>
        <v>0.02</v>
      </c>
      <c r="X27">
        <f>Rich2!$G27/100</f>
        <v>0.53</v>
      </c>
      <c r="Y27" s="5">
        <f>Rich3!$K26/100</f>
        <v>0.01</v>
      </c>
      <c r="Z27">
        <f>Rich3!$G27/100</f>
        <v>0.66</v>
      </c>
      <c r="AA27" s="5">
        <f>Rich4!$K26/100</f>
        <v>0</v>
      </c>
      <c r="AB27">
        <f>Rich4!$G27/100</f>
        <v>0.95</v>
      </c>
      <c r="AC27" s="5">
        <f>Rich5!$K26/100</f>
        <v>0.01</v>
      </c>
      <c r="AD27">
        <f>Rich5!$G27/100</f>
        <v>0.66</v>
      </c>
      <c r="AI27" s="5">
        <f>Baserun3!$K26/100</f>
        <v>0</v>
      </c>
      <c r="AJ27">
        <f>Baserun3!$G27/100</f>
        <v>0.99</v>
      </c>
      <c r="AK27" s="5">
        <f>Baserun4!$K26/100</f>
        <v>0.01</v>
      </c>
      <c r="AL27">
        <f>Baserun4!$G27/100</f>
        <v>0.53</v>
      </c>
      <c r="AM27" s="5">
        <f>Baserun5!$K26/100</f>
        <v>0.04</v>
      </c>
      <c r="AN27">
        <f>Baserun5!$G27/100</f>
        <v>0.4</v>
      </c>
      <c r="AO27" s="6">
        <f t="shared" si="0"/>
        <v>0.01</v>
      </c>
      <c r="AP27">
        <f t="shared" si="1"/>
        <v>0.6</v>
      </c>
      <c r="AQ27" s="6">
        <f t="shared" si="2"/>
        <v>0</v>
      </c>
      <c r="AR27">
        <f t="shared" si="3"/>
        <v>0.99</v>
      </c>
      <c r="AS27" s="6">
        <f t="shared" ref="AS27:AT27" si="10">W5</f>
        <v>0</v>
      </c>
      <c r="AT27">
        <f t="shared" si="10"/>
        <v>0.97</v>
      </c>
      <c r="AU27" s="6">
        <f t="shared" ref="AU27:AV27" si="11">AG5</f>
        <v>0</v>
      </c>
      <c r="AV27">
        <f t="shared" si="11"/>
        <v>0.99</v>
      </c>
    </row>
    <row r="28" spans="1:48" x14ac:dyDescent="0.25">
      <c r="A28" s="5">
        <f>Aware1!$K27/100</f>
        <v>0</v>
      </c>
      <c r="B28">
        <f>Aware1!$G28/100</f>
        <v>0.99</v>
      </c>
      <c r="C28" s="5">
        <f>Aware2!$K27/100</f>
        <v>0.04</v>
      </c>
      <c r="D28">
        <f>Aware2!$G28/100</f>
        <v>0.3</v>
      </c>
      <c r="E28" s="5">
        <f>Aware3!$K27/100</f>
        <v>0.03</v>
      </c>
      <c r="F28">
        <f>Aware3!$G28/100</f>
        <v>0.34</v>
      </c>
      <c r="G28" s="5">
        <f>Aware4!$K27/100</f>
        <v>0.02</v>
      </c>
      <c r="H28">
        <f>Aware4!$G28/100</f>
        <v>0.31</v>
      </c>
      <c r="I28" s="5">
        <f>Aware5!$K27/100</f>
        <v>0</v>
      </c>
      <c r="J28">
        <f>Aware5!$G28/100</f>
        <v>0.99</v>
      </c>
      <c r="K28" s="5">
        <f>Learn1!$K27/100</f>
        <v>0.04</v>
      </c>
      <c r="L28">
        <f>Learn1!$G28/100</f>
        <v>0.16</v>
      </c>
      <c r="M28" s="5">
        <f>Learn2!$K27/100</f>
        <v>0</v>
      </c>
      <c r="N28">
        <f>Learn2!$G28/100</f>
        <v>0.98</v>
      </c>
      <c r="O28" s="5">
        <f>Learn3!$K27/100</f>
        <v>0</v>
      </c>
      <c r="P28">
        <f>Learn3!$G28/100</f>
        <v>0.98</v>
      </c>
      <c r="Q28" s="5">
        <f>Learn4!$K27/100</f>
        <v>0.04</v>
      </c>
      <c r="R28">
        <f>Learn4!$G28/100</f>
        <v>0.15</v>
      </c>
      <c r="S28" s="5">
        <f>Learn5!$K27/100</f>
        <v>0.02</v>
      </c>
      <c r="T28">
        <f>Learn5!$G28/100</f>
        <v>0.19</v>
      </c>
      <c r="U28" s="5"/>
      <c r="W28" s="5">
        <f>Rich2!$K27/100</f>
        <v>0</v>
      </c>
      <c r="X28">
        <f>Rich2!$G28/100</f>
        <v>0.96</v>
      </c>
      <c r="Y28" s="5">
        <f>Rich3!$K27/100</f>
        <v>0.03</v>
      </c>
      <c r="Z28">
        <f>Rich3!$G28/100</f>
        <v>0.5</v>
      </c>
      <c r="AA28" s="5">
        <f>Rich4!$K27/100</f>
        <v>0.02</v>
      </c>
      <c r="AB28">
        <f>Rich4!$G28/100</f>
        <v>0.48</v>
      </c>
      <c r="AC28" s="5">
        <f>Rich5!$K27/100</f>
        <v>0</v>
      </c>
      <c r="AD28">
        <f>Rich5!$G28/100</f>
        <v>0.97</v>
      </c>
      <c r="AI28" s="5">
        <f>Baserun3!$K27/100</f>
        <v>0</v>
      </c>
      <c r="AJ28">
        <f>Baserun3!$G28/100</f>
        <v>1</v>
      </c>
      <c r="AK28" s="5">
        <f>Baserun4!$K27/100</f>
        <v>0.02</v>
      </c>
      <c r="AL28">
        <f>Baserun4!$G28/100</f>
        <v>0.38</v>
      </c>
      <c r="AM28" s="5">
        <f>Baserun5!$K27/100</f>
        <v>0</v>
      </c>
      <c r="AN28">
        <f>Baserun5!$G28/100</f>
        <v>0.96</v>
      </c>
      <c r="AO28" s="6">
        <f t="shared" si="0"/>
        <v>0</v>
      </c>
      <c r="AP28">
        <f t="shared" si="1"/>
        <v>0.99</v>
      </c>
      <c r="AQ28" s="6">
        <f t="shared" si="2"/>
        <v>0.04</v>
      </c>
      <c r="AR28">
        <f t="shared" si="3"/>
        <v>0.16</v>
      </c>
      <c r="AS28" s="6">
        <f t="shared" ref="AS28:AT28" si="12">W6</f>
        <v>0.02</v>
      </c>
      <c r="AT28">
        <f t="shared" si="12"/>
        <v>0.54</v>
      </c>
      <c r="AU28" s="6">
        <f t="shared" ref="AU28:AV28" si="13">AG6</f>
        <v>0.02</v>
      </c>
      <c r="AV28">
        <f t="shared" si="13"/>
        <v>0.37</v>
      </c>
    </row>
    <row r="29" spans="1:48" x14ac:dyDescent="0.25">
      <c r="A29" s="5">
        <f>Aware1!$K28/100</f>
        <v>0</v>
      </c>
      <c r="B29">
        <f>Aware1!$G29/100</f>
        <v>1</v>
      </c>
      <c r="C29" s="5">
        <f>Aware2!$K28/100</f>
        <v>0.01</v>
      </c>
      <c r="D29">
        <f>Aware2!$G29/100</f>
        <v>0.59</v>
      </c>
      <c r="E29" s="5">
        <f>Aware3!$K28/100</f>
        <v>0</v>
      </c>
      <c r="F29">
        <f>Aware3!$G29/100</f>
        <v>0.96</v>
      </c>
      <c r="G29" s="5">
        <f>Aware4!$K28/100</f>
        <v>0.01</v>
      </c>
      <c r="H29">
        <f>Aware4!$G29/100</f>
        <v>0.57999999999999996</v>
      </c>
      <c r="I29" s="5"/>
      <c r="K29" s="5">
        <f>Learn1!$K28/100</f>
        <v>0</v>
      </c>
      <c r="L29">
        <f>Learn1!$G29/100</f>
        <v>0.95</v>
      </c>
      <c r="M29" s="5">
        <f>Learn2!$K28/100</f>
        <v>0</v>
      </c>
      <c r="N29">
        <f>Learn2!$G29/100</f>
        <v>1</v>
      </c>
      <c r="O29" s="5">
        <f>Learn3!$K28/100</f>
        <v>0</v>
      </c>
      <c r="P29">
        <f>Learn3!$G29/100</f>
        <v>0.99</v>
      </c>
      <c r="Q29" s="5">
        <f>Learn4!$K28/100</f>
        <v>0.02</v>
      </c>
      <c r="R29">
        <f>Learn4!$G29/100</f>
        <v>0.14000000000000001</v>
      </c>
      <c r="S29" s="5">
        <f>Learn5!$K28/100</f>
        <v>0</v>
      </c>
      <c r="T29">
        <f>Learn5!$G29/100</f>
        <v>0.96</v>
      </c>
      <c r="U29" s="5"/>
      <c r="W29" s="5">
        <f>Rich2!$K28/100</f>
        <v>0</v>
      </c>
      <c r="X29">
        <f>Rich2!$G29/100</f>
        <v>0.95</v>
      </c>
      <c r="Y29" s="5">
        <f>Rich3!$K28/100</f>
        <v>0.01</v>
      </c>
      <c r="Z29">
        <f>Rich3!$G29/100</f>
        <v>0.67</v>
      </c>
      <c r="AA29" s="5">
        <f>Rich4!$K28/100</f>
        <v>0.03</v>
      </c>
      <c r="AB29">
        <f>Rich4!$G29/100</f>
        <v>0.44</v>
      </c>
      <c r="AC29" s="5">
        <f>Rich5!$K28/100</f>
        <v>0.01</v>
      </c>
      <c r="AD29">
        <f>Rich5!$G29/100</f>
        <v>0.67</v>
      </c>
      <c r="AI29" s="5">
        <f>Baserun3!$K28/100</f>
        <v>0.01</v>
      </c>
      <c r="AJ29">
        <f>Baserun3!$G29/100</f>
        <v>0.56000000000000005</v>
      </c>
      <c r="AK29" s="5">
        <f>Baserun4!$K28/100</f>
        <v>0</v>
      </c>
      <c r="AL29">
        <f>Baserun4!$G29/100</f>
        <v>0.99</v>
      </c>
      <c r="AM29" s="5">
        <f>Baserun5!$K28/100</f>
        <v>0.04</v>
      </c>
      <c r="AN29">
        <f>Baserun5!$G29/100</f>
        <v>0.35</v>
      </c>
      <c r="AO29" s="6">
        <f t="shared" si="0"/>
        <v>0</v>
      </c>
      <c r="AP29">
        <f t="shared" si="1"/>
        <v>1</v>
      </c>
      <c r="AQ29" s="6">
        <f t="shared" si="2"/>
        <v>0</v>
      </c>
      <c r="AR29">
        <f t="shared" si="3"/>
        <v>0.95</v>
      </c>
      <c r="AS29" s="6">
        <f t="shared" ref="AS29:AT29" si="14">W7</f>
        <v>0.01</v>
      </c>
      <c r="AT29">
        <f t="shared" si="14"/>
        <v>0.79</v>
      </c>
      <c r="AU29" s="6">
        <f t="shared" ref="AU29:AV29" si="15">AG7</f>
        <v>0.04</v>
      </c>
      <c r="AV29">
        <f t="shared" si="15"/>
        <v>0.36</v>
      </c>
    </row>
    <row r="30" spans="1:48" x14ac:dyDescent="0.25">
      <c r="A30" s="5">
        <f>Aware1!$K29/100</f>
        <v>0</v>
      </c>
      <c r="B30">
        <f>Aware1!$G30/100</f>
        <v>1</v>
      </c>
      <c r="C30" s="5">
        <f>Aware2!$K29/100</f>
        <v>0.02</v>
      </c>
      <c r="D30">
        <f>Aware2!$G30/100</f>
        <v>0.28000000000000003</v>
      </c>
      <c r="E30" s="5">
        <f>Aware3!$K29/100</f>
        <v>0.02</v>
      </c>
      <c r="F30">
        <f>Aware3!$G30/100</f>
        <v>0.28999999999999998</v>
      </c>
      <c r="G30" s="5">
        <f>Aware4!$K29/100</f>
        <v>0.02</v>
      </c>
      <c r="H30">
        <f>Aware4!$G30/100</f>
        <v>0.32</v>
      </c>
      <c r="I30" s="5"/>
      <c r="K30" s="5">
        <f>Learn1!$K29/100</f>
        <v>0</v>
      </c>
      <c r="L30">
        <f>Learn1!$G30/100</f>
        <v>0.99</v>
      </c>
      <c r="M30" s="5">
        <f>Learn2!$K29/100</f>
        <v>0.01</v>
      </c>
      <c r="N30">
        <f>Learn2!$G30/100</f>
        <v>0.32</v>
      </c>
      <c r="O30" s="5">
        <f>Learn3!$K29/100</f>
        <v>0</v>
      </c>
      <c r="P30">
        <f>Learn3!$G30/100</f>
        <v>0.98</v>
      </c>
      <c r="Q30" s="5">
        <f>Learn4!$K29/100</f>
        <v>0.01</v>
      </c>
      <c r="R30">
        <f>Learn4!$G30/100</f>
        <v>0.2</v>
      </c>
      <c r="S30" s="5">
        <f>Learn5!$K29/100</f>
        <v>0</v>
      </c>
      <c r="T30">
        <f>Learn5!$G30/100</f>
        <v>0.98</v>
      </c>
      <c r="U30" s="5"/>
      <c r="W30" s="5"/>
      <c r="Y30" s="5">
        <f>Rich3!$K29/100</f>
        <v>0.01</v>
      </c>
      <c r="Z30">
        <f>Rich3!$G30/100</f>
        <v>0.72</v>
      </c>
      <c r="AA30" s="5">
        <f>Rich4!$K29/100</f>
        <v>0.02</v>
      </c>
      <c r="AB30">
        <f>Rich4!$G30/100</f>
        <v>0.49</v>
      </c>
      <c r="AC30" s="5">
        <f>Rich5!$K29/100</f>
        <v>0.01</v>
      </c>
      <c r="AD30">
        <f>Rich5!$G30/100</f>
        <v>0.67</v>
      </c>
      <c r="AI30" s="5">
        <f>Baserun3!$K29/100</f>
        <v>0.01</v>
      </c>
      <c r="AJ30">
        <f>Baserun3!$G30/100</f>
        <v>0.55000000000000004</v>
      </c>
      <c r="AK30" s="5">
        <f>Baserun4!$K29/100</f>
        <v>0.01</v>
      </c>
      <c r="AL30">
        <f>Baserun4!$G30/100</f>
        <v>0.53</v>
      </c>
      <c r="AM30" s="5">
        <f>Baserun5!$K29/100</f>
        <v>0</v>
      </c>
      <c r="AN30">
        <f>Baserun5!$G30/100</f>
        <v>0.97</v>
      </c>
      <c r="AO30" s="6">
        <f t="shared" si="0"/>
        <v>0</v>
      </c>
      <c r="AP30">
        <f t="shared" si="1"/>
        <v>1</v>
      </c>
      <c r="AQ30" s="6">
        <f t="shared" si="2"/>
        <v>0</v>
      </c>
      <c r="AR30">
        <f t="shared" si="3"/>
        <v>0.99</v>
      </c>
      <c r="AS30" s="6">
        <f t="shared" ref="AS30:AT30" si="16">W8</f>
        <v>0.02</v>
      </c>
      <c r="AT30">
        <f t="shared" si="16"/>
        <v>0.51</v>
      </c>
      <c r="AU30" s="6">
        <f t="shared" ref="AU30:AV30" si="17">AG8</f>
        <v>0.09</v>
      </c>
      <c r="AV30">
        <f t="shared" si="17"/>
        <v>0.28000000000000003</v>
      </c>
    </row>
    <row r="31" spans="1:48" x14ac:dyDescent="0.25">
      <c r="A31" s="5">
        <f>Aware1!$K30/100</f>
        <v>0</v>
      </c>
      <c r="B31">
        <f>Aware1!$G31/100</f>
        <v>1</v>
      </c>
      <c r="C31" s="5">
        <f>Aware2!$K30/100</f>
        <v>0</v>
      </c>
      <c r="D31">
        <f>Aware2!$G31/100</f>
        <v>0.98</v>
      </c>
      <c r="E31" s="5">
        <f>Aware3!$K30/100</f>
        <v>0.04</v>
      </c>
      <c r="F31">
        <f>Aware3!$G31/100</f>
        <v>0.24</v>
      </c>
      <c r="G31" s="5">
        <f>Aware4!$K30/100</f>
        <v>0.02</v>
      </c>
      <c r="H31">
        <f>Aware4!$G31/100</f>
        <v>0.33</v>
      </c>
      <c r="I31" s="5"/>
      <c r="K31" s="5">
        <f>Learn1!$K30/100</f>
        <v>0.02</v>
      </c>
      <c r="L31">
        <f>Learn1!$G31/100</f>
        <v>0.17</v>
      </c>
      <c r="M31" s="5">
        <f>Learn2!$K30/100</f>
        <v>0</v>
      </c>
      <c r="N31">
        <f>Learn2!$G31/100</f>
        <v>1</v>
      </c>
      <c r="O31" s="5">
        <f>Learn3!$K30/100</f>
        <v>0</v>
      </c>
      <c r="P31">
        <f>Learn3!$G31/100</f>
        <v>0.98</v>
      </c>
      <c r="Q31" s="5">
        <f>Learn4!$K30/100</f>
        <v>0.05</v>
      </c>
      <c r="R31">
        <f>Learn4!$G31/100</f>
        <v>0.08</v>
      </c>
      <c r="S31" s="5">
        <f>Learn5!$K30/100</f>
        <v>0.02</v>
      </c>
      <c r="T31">
        <f>Learn5!$G31/100</f>
        <v>0.19</v>
      </c>
      <c r="U31" s="5"/>
      <c r="W31" s="5"/>
      <c r="Y31" s="5">
        <f>Rich3!$K30/100</f>
        <v>0.01</v>
      </c>
      <c r="Z31">
        <f>Rich3!$G31/100</f>
        <v>0.7</v>
      </c>
      <c r="AA31" s="5">
        <f>Rich4!$K30/100</f>
        <v>0.05</v>
      </c>
      <c r="AB31">
        <f>Rich4!$G31/100</f>
        <v>0.47</v>
      </c>
      <c r="AC31" s="5">
        <f>Rich5!$K30/100</f>
        <v>0</v>
      </c>
      <c r="AD31">
        <f>Rich5!$G31/100</f>
        <v>0.95</v>
      </c>
      <c r="AI31" s="5">
        <f>Baserun3!$K30/100</f>
        <v>0.04</v>
      </c>
      <c r="AJ31">
        <f>Baserun3!$G31/100</f>
        <v>0.46</v>
      </c>
      <c r="AK31" s="5">
        <f>Baserun4!$K30/100</f>
        <v>0</v>
      </c>
      <c r="AL31">
        <f>Baserun4!$G31/100</f>
        <v>0.99</v>
      </c>
      <c r="AM31" s="5">
        <f>Baserun5!$K30/100</f>
        <v>0</v>
      </c>
      <c r="AN31">
        <f>Baserun5!$G31/100</f>
        <v>0.98</v>
      </c>
      <c r="AO31" s="6">
        <f t="shared" si="0"/>
        <v>0</v>
      </c>
      <c r="AP31">
        <f t="shared" si="1"/>
        <v>1</v>
      </c>
      <c r="AQ31" s="6">
        <f t="shared" si="2"/>
        <v>0.02</v>
      </c>
      <c r="AR31">
        <f t="shared" si="3"/>
        <v>0.17</v>
      </c>
      <c r="AS31" s="6">
        <f t="shared" ref="AS31:AT31" si="18">W9</f>
        <v>0.04</v>
      </c>
      <c r="AT31">
        <f t="shared" si="18"/>
        <v>0.49</v>
      </c>
      <c r="AU31" s="6">
        <f t="shared" ref="AU31:AV31" si="19">AG9</f>
        <v>0.1</v>
      </c>
      <c r="AV31">
        <f t="shared" si="19"/>
        <v>0.14000000000000001</v>
      </c>
    </row>
    <row r="32" spans="1:48" x14ac:dyDescent="0.25">
      <c r="A32" s="5">
        <f>Aware1!$K31/100</f>
        <v>0</v>
      </c>
      <c r="B32">
        <f>Aware1!$G32/100</f>
        <v>1</v>
      </c>
      <c r="C32" s="5">
        <f>Aware2!$K31/100</f>
        <v>0</v>
      </c>
      <c r="D32">
        <f>Aware2!$G32/100</f>
        <v>1</v>
      </c>
      <c r="E32" s="5">
        <f>Aware3!$K31/100</f>
        <v>0.02</v>
      </c>
      <c r="F32">
        <f>Aware3!$G32/100</f>
        <v>0.28000000000000003</v>
      </c>
      <c r="G32" s="5">
        <f>Aware4!$K31/100</f>
        <v>0</v>
      </c>
      <c r="H32">
        <f>Aware4!$G32/100</f>
        <v>0.97</v>
      </c>
      <c r="I32" s="5"/>
      <c r="K32" s="5">
        <f>Learn1!$K31/100</f>
        <v>0</v>
      </c>
      <c r="L32">
        <f>Learn1!$G32/100</f>
        <v>0.98</v>
      </c>
      <c r="M32" s="5">
        <f>Learn2!$K31/100</f>
        <v>0.01</v>
      </c>
      <c r="N32">
        <f>Learn2!$G32/100</f>
        <v>0.32</v>
      </c>
      <c r="O32" s="5">
        <f>Learn3!$K31/100</f>
        <v>0.01</v>
      </c>
      <c r="P32">
        <f>Learn3!$G32/100</f>
        <v>0.18</v>
      </c>
      <c r="Q32" s="5">
        <f>Learn4!$K31/100</f>
        <v>0</v>
      </c>
      <c r="R32">
        <f>Learn4!$G32/100</f>
        <v>0.94</v>
      </c>
      <c r="S32" s="5">
        <f>Learn5!$K31/100</f>
        <v>0</v>
      </c>
      <c r="T32">
        <f>Learn5!$G32/100</f>
        <v>0.97</v>
      </c>
      <c r="U32" s="5"/>
      <c r="W32" s="5"/>
      <c r="Y32" s="5">
        <f>Rich3!$K31/100</f>
        <v>0.01</v>
      </c>
      <c r="Z32">
        <f>Rich3!$G32/100</f>
        <v>0.66</v>
      </c>
      <c r="AA32" s="5">
        <f>Rich4!$K31/100</f>
        <v>0</v>
      </c>
      <c r="AB32">
        <f>Rich4!$G32/100</f>
        <v>0.94</v>
      </c>
      <c r="AC32" s="5">
        <f>Rich5!$K31/100</f>
        <v>0.01</v>
      </c>
      <c r="AD32">
        <f>Rich5!$G32/100</f>
        <v>0.68</v>
      </c>
      <c r="AI32" s="5">
        <f>Baserun3!$K31/100</f>
        <v>0.03</v>
      </c>
      <c r="AJ32">
        <f>Baserun3!$G32/100</f>
        <v>0.4</v>
      </c>
      <c r="AK32" s="5">
        <f>Baserun4!$K31/100</f>
        <v>0</v>
      </c>
      <c r="AL32">
        <f>Baserun4!$G32/100</f>
        <v>1</v>
      </c>
      <c r="AM32" s="5">
        <f>Baserun5!$K31/100</f>
        <v>0.02</v>
      </c>
      <c r="AN32">
        <f>Baserun5!$G32/100</f>
        <v>0.31</v>
      </c>
      <c r="AO32" s="6">
        <f t="shared" si="0"/>
        <v>0</v>
      </c>
      <c r="AP32">
        <f t="shared" si="1"/>
        <v>1</v>
      </c>
      <c r="AQ32" s="6">
        <f t="shared" si="2"/>
        <v>0</v>
      </c>
      <c r="AR32">
        <f t="shared" si="3"/>
        <v>0.98</v>
      </c>
      <c r="AS32" s="6">
        <f t="shared" ref="AS32:AT32" si="20">W10</f>
        <v>0.05</v>
      </c>
      <c r="AT32">
        <f t="shared" si="20"/>
        <v>0.51</v>
      </c>
      <c r="AU32" s="6">
        <f t="shared" ref="AU32:AV32" si="21">AG10</f>
        <v>0.06</v>
      </c>
      <c r="AV32">
        <f t="shared" si="21"/>
        <v>0.26</v>
      </c>
    </row>
    <row r="33" spans="1:48" x14ac:dyDescent="0.25">
      <c r="A33" s="5">
        <f>Aware1!$K32/100</f>
        <v>0.01</v>
      </c>
      <c r="B33">
        <f>Aware1!$G33/100</f>
        <v>0.62</v>
      </c>
      <c r="C33" s="5">
        <f>Aware2!$K32/100</f>
        <v>0</v>
      </c>
      <c r="D33">
        <f>Aware2!$G33/100</f>
        <v>1</v>
      </c>
      <c r="E33" s="5">
        <f>Aware3!$K32/100</f>
        <v>0.05</v>
      </c>
      <c r="F33">
        <f>Aware3!$G33/100</f>
        <v>0.2</v>
      </c>
      <c r="G33" s="5">
        <f>Aware4!$K32/100</f>
        <v>0.01</v>
      </c>
      <c r="H33">
        <f>Aware4!$G33/100</f>
        <v>0.6</v>
      </c>
      <c r="I33" s="5"/>
      <c r="K33" s="5">
        <f>Learn1!$K32/100</f>
        <v>0</v>
      </c>
      <c r="L33">
        <f>Learn1!$G33/100</f>
        <v>1</v>
      </c>
      <c r="M33" s="5">
        <f>Learn2!$K32/100</f>
        <v>0.02</v>
      </c>
      <c r="N33">
        <f>Learn2!$G33/100</f>
        <v>0.13</v>
      </c>
      <c r="O33" s="5">
        <f>Learn3!$K32/100</f>
        <v>0.02</v>
      </c>
      <c r="P33">
        <f>Learn3!$G33/100</f>
        <v>0.05</v>
      </c>
      <c r="Q33" s="5">
        <f>Learn4!$K32/100</f>
        <v>0</v>
      </c>
      <c r="R33">
        <f>Learn4!$G33/100</f>
        <v>0.98</v>
      </c>
      <c r="S33" s="5">
        <f>Learn5!$K32/100</f>
        <v>0.02</v>
      </c>
      <c r="T33">
        <f>Learn5!$G33/100</f>
        <v>0.2</v>
      </c>
      <c r="U33" s="5"/>
      <c r="W33" s="5"/>
      <c r="Y33" s="5">
        <f>Rich3!$K32/100</f>
        <v>0</v>
      </c>
      <c r="Z33">
        <f>Rich3!$G33/100</f>
        <v>0.95</v>
      </c>
      <c r="AA33" s="5">
        <f>Rich4!$K32/100</f>
        <v>0</v>
      </c>
      <c r="AB33">
        <f>Rich4!$G33/100</f>
        <v>0.94</v>
      </c>
      <c r="AC33" s="5">
        <f>Rich5!$K32/100</f>
        <v>0</v>
      </c>
      <c r="AD33">
        <f>Rich5!$G33/100</f>
        <v>0.98</v>
      </c>
      <c r="AI33" s="5">
        <f>Baserun3!$K32/100</f>
        <v>0</v>
      </c>
      <c r="AJ33">
        <f>Baserun3!$G33/100</f>
        <v>0.97</v>
      </c>
      <c r="AK33" s="5">
        <f>Baserun4!$K32/100</f>
        <v>0.01</v>
      </c>
      <c r="AL33">
        <f>Baserun4!$G33/100</f>
        <v>0.52</v>
      </c>
      <c r="AM33" s="5">
        <f>Baserun5!$K32/100</f>
        <v>0</v>
      </c>
      <c r="AN33">
        <f>Baserun5!$G33/100</f>
        <v>0.98</v>
      </c>
      <c r="AO33" s="6">
        <f t="shared" si="0"/>
        <v>0.01</v>
      </c>
      <c r="AP33">
        <f t="shared" si="1"/>
        <v>0.62</v>
      </c>
      <c r="AQ33" s="6">
        <f t="shared" si="2"/>
        <v>0</v>
      </c>
      <c r="AR33">
        <f t="shared" si="3"/>
        <v>1</v>
      </c>
      <c r="AS33" s="6">
        <f t="shared" ref="AS33:AT33" si="22">W11</f>
        <v>7.0000000000000007E-2</v>
      </c>
      <c r="AT33">
        <f t="shared" si="22"/>
        <v>0.35</v>
      </c>
      <c r="AU33" s="6">
        <f t="shared" ref="AU33:AV33" si="23">AG11</f>
        <v>0.05</v>
      </c>
      <c r="AV33">
        <f t="shared" si="23"/>
        <v>0.18</v>
      </c>
    </row>
    <row r="34" spans="1:48" x14ac:dyDescent="0.25">
      <c r="A34" s="5">
        <f>Aware1!$K33/100</f>
        <v>0</v>
      </c>
      <c r="B34">
        <f>Aware1!$G34/100</f>
        <v>0.99</v>
      </c>
      <c r="C34" s="5">
        <f>Aware2!$K33/100</f>
        <v>0</v>
      </c>
      <c r="D34">
        <f>Aware2!$G34/100</f>
        <v>0.98</v>
      </c>
      <c r="E34" s="5">
        <f>Aware3!$K33/100</f>
        <v>0.01</v>
      </c>
      <c r="F34">
        <f>Aware3!$G34/100</f>
        <v>0.52</v>
      </c>
      <c r="G34" s="5">
        <f>Aware4!$K33/100</f>
        <v>0</v>
      </c>
      <c r="H34">
        <f>Aware4!$G34/100</f>
        <v>1</v>
      </c>
      <c r="I34" s="5"/>
      <c r="K34" s="5">
        <f>Learn1!$K33/100</f>
        <v>0.05</v>
      </c>
      <c r="L34">
        <f>Learn1!$G34/100</f>
        <v>0.18</v>
      </c>
      <c r="M34" s="5">
        <f>Learn2!$K33/100</f>
        <v>0</v>
      </c>
      <c r="N34">
        <f>Learn2!$G34/100</f>
        <v>0.98</v>
      </c>
      <c r="O34" s="5">
        <f>Learn3!$K33/100</f>
        <v>0</v>
      </c>
      <c r="P34">
        <f>Learn3!$G34/100</f>
        <v>0.97</v>
      </c>
      <c r="Q34" s="5">
        <f>Learn4!$K33/100</f>
        <v>0</v>
      </c>
      <c r="R34">
        <f>Learn4!$G34/100</f>
        <v>0.98</v>
      </c>
      <c r="S34" s="5">
        <f>Learn5!$K33/100</f>
        <v>0.05</v>
      </c>
      <c r="T34">
        <f>Learn5!$G34/100</f>
        <v>0.18</v>
      </c>
      <c r="U34" s="5"/>
      <c r="W34" s="5"/>
      <c r="Y34" s="5">
        <f>Rich3!$K33/100</f>
        <v>0</v>
      </c>
      <c r="Z34">
        <f>Rich3!$G34/100</f>
        <v>0.95</v>
      </c>
      <c r="AA34" s="5">
        <f>Rich4!$K33/100</f>
        <v>0.01</v>
      </c>
      <c r="AB34">
        <f>Rich4!$G34/100</f>
        <v>0.66</v>
      </c>
      <c r="AC34" s="5">
        <f>Rich5!$K33/100</f>
        <v>0.01</v>
      </c>
      <c r="AD34">
        <f>Rich5!$G34/100</f>
        <v>0.67</v>
      </c>
      <c r="AI34" s="5">
        <f>Baserun3!$K33/100</f>
        <v>0</v>
      </c>
      <c r="AJ34">
        <f>Baserun3!$G34/100</f>
        <v>0.97</v>
      </c>
      <c r="AK34" s="5">
        <f>Baserun4!$K33/100</f>
        <v>0</v>
      </c>
      <c r="AL34">
        <f>Baserun4!$G34/100</f>
        <v>0.99</v>
      </c>
      <c r="AM34" s="5">
        <f>Baserun5!$K33/100</f>
        <v>0.02</v>
      </c>
      <c r="AN34">
        <f>Baserun5!$G34/100</f>
        <v>0.28999999999999998</v>
      </c>
      <c r="AO34" s="6">
        <f t="shared" si="0"/>
        <v>0</v>
      </c>
      <c r="AP34">
        <f t="shared" si="1"/>
        <v>0.99</v>
      </c>
      <c r="AQ34" s="6">
        <f t="shared" si="2"/>
        <v>0.05</v>
      </c>
      <c r="AR34">
        <f t="shared" si="3"/>
        <v>0.18</v>
      </c>
      <c r="AS34" s="6">
        <f t="shared" ref="AS34:AT34" si="24">W12</f>
        <v>0.08</v>
      </c>
      <c r="AT34">
        <f t="shared" si="24"/>
        <v>0.39</v>
      </c>
      <c r="AU34" s="6">
        <f t="shared" ref="AU34:AV34" si="25">AG12</f>
        <v>7.0000000000000007E-2</v>
      </c>
      <c r="AV34">
        <f t="shared" si="25"/>
        <v>0.27</v>
      </c>
    </row>
    <row r="35" spans="1:48" x14ac:dyDescent="0.25">
      <c r="A35" s="5">
        <f>Aware1!$K34/100</f>
        <v>0.01</v>
      </c>
      <c r="B35">
        <f>Aware1!$G35/100</f>
        <v>0.56999999999999995</v>
      </c>
      <c r="C35" s="5">
        <f>Aware2!$K34/100</f>
        <v>0.02</v>
      </c>
      <c r="D35">
        <f>Aware2!$G35/100</f>
        <v>0.28999999999999998</v>
      </c>
      <c r="E35" s="5">
        <f>Aware3!$K34/100</f>
        <v>0.01</v>
      </c>
      <c r="F35">
        <f>Aware3!$G35/100</f>
        <v>0.48</v>
      </c>
      <c r="G35" s="5">
        <f>Aware4!$K34/100</f>
        <v>0</v>
      </c>
      <c r="H35">
        <f>Aware4!$G35/100</f>
        <v>1</v>
      </c>
      <c r="I35" s="5"/>
      <c r="K35" s="5">
        <f>Learn1!$K34/100</f>
        <v>0</v>
      </c>
      <c r="L35">
        <f>Learn1!$G35/100</f>
        <v>0.97</v>
      </c>
      <c r="M35" s="5">
        <f>Learn2!$K34/100</f>
        <v>0.01</v>
      </c>
      <c r="N35">
        <f>Learn2!$G35/100</f>
        <v>0.28000000000000003</v>
      </c>
      <c r="O35" s="5">
        <f>Learn3!$K34/100</f>
        <v>0.01</v>
      </c>
      <c r="P35">
        <f>Learn3!$G35/100</f>
        <v>0.2</v>
      </c>
      <c r="Q35" s="5">
        <f>Learn4!$K34/100</f>
        <v>0</v>
      </c>
      <c r="R35">
        <f>Learn4!$G35/100</f>
        <v>0.98</v>
      </c>
      <c r="S35" s="5">
        <f>Learn5!$K34/100</f>
        <v>0</v>
      </c>
      <c r="T35">
        <f>Learn5!$G35/100</f>
        <v>0.93</v>
      </c>
      <c r="U35" s="5"/>
      <c r="W35" s="5"/>
      <c r="Y35" s="5"/>
      <c r="AA35" s="5">
        <f>Rich4!$K34/100</f>
        <v>0</v>
      </c>
      <c r="AB35">
        <f>Rich4!$G35/100</f>
        <v>0.98</v>
      </c>
      <c r="AC35" s="5">
        <f>Rich5!$K34/100</f>
        <v>0</v>
      </c>
      <c r="AD35">
        <f>Rich5!$G35/100</f>
        <v>0.98</v>
      </c>
      <c r="AK35" s="5">
        <f>Baserun4!$K34/100</f>
        <v>0</v>
      </c>
      <c r="AL35">
        <f>Baserun4!$G35/100</f>
        <v>0.99</v>
      </c>
      <c r="AM35" s="5">
        <f>Baserun5!$K34/100</f>
        <v>0.02</v>
      </c>
      <c r="AN35">
        <f>Baserun5!$G35/100</f>
        <v>0.28999999999999998</v>
      </c>
      <c r="AO35" s="6">
        <f t="shared" si="0"/>
        <v>0.01</v>
      </c>
      <c r="AP35">
        <f t="shared" si="1"/>
        <v>0.56999999999999995</v>
      </c>
      <c r="AQ35" s="6">
        <f t="shared" si="2"/>
        <v>0</v>
      </c>
      <c r="AR35">
        <f t="shared" si="3"/>
        <v>0.97</v>
      </c>
      <c r="AS35" s="6">
        <f t="shared" ref="AS35:AT35" si="26">W13</f>
        <v>0.06</v>
      </c>
      <c r="AT35">
        <f t="shared" si="26"/>
        <v>0.36</v>
      </c>
      <c r="AU35" s="6">
        <f t="shared" ref="AU35:AV35" si="27">AG13</f>
        <v>0.02</v>
      </c>
      <c r="AV35">
        <f t="shared" si="27"/>
        <v>0.26</v>
      </c>
    </row>
    <row r="36" spans="1:48" x14ac:dyDescent="0.25">
      <c r="A36" s="5">
        <f>Aware1!$K35/100</f>
        <v>0.01</v>
      </c>
      <c r="B36">
        <f>Aware1!$G36/100</f>
        <v>0.55000000000000004</v>
      </c>
      <c r="C36" s="5">
        <f>Aware2!$K35/100</f>
        <v>0.03</v>
      </c>
      <c r="D36">
        <f>Aware2!$G36/100</f>
        <v>0.34</v>
      </c>
      <c r="E36" s="5">
        <f>Aware3!$K35/100</f>
        <v>0</v>
      </c>
      <c r="F36">
        <f>Aware3!$G36/100</f>
        <v>0.98</v>
      </c>
      <c r="G36" s="5">
        <f>Aware4!$K35/100</f>
        <v>0.02</v>
      </c>
      <c r="H36">
        <f>Aware4!$G36/100</f>
        <v>0.31</v>
      </c>
      <c r="I36" s="5"/>
      <c r="K36" s="5">
        <f>Learn1!$K35/100</f>
        <v>0.04</v>
      </c>
      <c r="L36">
        <f>Learn1!$G36/100</f>
        <v>0.15</v>
      </c>
      <c r="M36" s="5">
        <f>Learn2!$K35/100</f>
        <v>0</v>
      </c>
      <c r="N36">
        <f>Learn2!$G36/100</f>
        <v>0.99</v>
      </c>
      <c r="O36" s="5">
        <f>Learn3!$K35/100</f>
        <v>0</v>
      </c>
      <c r="P36">
        <f>Learn3!$G36/100</f>
        <v>0.97</v>
      </c>
      <c r="Q36" s="5">
        <f>Learn4!$K35/100</f>
        <v>0</v>
      </c>
      <c r="R36">
        <f>Learn4!$G36/100</f>
        <v>0.98</v>
      </c>
      <c r="S36" s="5">
        <f>Learn5!$K35/100</f>
        <v>0.02</v>
      </c>
      <c r="T36">
        <f>Learn5!$G36/100</f>
        <v>0.21</v>
      </c>
      <c r="U36" s="5"/>
      <c r="W36" s="5"/>
      <c r="Y36" s="5"/>
      <c r="AA36" s="5">
        <f>Rich4!$K35/100</f>
        <v>0</v>
      </c>
      <c r="AB36">
        <f>Rich4!$G36/100</f>
        <v>0.96</v>
      </c>
      <c r="AC36" s="5">
        <f>Rich5!$K35/100</f>
        <v>0</v>
      </c>
      <c r="AD36">
        <f>Rich5!$G36/100</f>
        <v>0.97</v>
      </c>
      <c r="AK36" s="5">
        <f>Baserun4!$K35/100</f>
        <v>0.01</v>
      </c>
      <c r="AL36">
        <f>Baserun4!$G36/100</f>
        <v>0.5</v>
      </c>
      <c r="AM36" s="5">
        <f>Baserun5!$K35/100</f>
        <v>0</v>
      </c>
      <c r="AN36">
        <f>Baserun5!$G36/100</f>
        <v>0.98</v>
      </c>
      <c r="AO36" s="6">
        <f t="shared" si="0"/>
        <v>0.01</v>
      </c>
      <c r="AP36">
        <f t="shared" si="1"/>
        <v>0.55000000000000004</v>
      </c>
      <c r="AQ36" s="6">
        <f t="shared" si="2"/>
        <v>0.04</v>
      </c>
      <c r="AR36">
        <f t="shared" si="3"/>
        <v>0.15</v>
      </c>
      <c r="AS36" s="6">
        <f t="shared" ref="AS36:AT36" si="28">W14</f>
        <v>0.11</v>
      </c>
      <c r="AT36">
        <f t="shared" si="28"/>
        <v>0.36</v>
      </c>
      <c r="AU36" s="6">
        <f t="shared" ref="AU36:AV36" si="29">AG14</f>
        <v>0.05</v>
      </c>
      <c r="AV36">
        <f t="shared" si="29"/>
        <v>0.23</v>
      </c>
    </row>
    <row r="37" spans="1:48" x14ac:dyDescent="0.25">
      <c r="A37" s="5">
        <f>Aware1!$K36/100</f>
        <v>0.03</v>
      </c>
      <c r="B37">
        <f>Aware1!$G37/100</f>
        <v>0.32</v>
      </c>
      <c r="C37" s="5">
        <f>Aware2!$K36/100</f>
        <v>0.03</v>
      </c>
      <c r="D37">
        <f>Aware2!$G37/100</f>
        <v>0.31</v>
      </c>
      <c r="E37" s="5">
        <f>Aware3!$K36/100</f>
        <v>0</v>
      </c>
      <c r="F37">
        <f>Aware3!$G37/100</f>
        <v>0.99</v>
      </c>
      <c r="G37" s="5">
        <f>Aware4!$K36/100</f>
        <v>0.01</v>
      </c>
      <c r="H37">
        <f>Aware4!$G37/100</f>
        <v>0.56000000000000005</v>
      </c>
      <c r="I37" s="5"/>
      <c r="K37" s="5">
        <f>Learn1!$K36/100</f>
        <v>0.06</v>
      </c>
      <c r="L37">
        <f>Learn1!$G37/100</f>
        <v>0.19</v>
      </c>
      <c r="M37" s="5">
        <f>Learn2!$K36/100</f>
        <v>0</v>
      </c>
      <c r="N37">
        <f>Learn2!$G37/100</f>
        <v>1</v>
      </c>
      <c r="O37" s="5">
        <f>Learn3!$K36/100</f>
        <v>0</v>
      </c>
      <c r="P37">
        <f>Learn3!$G37/100</f>
        <v>0.98</v>
      </c>
      <c r="Q37" s="5">
        <f>Learn4!$K36/100</f>
        <v>0.02</v>
      </c>
      <c r="R37">
        <f>Learn4!$G37/100</f>
        <v>0.14000000000000001</v>
      </c>
      <c r="S37" s="5">
        <f>Learn5!$K36/100</f>
        <v>0</v>
      </c>
      <c r="T37">
        <f>Learn5!$G37/100</f>
        <v>0.96</v>
      </c>
      <c r="U37" s="5"/>
      <c r="W37" s="5"/>
      <c r="Y37" s="5"/>
      <c r="AA37" s="5">
        <f>Rich4!$K36/100</f>
        <v>0.02</v>
      </c>
      <c r="AB37">
        <f>Rich4!$G37/100</f>
        <v>0.5</v>
      </c>
      <c r="AC37" s="5"/>
      <c r="AK37" s="5">
        <f>Baserun4!$K36/100</f>
        <v>0</v>
      </c>
      <c r="AL37">
        <f>Baserun4!$G37/100</f>
        <v>0.99</v>
      </c>
      <c r="AM37" s="5">
        <f>Baserun5!$K36/100</f>
        <v>0.02</v>
      </c>
      <c r="AN37">
        <f>Baserun5!$G37/100</f>
        <v>0.3</v>
      </c>
      <c r="AO37" s="6">
        <f t="shared" si="0"/>
        <v>0.03</v>
      </c>
      <c r="AP37">
        <f t="shared" si="1"/>
        <v>0.32</v>
      </c>
      <c r="AQ37" s="6">
        <f t="shared" si="2"/>
        <v>0.06</v>
      </c>
      <c r="AR37">
        <f t="shared" si="3"/>
        <v>0.19</v>
      </c>
      <c r="AS37" s="6">
        <f t="shared" ref="AS37:AT37" si="30">W15</f>
        <v>0.04</v>
      </c>
      <c r="AT37">
        <f t="shared" si="30"/>
        <v>0.47</v>
      </c>
      <c r="AU37" s="6">
        <f t="shared" ref="AU37:AV37" si="31">AG15</f>
        <v>0.04</v>
      </c>
      <c r="AV37">
        <f t="shared" si="31"/>
        <v>0.27</v>
      </c>
    </row>
    <row r="38" spans="1:48" x14ac:dyDescent="0.25">
      <c r="A38" s="5">
        <f>Aware1!$K37/100</f>
        <v>0.01</v>
      </c>
      <c r="B38">
        <f>Aware1!$G38/100</f>
        <v>0.57999999999999996</v>
      </c>
      <c r="C38" s="5">
        <f>Aware2!$K37/100</f>
        <v>0.04</v>
      </c>
      <c r="D38">
        <f>Aware2!$G38/100</f>
        <v>0.32</v>
      </c>
      <c r="E38" s="5">
        <f>Aware3!$K37/100</f>
        <v>0.01</v>
      </c>
      <c r="F38">
        <f>Aware3!$G38/100</f>
        <v>0.49</v>
      </c>
      <c r="G38" s="5">
        <f>Aware4!$K37/100</f>
        <v>0.04</v>
      </c>
      <c r="H38">
        <f>Aware4!$G38/100</f>
        <v>0.25</v>
      </c>
      <c r="I38" s="5"/>
      <c r="K38" s="5">
        <f>Learn1!$K37/100</f>
        <v>0</v>
      </c>
      <c r="L38">
        <f>Learn1!$G38/100</f>
        <v>0.93</v>
      </c>
      <c r="M38" s="5">
        <f>Learn2!$K37/100</f>
        <v>0.01</v>
      </c>
      <c r="N38">
        <f>Learn2!$G38/100</f>
        <v>0.3</v>
      </c>
      <c r="O38" s="5"/>
      <c r="Q38" s="5">
        <f>Learn4!$K37/100</f>
        <v>0.01</v>
      </c>
      <c r="R38">
        <f>Learn4!$G38/100</f>
        <v>0.22</v>
      </c>
      <c r="S38" s="5">
        <f>Learn5!$K37/100</f>
        <v>0</v>
      </c>
      <c r="T38">
        <f>Learn5!$G38/100</f>
        <v>0.98</v>
      </c>
      <c r="U38" s="5"/>
      <c r="W38" s="5"/>
      <c r="AA38" s="5">
        <f>Rich4!$K37/100</f>
        <v>0</v>
      </c>
      <c r="AB38">
        <f>Rich4!$G38/100</f>
        <v>0.97</v>
      </c>
      <c r="AC38" s="5"/>
      <c r="AK38" s="5">
        <f>Baserun4!$K37/100</f>
        <v>0.01</v>
      </c>
      <c r="AL38">
        <f>Baserun4!$G38/100</f>
        <v>0.55000000000000004</v>
      </c>
      <c r="AM38" s="5">
        <f>Baserun5!$K37/100</f>
        <v>0</v>
      </c>
      <c r="AN38">
        <f>Baserun5!$G38/100</f>
        <v>0.98</v>
      </c>
      <c r="AO38" s="6">
        <f t="shared" si="0"/>
        <v>0.01</v>
      </c>
      <c r="AP38">
        <f t="shared" si="1"/>
        <v>0.57999999999999996</v>
      </c>
      <c r="AQ38" s="6">
        <f t="shared" si="2"/>
        <v>0</v>
      </c>
      <c r="AR38">
        <f t="shared" si="3"/>
        <v>0.93</v>
      </c>
      <c r="AS38" s="6">
        <f t="shared" ref="AS38:AT38" si="32">W16</f>
        <v>0.08</v>
      </c>
      <c r="AT38">
        <f t="shared" si="32"/>
        <v>0.45</v>
      </c>
      <c r="AU38" s="6">
        <f t="shared" ref="AU38:AV38" si="33">AG16</f>
        <v>0.04</v>
      </c>
      <c r="AV38">
        <f t="shared" si="33"/>
        <v>0.28999999999999998</v>
      </c>
    </row>
    <row r="39" spans="1:48" x14ac:dyDescent="0.25">
      <c r="A39" s="5">
        <f>Aware1!$K38/100</f>
        <v>0</v>
      </c>
      <c r="B39">
        <f>Aware1!$G39/100</f>
        <v>0.98</v>
      </c>
      <c r="C39" s="5">
        <f>Aware2!$K38/100</f>
        <v>0</v>
      </c>
      <c r="D39">
        <f>Aware2!$G39/100</f>
        <v>0.95</v>
      </c>
      <c r="E39" s="5">
        <f>Aware3!$K38/100</f>
        <v>0</v>
      </c>
      <c r="F39">
        <f>Aware3!$G39/100</f>
        <v>0.99</v>
      </c>
      <c r="G39" s="5">
        <f>Aware4!$K38/100</f>
        <v>0.03</v>
      </c>
      <c r="H39">
        <f>Aware4!$G39/100</f>
        <v>0.28999999999999998</v>
      </c>
      <c r="I39" s="5"/>
      <c r="K39" s="5">
        <f>Learn1!$K38/100</f>
        <v>0.01</v>
      </c>
      <c r="L39">
        <f>Learn1!$G39/100</f>
        <v>0.26</v>
      </c>
      <c r="M39" s="5">
        <f>Learn2!$K38/100</f>
        <v>0</v>
      </c>
      <c r="N39">
        <f>Learn2!$G39/100</f>
        <v>0.99</v>
      </c>
      <c r="O39" s="5"/>
      <c r="Q39" s="5">
        <f>Learn4!$K38/100</f>
        <v>0</v>
      </c>
      <c r="R39">
        <f>Learn4!$G39/100</f>
        <v>0.98</v>
      </c>
      <c r="S39" s="5">
        <f>Learn5!$K38/100</f>
        <v>0.04</v>
      </c>
      <c r="T39">
        <f>Learn5!$G39/100</f>
        <v>0.24</v>
      </c>
      <c r="U39" s="5"/>
      <c r="W39" s="5"/>
      <c r="AA39" s="5">
        <f>Rich4!$K38/100</f>
        <v>0</v>
      </c>
      <c r="AB39">
        <f>Rich4!$G39/100</f>
        <v>0.96</v>
      </c>
      <c r="AC39" s="5"/>
      <c r="AK39" s="5">
        <f>Baserun4!$K38/100</f>
        <v>0</v>
      </c>
      <c r="AL39">
        <f>Baserun4!$G39/100</f>
        <v>0.99</v>
      </c>
      <c r="AM39" s="5">
        <f>Baserun5!$K38/100</f>
        <v>0</v>
      </c>
      <c r="AN39">
        <f>Baserun5!$G39/100</f>
        <v>0.99</v>
      </c>
      <c r="AO39" s="6">
        <f t="shared" si="0"/>
        <v>0</v>
      </c>
      <c r="AP39">
        <f t="shared" si="1"/>
        <v>0.98</v>
      </c>
      <c r="AQ39" s="6">
        <f t="shared" si="2"/>
        <v>0.01</v>
      </c>
      <c r="AR39">
        <f t="shared" si="3"/>
        <v>0.26</v>
      </c>
      <c r="AS39" s="6">
        <f t="shared" ref="AS39:AT39" si="34">W17</f>
        <v>0.06</v>
      </c>
      <c r="AT39">
        <f t="shared" si="34"/>
        <v>0.46</v>
      </c>
      <c r="AU39" s="6">
        <f t="shared" ref="AU39:AV39" si="35">AG17</f>
        <v>0</v>
      </c>
      <c r="AV39">
        <f t="shared" si="35"/>
        <v>0.95</v>
      </c>
    </row>
    <row r="40" spans="1:48" x14ac:dyDescent="0.25">
      <c r="A40" s="5">
        <f>Aware1!$K39/100</f>
        <v>0</v>
      </c>
      <c r="B40">
        <f>Aware1!$G40/100</f>
        <v>1</v>
      </c>
      <c r="C40" s="5">
        <f>Aware2!$K39/100</f>
        <v>0</v>
      </c>
      <c r="D40">
        <f>Aware2!$G40/100</f>
        <v>0.98</v>
      </c>
      <c r="E40" s="5">
        <f>Aware3!$K39/100</f>
        <v>0</v>
      </c>
      <c r="F40">
        <f>Aware3!$G40/100</f>
        <v>1</v>
      </c>
      <c r="G40" s="5">
        <f>Aware4!$K39/100</f>
        <v>0</v>
      </c>
      <c r="H40">
        <f>Aware4!$G40/100</f>
        <v>0.97</v>
      </c>
      <c r="I40" s="5"/>
      <c r="K40" s="5">
        <f>Learn1!$K39/100</f>
        <v>0</v>
      </c>
      <c r="L40">
        <f>Learn1!$G40/100</f>
        <v>0.99</v>
      </c>
      <c r="M40" s="5">
        <f>Learn2!$K39/100</f>
        <v>0</v>
      </c>
      <c r="N40">
        <f>Learn2!$G40/100</f>
        <v>1</v>
      </c>
      <c r="O40" s="5"/>
      <c r="Q40" s="5">
        <f>Learn4!$K39/100</f>
        <v>0.02</v>
      </c>
      <c r="R40">
        <f>Learn4!$G40/100</f>
        <v>0.15</v>
      </c>
      <c r="S40" s="5">
        <f>Learn5!$K39/100</f>
        <v>0</v>
      </c>
      <c r="T40">
        <f>Learn5!$G40/100</f>
        <v>0.96</v>
      </c>
      <c r="U40" s="5"/>
      <c r="W40" s="5"/>
      <c r="AA40" s="5"/>
      <c r="AC40" s="5"/>
      <c r="AK40" s="5">
        <f>Baserun4!$K39/100</f>
        <v>0</v>
      </c>
      <c r="AL40">
        <f>Baserun4!$G40/100</f>
        <v>1</v>
      </c>
      <c r="AM40" s="5">
        <f>Baserun5!$K39/100</f>
        <v>0.03</v>
      </c>
      <c r="AN40">
        <f>Baserun5!$G40/100</f>
        <v>0.42</v>
      </c>
      <c r="AO40" s="6">
        <f t="shared" si="0"/>
        <v>0</v>
      </c>
      <c r="AP40">
        <f t="shared" si="1"/>
        <v>1</v>
      </c>
      <c r="AQ40" s="6">
        <f t="shared" si="2"/>
        <v>0</v>
      </c>
      <c r="AR40">
        <f t="shared" si="3"/>
        <v>0.99</v>
      </c>
      <c r="AS40" s="6">
        <f t="shared" ref="AS40:AT40" si="36">W18</f>
        <v>0.01</v>
      </c>
      <c r="AT40">
        <f t="shared" si="36"/>
        <v>0.7</v>
      </c>
      <c r="AU40" s="6">
        <f t="shared" ref="AU40:AV40" si="37">AG18</f>
        <v>0.01</v>
      </c>
      <c r="AV40">
        <f t="shared" si="37"/>
        <v>0.44</v>
      </c>
    </row>
    <row r="41" spans="1:48" x14ac:dyDescent="0.25">
      <c r="A41" s="5">
        <f>Aware1!$K40/100</f>
        <v>0</v>
      </c>
      <c r="B41">
        <f>Aware1!$G41/100</f>
        <v>1</v>
      </c>
      <c r="C41" s="5">
        <f>Aware2!$K40/100</f>
        <v>0</v>
      </c>
      <c r="D41">
        <f>Aware2!$G41/100</f>
        <v>1</v>
      </c>
      <c r="E41" s="5">
        <f>Aware3!$K40/100</f>
        <v>0</v>
      </c>
      <c r="F41">
        <f>Aware3!$G41/100</f>
        <v>1</v>
      </c>
      <c r="G41" s="5">
        <f>Aware4!$K40/100</f>
        <v>0</v>
      </c>
      <c r="H41">
        <f>Aware4!$G41/100</f>
        <v>1</v>
      </c>
      <c r="I41" s="5"/>
      <c r="K41" s="5">
        <f>Learn1!$K40/100</f>
        <v>0</v>
      </c>
      <c r="L41">
        <f>Learn1!$G41/100</f>
        <v>0.99</v>
      </c>
      <c r="M41" s="5">
        <f>Learn2!$K40/100</f>
        <v>0.02</v>
      </c>
      <c r="N41">
        <f>Learn2!$G41/100</f>
        <v>0.11</v>
      </c>
      <c r="O41" s="5"/>
      <c r="Q41" s="5">
        <f>Learn4!$K40/100</f>
        <v>0</v>
      </c>
      <c r="R41">
        <f>Learn4!$G41/100</f>
        <v>0.97</v>
      </c>
      <c r="S41" s="5">
        <f>Learn5!$K40/100</f>
        <v>0.01</v>
      </c>
      <c r="T41">
        <f>Learn5!$G41/100</f>
        <v>0.23</v>
      </c>
      <c r="U41" s="5"/>
      <c r="W41" s="5"/>
      <c r="AA41" s="5"/>
      <c r="AC41" s="5"/>
      <c r="AK41" s="5">
        <f>Baserun4!$K40/100</f>
        <v>0</v>
      </c>
      <c r="AL41">
        <f>Baserun4!$G41/100</f>
        <v>1</v>
      </c>
      <c r="AM41" s="5">
        <f>Baserun5!$K40/100</f>
        <v>0</v>
      </c>
      <c r="AN41">
        <f>Baserun5!$G41/100</f>
        <v>0.97</v>
      </c>
      <c r="AO41" s="6">
        <f t="shared" si="0"/>
        <v>0</v>
      </c>
      <c r="AP41">
        <f t="shared" si="1"/>
        <v>1</v>
      </c>
      <c r="AQ41" s="6">
        <f t="shared" si="2"/>
        <v>0</v>
      </c>
      <c r="AR41">
        <f t="shared" si="3"/>
        <v>0.99</v>
      </c>
      <c r="AS41" s="6">
        <f t="shared" ref="AS41:AT41" si="38">W19</f>
        <v>0.04</v>
      </c>
      <c r="AT41">
        <f t="shared" si="38"/>
        <v>0.44</v>
      </c>
      <c r="AU41" s="6">
        <f t="shared" ref="AU41:AV41" si="39">AG19</f>
        <v>0</v>
      </c>
      <c r="AV41">
        <f t="shared" si="39"/>
        <v>0.99</v>
      </c>
    </row>
    <row r="42" spans="1:48" x14ac:dyDescent="0.25">
      <c r="A42" s="5">
        <f>Aware1!$K41/100</f>
        <v>0</v>
      </c>
      <c r="B42">
        <f>Aware1!$G42/100</f>
        <v>0.99</v>
      </c>
      <c r="C42" s="5">
        <f>Aware2!$K41/100</f>
        <v>0</v>
      </c>
      <c r="D42">
        <f>Aware2!$G42/100</f>
        <v>1</v>
      </c>
      <c r="E42" s="5">
        <f>Aware3!$K41/100</f>
        <v>0</v>
      </c>
      <c r="F42">
        <f>Aware3!$G42/100</f>
        <v>1</v>
      </c>
      <c r="G42" s="5">
        <f>Aware4!$K41/100</f>
        <v>0</v>
      </c>
      <c r="H42">
        <f>Aware4!$G42/100</f>
        <v>1</v>
      </c>
      <c r="I42" s="5"/>
      <c r="K42" s="5">
        <f>Learn1!$K41/100</f>
        <v>0.06</v>
      </c>
      <c r="L42">
        <f>Learn1!$G42/100</f>
        <v>0.17</v>
      </c>
      <c r="M42" s="5">
        <f>Learn2!$K41/100</f>
        <v>0</v>
      </c>
      <c r="N42">
        <f>Learn2!$G42/100</f>
        <v>0.99</v>
      </c>
      <c r="O42" s="5"/>
      <c r="Q42" s="5">
        <f>Learn4!$K41/100</f>
        <v>0</v>
      </c>
      <c r="R42">
        <f>Learn4!$G42/100</f>
        <v>0.99</v>
      </c>
      <c r="S42" s="5">
        <f>Learn5!$K41/100</f>
        <v>0.04</v>
      </c>
      <c r="T42">
        <f>Learn5!$G42/100</f>
        <v>0.21</v>
      </c>
      <c r="U42" s="5"/>
      <c r="W42" s="5"/>
      <c r="AA42" s="5"/>
      <c r="AK42" s="5">
        <f>Baserun4!$K41/100</f>
        <v>0.01</v>
      </c>
      <c r="AL42">
        <f>Baserun4!$G42/100</f>
        <v>0.5</v>
      </c>
      <c r="AM42" s="5">
        <f>Baserun5!$K41/100</f>
        <v>0.01</v>
      </c>
      <c r="AN42">
        <f>Baserun5!$G42/100</f>
        <v>0.45</v>
      </c>
      <c r="AO42" s="6">
        <f t="shared" si="0"/>
        <v>0</v>
      </c>
      <c r="AP42">
        <f t="shared" si="1"/>
        <v>0.99</v>
      </c>
      <c r="AQ42" s="6">
        <f t="shared" si="2"/>
        <v>0.06</v>
      </c>
      <c r="AR42">
        <f t="shared" si="3"/>
        <v>0.17</v>
      </c>
      <c r="AS42" s="6">
        <f t="shared" ref="AS42:AT42" si="40">W20</f>
        <v>0.01</v>
      </c>
      <c r="AT42">
        <f t="shared" si="40"/>
        <v>0.72</v>
      </c>
      <c r="AU42" s="6">
        <f t="shared" ref="AU42:AV42" si="41">AG20</f>
        <v>0</v>
      </c>
      <c r="AV42">
        <f t="shared" si="41"/>
        <v>0.99</v>
      </c>
    </row>
    <row r="43" spans="1:48" x14ac:dyDescent="0.25">
      <c r="A43" s="5">
        <f>Aware1!$K42/100</f>
        <v>0.02</v>
      </c>
      <c r="B43">
        <f>Aware1!$G43/100</f>
        <v>0.36</v>
      </c>
      <c r="C43" s="5">
        <f>Aware2!$K42/100</f>
        <v>0.01</v>
      </c>
      <c r="D43">
        <f>Aware2!$G43/100</f>
        <v>0.62</v>
      </c>
      <c r="E43" s="5">
        <f>Aware3!$K42/100</f>
        <v>0</v>
      </c>
      <c r="F43">
        <f>Aware3!$G43/100</f>
        <v>1</v>
      </c>
      <c r="G43" s="5">
        <f>Aware4!$K42/100</f>
        <v>0</v>
      </c>
      <c r="H43">
        <f>Aware4!$G43/100</f>
        <v>0.98</v>
      </c>
      <c r="I43" s="5"/>
      <c r="K43" s="5">
        <f>Learn1!$K42/100</f>
        <v>0</v>
      </c>
      <c r="L43">
        <f>Learn1!$G43/100</f>
        <v>0.95</v>
      </c>
      <c r="M43" s="5">
        <f>Learn2!$K42/100</f>
        <v>0</v>
      </c>
      <c r="N43">
        <f>Learn2!$G43/100</f>
        <v>1</v>
      </c>
      <c r="O43" s="5"/>
      <c r="Q43" s="5"/>
      <c r="S43" s="5">
        <f>Learn5!$K42/100</f>
        <v>0</v>
      </c>
      <c r="T43">
        <f>Learn5!$G43/100</f>
        <v>0.94</v>
      </c>
      <c r="U43" s="5"/>
      <c r="W43" s="5"/>
      <c r="AA43" s="5"/>
      <c r="AK43" s="5">
        <f>Baserun4!$K42/100</f>
        <v>0.01</v>
      </c>
      <c r="AL43">
        <f>Baserun4!$G43/100</f>
        <v>0.51</v>
      </c>
      <c r="AM43" s="5">
        <f>Baserun5!$K42/100</f>
        <v>0.01</v>
      </c>
      <c r="AN43">
        <f>Baserun5!$G43/100</f>
        <v>0.43</v>
      </c>
      <c r="AO43" s="6">
        <f t="shared" si="0"/>
        <v>0.02</v>
      </c>
      <c r="AP43">
        <f t="shared" si="1"/>
        <v>0.36</v>
      </c>
      <c r="AQ43" s="6">
        <f t="shared" si="2"/>
        <v>0</v>
      </c>
      <c r="AR43">
        <f t="shared" si="3"/>
        <v>0.95</v>
      </c>
      <c r="AS43" s="6">
        <f t="shared" ref="AS43:AT43" si="42">W21</f>
        <v>0</v>
      </c>
      <c r="AT43">
        <f t="shared" si="42"/>
        <v>0.97</v>
      </c>
      <c r="AU43" s="6">
        <f>AG21</f>
        <v>0.01</v>
      </c>
      <c r="AV43">
        <f>AH21</f>
        <v>0.48</v>
      </c>
    </row>
    <row r="44" spans="1:48" x14ac:dyDescent="0.25">
      <c r="A44" s="5">
        <f>Aware1!$K43/100</f>
        <v>0.01</v>
      </c>
      <c r="B44">
        <f>Aware1!$G44/100</f>
        <v>0.59</v>
      </c>
      <c r="C44" s="5">
        <f>Aware2!$K43/100</f>
        <v>0.01</v>
      </c>
      <c r="D44">
        <f>Aware2!$G44/100</f>
        <v>0.6</v>
      </c>
      <c r="E44" s="5">
        <f>Aware3!$K43/100</f>
        <v>0.01</v>
      </c>
      <c r="F44">
        <f>Aware3!$G44/100</f>
        <v>0.49</v>
      </c>
      <c r="G44" s="5">
        <f>Aware4!$K43/100</f>
        <v>0.03</v>
      </c>
      <c r="H44">
        <f>Aware4!$G44/100</f>
        <v>0.32</v>
      </c>
      <c r="I44" s="5"/>
      <c r="K44" s="5">
        <f>Learn1!$K43/100</f>
        <v>0.02</v>
      </c>
      <c r="L44">
        <f>Learn1!$G44/100</f>
        <v>0.17</v>
      </c>
      <c r="M44" s="5">
        <f>Learn2!$K43/100</f>
        <v>0.01</v>
      </c>
      <c r="N44">
        <f>Learn2!$G44/100</f>
        <v>0.28000000000000003</v>
      </c>
      <c r="O44" s="5"/>
      <c r="Q44" s="5"/>
      <c r="S44" s="5">
        <f>Learn5!$K43/100</f>
        <v>0.04</v>
      </c>
      <c r="T44">
        <f>Learn5!$G44/100</f>
        <v>0.22</v>
      </c>
      <c r="U44" s="5"/>
      <c r="W44" s="5"/>
      <c r="AA44" s="5"/>
      <c r="AK44" s="5">
        <f>Baserun4!$K43/100</f>
        <v>0.01</v>
      </c>
      <c r="AL44">
        <f>Baserun4!$G44/100</f>
        <v>0.5</v>
      </c>
      <c r="AM44" s="5">
        <f>Baserun5!$K43/100</f>
        <v>0.01</v>
      </c>
      <c r="AN44">
        <f>Baserun5!$G44/100</f>
        <v>0.48</v>
      </c>
      <c r="AO44" s="6">
        <f t="shared" si="0"/>
        <v>0.01</v>
      </c>
      <c r="AP44">
        <f t="shared" si="1"/>
        <v>0.59</v>
      </c>
      <c r="AQ44" s="6">
        <f t="shared" si="2"/>
        <v>0.02</v>
      </c>
      <c r="AR44">
        <f t="shared" si="3"/>
        <v>0.17</v>
      </c>
      <c r="AS44" s="6">
        <f t="shared" ref="AS44:AT44" si="43">W22</f>
        <v>0.03</v>
      </c>
      <c r="AT44">
        <f t="shared" si="43"/>
        <v>0.5</v>
      </c>
      <c r="AU44" s="6">
        <f t="shared" ref="AU44" si="44">AG22</f>
        <v>0</v>
      </c>
      <c r="AV44">
        <f t="shared" ref="AV44" si="45">AH22</f>
        <v>0.99</v>
      </c>
    </row>
    <row r="45" spans="1:48" x14ac:dyDescent="0.25">
      <c r="A45" s="5">
        <f>Aware1!$K44/100</f>
        <v>0.02</v>
      </c>
      <c r="B45">
        <f>Aware1!$G45/100</f>
        <v>0.35</v>
      </c>
      <c r="C45" s="5">
        <f>Aware2!$K44/100</f>
        <v>0</v>
      </c>
      <c r="D45">
        <f>Aware2!$G45/100</f>
        <v>1</v>
      </c>
      <c r="E45" s="5">
        <f>Aware3!$K44/100</f>
        <v>0</v>
      </c>
      <c r="F45">
        <f>Aware3!$G45/100</f>
        <v>1</v>
      </c>
      <c r="G45" s="5">
        <f>Aware4!$K44/100</f>
        <v>0.05</v>
      </c>
      <c r="H45">
        <f>Aware4!$G45/100</f>
        <v>0.31</v>
      </c>
      <c r="I45" s="5"/>
      <c r="K45" s="5">
        <f>Learn1!$K44/100</f>
        <v>0.03</v>
      </c>
      <c r="L45">
        <f>Learn1!$G45/100</f>
        <v>0.17</v>
      </c>
      <c r="M45" s="5">
        <f>Learn2!$K44/100</f>
        <v>0</v>
      </c>
      <c r="N45">
        <f>Learn2!$G45/100</f>
        <v>0.99</v>
      </c>
      <c r="O45" s="5"/>
      <c r="Q45" s="5"/>
      <c r="S45" s="5">
        <f>Learn5!$K44/100</f>
        <v>0</v>
      </c>
      <c r="T45">
        <f>Learn5!$G45/100</f>
        <v>0.94</v>
      </c>
      <c r="W45" s="5"/>
      <c r="AA45" s="5"/>
      <c r="AK45" s="5">
        <f>Baserun4!$K44/100</f>
        <v>0</v>
      </c>
      <c r="AL45">
        <f>Baserun4!$G45/100</f>
        <v>1</v>
      </c>
      <c r="AM45" s="5">
        <f>Baserun5!$K44/100</f>
        <v>0.01</v>
      </c>
      <c r="AN45">
        <f>Baserun5!$G45/100</f>
        <v>0.49</v>
      </c>
      <c r="AO45" s="6">
        <f t="shared" si="0"/>
        <v>0.02</v>
      </c>
      <c r="AP45">
        <f t="shared" si="1"/>
        <v>0.35</v>
      </c>
      <c r="AQ45" s="6">
        <f t="shared" si="2"/>
        <v>0.03</v>
      </c>
      <c r="AR45">
        <f t="shared" si="3"/>
        <v>0.17</v>
      </c>
      <c r="AS45" s="6">
        <f t="shared" ref="AS45:AT45" si="46">W23</f>
        <v>0</v>
      </c>
      <c r="AT45">
        <f t="shared" si="46"/>
        <v>0.96</v>
      </c>
      <c r="AU45" s="6">
        <f>AG23</f>
        <v>0</v>
      </c>
      <c r="AV45">
        <f>AH23</f>
        <v>0.99</v>
      </c>
    </row>
    <row r="46" spans="1:48" x14ac:dyDescent="0.25">
      <c r="A46" s="5">
        <f>Aware1!$K45/100</f>
        <v>0.01</v>
      </c>
      <c r="B46">
        <f>Aware1!$G46/100</f>
        <v>0.56999999999999995</v>
      </c>
      <c r="C46" s="5">
        <f>Aware2!$K45/100</f>
        <v>0.01</v>
      </c>
      <c r="D46">
        <f>Aware2!$G46/100</f>
        <v>0.62</v>
      </c>
      <c r="E46" s="5">
        <f>Aware3!$K45/100</f>
        <v>0</v>
      </c>
      <c r="F46">
        <f>Aware3!$G46/100</f>
        <v>1</v>
      </c>
      <c r="G46" s="5">
        <f>Aware4!$K45/100</f>
        <v>0.04</v>
      </c>
      <c r="H46">
        <f>Aware4!$G46/100</f>
        <v>0.26</v>
      </c>
      <c r="I46" s="5"/>
      <c r="K46" s="5">
        <f>Learn1!$K45/100</f>
        <v>0</v>
      </c>
      <c r="L46">
        <f>Learn1!$G46/100</f>
        <v>0.98</v>
      </c>
      <c r="M46" s="5">
        <f>Learn2!$K45/100</f>
        <v>0.02</v>
      </c>
      <c r="N46">
        <f>Learn2!$G46/100</f>
        <v>0.12</v>
      </c>
      <c r="O46" s="5"/>
      <c r="S46" s="5">
        <f>Learn5!$K45/100</f>
        <v>0</v>
      </c>
      <c r="T46">
        <f>Learn5!$G46/100</f>
        <v>0.98</v>
      </c>
      <c r="AA46" s="5"/>
      <c r="AK46" s="5">
        <f>Baserun4!$K45/100</f>
        <v>0</v>
      </c>
      <c r="AL46">
        <f>Baserun4!$G46/100</f>
        <v>1</v>
      </c>
      <c r="AM46" s="5">
        <f>Baserun5!$K45/100</f>
        <v>0</v>
      </c>
      <c r="AN46">
        <f>Baserun5!$G46/100</f>
        <v>0.98</v>
      </c>
      <c r="AO46" s="6">
        <f t="shared" si="0"/>
        <v>0.01</v>
      </c>
      <c r="AP46">
        <f t="shared" si="1"/>
        <v>0.56999999999999995</v>
      </c>
      <c r="AQ46" s="6">
        <f t="shared" si="2"/>
        <v>0</v>
      </c>
      <c r="AR46">
        <f t="shared" si="3"/>
        <v>0.98</v>
      </c>
      <c r="AS46" s="6">
        <f t="shared" ref="AS46:AT46" si="47">W24</f>
        <v>0.01</v>
      </c>
      <c r="AT46">
        <f t="shared" si="47"/>
        <v>0.72</v>
      </c>
      <c r="AU46" s="6">
        <f>AI3</f>
        <v>0</v>
      </c>
      <c r="AV46">
        <f>AJ3</f>
        <v>1</v>
      </c>
    </row>
    <row r="47" spans="1:48" x14ac:dyDescent="0.25">
      <c r="A47" s="5">
        <f>Aware1!$K46/100</f>
        <v>0.02</v>
      </c>
      <c r="B47">
        <f>Aware1!$G47/100</f>
        <v>0.32</v>
      </c>
      <c r="C47" s="5">
        <f>Aware2!$K46/100</f>
        <v>0</v>
      </c>
      <c r="D47">
        <f>Aware2!$G47/100</f>
        <v>1</v>
      </c>
      <c r="E47" s="5">
        <f>Aware3!$K46/100</f>
        <v>0.01</v>
      </c>
      <c r="F47">
        <f>Aware3!$G47/100</f>
        <v>0.51</v>
      </c>
      <c r="G47" s="5">
        <f>Aware4!$K46/100</f>
        <v>0.03</v>
      </c>
      <c r="H47">
        <f>Aware4!$G47/100</f>
        <v>0.33</v>
      </c>
      <c r="I47" s="5"/>
      <c r="K47" s="5">
        <f>Learn1!$K46/100</f>
        <v>0.02</v>
      </c>
      <c r="L47">
        <f>Learn1!$G47/100</f>
        <v>0.17</v>
      </c>
      <c r="M47" s="5">
        <f>Learn2!$K46/100</f>
        <v>0.03</v>
      </c>
      <c r="N47">
        <f>Learn2!$G47/100</f>
        <v>0.18</v>
      </c>
      <c r="O47" s="5"/>
      <c r="S47" s="5"/>
      <c r="AA47" s="5"/>
      <c r="AM47" s="5">
        <f>Baserun5!$K46/100</f>
        <v>0</v>
      </c>
      <c r="AN47">
        <f>Baserun5!$G47/100</f>
        <v>0.99</v>
      </c>
      <c r="AO47" s="6">
        <f t="shared" si="0"/>
        <v>0.02</v>
      </c>
      <c r="AP47">
        <f t="shared" si="1"/>
        <v>0.32</v>
      </c>
      <c r="AQ47" s="6">
        <f>K47</f>
        <v>0.02</v>
      </c>
      <c r="AR47">
        <f>L47</f>
        <v>0.17</v>
      </c>
      <c r="AS47" s="6">
        <f t="shared" ref="AS47:AT47" si="48">W25</f>
        <v>0.01</v>
      </c>
      <c r="AT47">
        <f t="shared" si="48"/>
        <v>0.76</v>
      </c>
      <c r="AU47" s="6">
        <f t="shared" ref="AU47:AV47" si="49">AI4</f>
        <v>0</v>
      </c>
      <c r="AV47">
        <f t="shared" si="49"/>
        <v>1</v>
      </c>
    </row>
    <row r="48" spans="1:48" x14ac:dyDescent="0.25">
      <c r="A48" s="5">
        <f>Aware1!$K47/100</f>
        <v>0.01</v>
      </c>
      <c r="B48">
        <f>Aware1!$G48/100</f>
        <v>0.57999999999999996</v>
      </c>
      <c r="C48" s="5">
        <f>Aware2!$K47/100</f>
        <v>0</v>
      </c>
      <c r="D48">
        <f>Aware2!$G48/100</f>
        <v>1</v>
      </c>
      <c r="E48" s="5">
        <f>Aware3!$K47/100</f>
        <v>0</v>
      </c>
      <c r="F48">
        <f>Aware3!$G48/100</f>
        <v>1</v>
      </c>
      <c r="G48" s="5">
        <f>Aware4!$K47/100</f>
        <v>0</v>
      </c>
      <c r="H48">
        <f>Aware4!$G48/100</f>
        <v>0.93</v>
      </c>
      <c r="I48" s="5"/>
      <c r="K48" s="5">
        <f>Learn1!$K47/100</f>
        <v>0</v>
      </c>
      <c r="L48">
        <f>Learn1!$G48/100</f>
        <v>0.99</v>
      </c>
      <c r="M48" s="5">
        <f>Learn2!$K47/100</f>
        <v>0</v>
      </c>
      <c r="N48">
        <f>Learn2!$G48/100</f>
        <v>0.99</v>
      </c>
      <c r="O48" s="5"/>
      <c r="S48" s="5"/>
      <c r="AA48" s="5"/>
      <c r="AM48" s="5"/>
      <c r="AO48" s="6">
        <f t="shared" si="0"/>
        <v>0.01</v>
      </c>
      <c r="AP48">
        <f t="shared" si="1"/>
        <v>0.57999999999999996</v>
      </c>
      <c r="AQ48" s="6">
        <f t="shared" ref="AQ48:AQ51" si="50">K48</f>
        <v>0</v>
      </c>
      <c r="AR48">
        <f t="shared" ref="AR48:AR51" si="51">L48</f>
        <v>0.99</v>
      </c>
      <c r="AS48" s="6">
        <f t="shared" ref="AS48:AT48" si="52">W26</f>
        <v>0</v>
      </c>
      <c r="AT48">
        <f t="shared" si="52"/>
        <v>0.95</v>
      </c>
      <c r="AU48" s="6">
        <f t="shared" ref="AU48:AV48" si="53">AI5</f>
        <v>0</v>
      </c>
      <c r="AV48">
        <f t="shared" si="53"/>
        <v>0.99</v>
      </c>
    </row>
    <row r="49" spans="1:48" x14ac:dyDescent="0.25">
      <c r="A49" s="5">
        <f>Aware1!$K48/100</f>
        <v>0</v>
      </c>
      <c r="B49">
        <f>Aware1!$G49/100</f>
        <v>0.97</v>
      </c>
      <c r="C49" s="5"/>
      <c r="E49" s="5">
        <f>Aware3!$K48/100</f>
        <v>0</v>
      </c>
      <c r="F49">
        <f>Aware3!$G49/100</f>
        <v>1</v>
      </c>
      <c r="G49" s="5">
        <f>Aware4!$K48/100</f>
        <v>0</v>
      </c>
      <c r="H49">
        <f>Aware4!$G49/100</f>
        <v>1</v>
      </c>
      <c r="I49" s="5"/>
      <c r="K49" s="5">
        <f>Learn1!$K48/100</f>
        <v>0</v>
      </c>
      <c r="L49">
        <f>Learn1!$G49/100</f>
        <v>1</v>
      </c>
      <c r="M49" s="5">
        <f>Learn2!$K48/100</f>
        <v>0.01</v>
      </c>
      <c r="N49">
        <f>Learn2!$G49/100</f>
        <v>0.28000000000000003</v>
      </c>
      <c r="O49" s="5"/>
      <c r="S49" s="5"/>
      <c r="AA49" s="5"/>
      <c r="AO49" s="6">
        <f t="shared" si="0"/>
        <v>0</v>
      </c>
      <c r="AP49">
        <f t="shared" si="1"/>
        <v>0.97</v>
      </c>
      <c r="AQ49" s="6">
        <f t="shared" si="50"/>
        <v>0</v>
      </c>
      <c r="AR49">
        <f t="shared" si="51"/>
        <v>1</v>
      </c>
      <c r="AS49" s="6">
        <f t="shared" ref="AS49:AT49" si="54">W27</f>
        <v>0.02</v>
      </c>
      <c r="AT49">
        <f t="shared" si="54"/>
        <v>0.53</v>
      </c>
      <c r="AU49" s="6">
        <f t="shared" ref="AU49:AV49" si="55">AI6</f>
        <v>0.02</v>
      </c>
      <c r="AV49">
        <f t="shared" si="55"/>
        <v>0.38</v>
      </c>
    </row>
    <row r="50" spans="1:48" x14ac:dyDescent="0.25">
      <c r="A50" s="5">
        <f>Aware1!$K49/100</f>
        <v>0.01</v>
      </c>
      <c r="B50">
        <f>Aware1!$G50/100</f>
        <v>0.6</v>
      </c>
      <c r="C50" s="5"/>
      <c r="E50" s="5">
        <f>Aware3!$K49/100</f>
        <v>0</v>
      </c>
      <c r="F50">
        <f>Aware3!$G50/100</f>
        <v>1</v>
      </c>
      <c r="G50" s="5">
        <f>Aware4!$K49/100</f>
        <v>0</v>
      </c>
      <c r="H50">
        <f>Aware4!$G50/100</f>
        <v>1</v>
      </c>
      <c r="I50" s="5"/>
      <c r="K50" s="5">
        <f>Learn1!$K49/100</f>
        <v>0.01</v>
      </c>
      <c r="L50">
        <f>Learn1!$G50/100</f>
        <v>0.23</v>
      </c>
      <c r="M50" s="5">
        <f>Learn2!$K49/100</f>
        <v>0</v>
      </c>
      <c r="N50">
        <f>Learn2!$G50/100</f>
        <v>1</v>
      </c>
      <c r="O50" s="5"/>
      <c r="S50" s="5"/>
      <c r="AA50" s="5"/>
      <c r="AO50" s="6">
        <f t="shared" si="0"/>
        <v>0.01</v>
      </c>
      <c r="AP50">
        <f t="shared" si="1"/>
        <v>0.6</v>
      </c>
      <c r="AQ50" s="6">
        <f t="shared" si="50"/>
        <v>0.01</v>
      </c>
      <c r="AR50">
        <f t="shared" si="51"/>
        <v>0.23</v>
      </c>
      <c r="AS50" s="6">
        <f t="shared" ref="AS50:AT50" si="56">W28</f>
        <v>0</v>
      </c>
      <c r="AT50">
        <f t="shared" si="56"/>
        <v>0.96</v>
      </c>
      <c r="AU50" s="6">
        <f t="shared" ref="AU50:AV50" si="57">AI7</f>
        <v>0.01</v>
      </c>
      <c r="AV50">
        <f t="shared" si="57"/>
        <v>0.52</v>
      </c>
    </row>
    <row r="51" spans="1:48" x14ac:dyDescent="0.25">
      <c r="A51" s="5">
        <f>Aware1!$K50/100</f>
        <v>0</v>
      </c>
      <c r="B51">
        <f>Aware1!$G51/100</f>
        <v>1</v>
      </c>
      <c r="C51" s="5"/>
      <c r="E51" s="5">
        <f>Aware3!$K50/100</f>
        <v>0</v>
      </c>
      <c r="F51">
        <f>Aware3!$G51/100</f>
        <v>1</v>
      </c>
      <c r="G51" s="5">
        <f>Aware4!$K50/100</f>
        <v>0.01</v>
      </c>
      <c r="H51">
        <f>Aware4!$G51/100</f>
        <v>0.61</v>
      </c>
      <c r="I51" s="5"/>
      <c r="K51" s="5">
        <f>Learn1!$K50/100</f>
        <v>0</v>
      </c>
      <c r="L51">
        <f>Learn1!$G51/100</f>
        <v>1</v>
      </c>
      <c r="M51" s="5">
        <f>Learn2!$K50/100</f>
        <v>0</v>
      </c>
      <c r="N51">
        <f>Learn2!$G51/100</f>
        <v>1</v>
      </c>
      <c r="O51" s="5"/>
      <c r="AA51" s="5"/>
      <c r="AO51" s="6">
        <f t="shared" si="0"/>
        <v>0</v>
      </c>
      <c r="AP51">
        <f t="shared" si="1"/>
        <v>1</v>
      </c>
      <c r="AQ51" s="6">
        <f t="shared" si="50"/>
        <v>0</v>
      </c>
      <c r="AR51">
        <f t="shared" si="51"/>
        <v>1</v>
      </c>
      <c r="AS51" s="6">
        <f t="shared" ref="AS51:AT51" si="58">W29</f>
        <v>0</v>
      </c>
      <c r="AT51">
        <f t="shared" si="58"/>
        <v>0.95</v>
      </c>
      <c r="AU51" s="6">
        <f t="shared" ref="AU51:AV51" si="59">AI8</f>
        <v>0.03</v>
      </c>
      <c r="AV51">
        <f t="shared" si="59"/>
        <v>0.37</v>
      </c>
    </row>
    <row r="52" spans="1:48" x14ac:dyDescent="0.25">
      <c r="A52" s="5"/>
      <c r="C52" s="5"/>
      <c r="E52" s="5"/>
      <c r="G52" s="5"/>
      <c r="I52" s="5"/>
      <c r="K52" s="5"/>
      <c r="M52" s="5"/>
      <c r="AA52" s="5"/>
      <c r="AO52" s="6">
        <f>C3</f>
        <v>0</v>
      </c>
      <c r="AP52">
        <f>D3</f>
        <v>1</v>
      </c>
      <c r="AQ52" s="6">
        <f>M3</f>
        <v>0</v>
      </c>
      <c r="AR52">
        <f>N3</f>
        <v>1</v>
      </c>
      <c r="AS52" s="6">
        <f>Y3</f>
        <v>0</v>
      </c>
      <c r="AT52">
        <f>Z3</f>
        <v>0.95</v>
      </c>
      <c r="AU52" s="6">
        <f t="shared" ref="AU52:AV52" si="60">AI9</f>
        <v>0.03</v>
      </c>
      <c r="AV52">
        <f t="shared" si="60"/>
        <v>0.34</v>
      </c>
    </row>
    <row r="53" spans="1:48" x14ac:dyDescent="0.25">
      <c r="A53" s="5"/>
      <c r="C53" s="5"/>
      <c r="E53" s="5"/>
      <c r="G53" s="5"/>
      <c r="I53" s="5"/>
      <c r="K53" s="5"/>
      <c r="M53" s="5"/>
      <c r="AA53" s="5"/>
      <c r="AO53" s="6">
        <f t="shared" ref="AO53:AP53" si="61">C4</f>
        <v>0</v>
      </c>
      <c r="AP53">
        <f t="shared" si="61"/>
        <v>1</v>
      </c>
      <c r="AQ53" s="6">
        <f t="shared" ref="AQ53:AR53" si="62">M4</f>
        <v>0</v>
      </c>
      <c r="AR53">
        <f t="shared" si="62"/>
        <v>1</v>
      </c>
      <c r="AS53" s="6">
        <f t="shared" ref="AS53:AT53" si="63">Y4</f>
        <v>0</v>
      </c>
      <c r="AT53">
        <f t="shared" si="63"/>
        <v>0.95</v>
      </c>
      <c r="AU53" s="6">
        <f t="shared" ref="AU53:AV53" si="64">AI10</f>
        <v>0.03</v>
      </c>
      <c r="AV53">
        <f t="shared" si="64"/>
        <v>0.28999999999999998</v>
      </c>
    </row>
    <row r="54" spans="1:48" x14ac:dyDescent="0.25">
      <c r="A54" s="5"/>
      <c r="C54" s="5"/>
      <c r="E54" s="5"/>
      <c r="G54" s="5"/>
      <c r="I54" s="5"/>
      <c r="K54" s="5"/>
      <c r="M54" s="5"/>
      <c r="AA54" s="5"/>
      <c r="AO54" s="6">
        <f t="shared" ref="AO54:AP54" si="65">C5</f>
        <v>0</v>
      </c>
      <c r="AP54">
        <f t="shared" si="65"/>
        <v>0.99</v>
      </c>
      <c r="AQ54" s="6">
        <f t="shared" ref="AQ54:AR54" si="66">M5</f>
        <v>0</v>
      </c>
      <c r="AR54">
        <f t="shared" si="66"/>
        <v>1</v>
      </c>
      <c r="AS54" s="6">
        <f t="shared" ref="AS54:AT54" si="67">Y5</f>
        <v>0</v>
      </c>
      <c r="AT54">
        <f t="shared" si="67"/>
        <v>0.95</v>
      </c>
      <c r="AU54" s="6">
        <f t="shared" ref="AU54:AV54" si="68">AI11</f>
        <v>0.02</v>
      </c>
      <c r="AV54">
        <f t="shared" si="68"/>
        <v>0.32</v>
      </c>
    </row>
    <row r="55" spans="1:48" x14ac:dyDescent="0.25">
      <c r="A55" s="5"/>
      <c r="C55" s="5"/>
      <c r="G55" s="5"/>
      <c r="I55" s="5"/>
      <c r="K55" s="5"/>
      <c r="M55" s="5"/>
      <c r="AA55" s="5"/>
      <c r="AO55" s="6">
        <f t="shared" ref="AO55:AP55" si="69">C6</f>
        <v>0.02</v>
      </c>
      <c r="AP55">
        <f t="shared" si="69"/>
        <v>0.27</v>
      </c>
      <c r="AQ55" s="6">
        <f t="shared" ref="AQ55:AR55" si="70">M6</f>
        <v>0.02</v>
      </c>
      <c r="AR55">
        <f t="shared" si="70"/>
        <v>0.11</v>
      </c>
      <c r="AS55" s="6">
        <f t="shared" ref="AS55:AT55" si="71">Y6</f>
        <v>0.02</v>
      </c>
      <c r="AT55">
        <f t="shared" si="71"/>
        <v>0.54</v>
      </c>
      <c r="AU55" s="6">
        <f t="shared" ref="AU55:AV55" si="72">AI12</f>
        <v>0.04</v>
      </c>
      <c r="AV55">
        <f t="shared" si="72"/>
        <v>0.35</v>
      </c>
    </row>
    <row r="56" spans="1:48" x14ac:dyDescent="0.25">
      <c r="A56" s="5"/>
      <c r="C56" s="5"/>
      <c r="I56" s="5"/>
      <c r="K56" s="5"/>
      <c r="M56" s="5"/>
      <c r="AA56" s="5"/>
      <c r="AO56" s="6">
        <f t="shared" ref="AO56:AP56" si="73">C7</f>
        <v>0</v>
      </c>
      <c r="AP56">
        <f t="shared" si="73"/>
        <v>0.98</v>
      </c>
      <c r="AQ56" s="6">
        <f t="shared" ref="AQ56:AR56" si="74">M7</f>
        <v>0</v>
      </c>
      <c r="AR56">
        <f t="shared" si="74"/>
        <v>0.98</v>
      </c>
      <c r="AS56" s="6">
        <f t="shared" ref="AS56:AT56" si="75">Y7</f>
        <v>0.02</v>
      </c>
      <c r="AT56">
        <f t="shared" si="75"/>
        <v>0.49</v>
      </c>
      <c r="AU56" s="6">
        <f t="shared" ref="AU56:AV56" si="76">AI13</f>
        <v>0.05</v>
      </c>
      <c r="AV56">
        <f t="shared" si="76"/>
        <v>0.41</v>
      </c>
    </row>
    <row r="57" spans="1:48" x14ac:dyDescent="0.25">
      <c r="A57" s="5"/>
      <c r="C57" s="5"/>
      <c r="I57" s="5"/>
      <c r="AA57" s="5"/>
      <c r="AO57" s="6">
        <f t="shared" ref="AO57:AP57" si="77">C8</f>
        <v>0</v>
      </c>
      <c r="AP57">
        <f t="shared" si="77"/>
        <v>0.99</v>
      </c>
      <c r="AQ57" s="6">
        <f t="shared" ref="AQ57:AR57" si="78">M8</f>
        <v>0.03</v>
      </c>
      <c r="AR57">
        <f t="shared" si="78"/>
        <v>0.2</v>
      </c>
      <c r="AS57" s="6">
        <f t="shared" ref="AS57:AT57" si="79">Y8</f>
        <v>0</v>
      </c>
      <c r="AT57">
        <f t="shared" si="79"/>
        <v>0.93</v>
      </c>
      <c r="AU57" s="6">
        <f t="shared" ref="AU57:AV57" si="80">AI14</f>
        <v>0.02</v>
      </c>
      <c r="AV57">
        <f t="shared" si="80"/>
        <v>0.3</v>
      </c>
    </row>
    <row r="58" spans="1:48" x14ac:dyDescent="0.25">
      <c r="A58" s="5"/>
      <c r="C58" s="5"/>
      <c r="I58" s="5"/>
      <c r="AA58" s="5"/>
      <c r="AO58" s="6">
        <f t="shared" ref="AO58:AP58" si="81">C9</f>
        <v>0.01</v>
      </c>
      <c r="AP58">
        <f t="shared" si="81"/>
        <v>0.61</v>
      </c>
      <c r="AQ58" s="6">
        <f t="shared" ref="AQ58:AR58" si="82">M9</f>
        <v>0.05</v>
      </c>
      <c r="AR58">
        <f t="shared" si="82"/>
        <v>0.13</v>
      </c>
      <c r="AS58" s="6">
        <f t="shared" ref="AS58:AT58" si="83">Y9</f>
        <v>0</v>
      </c>
      <c r="AT58">
        <f t="shared" si="83"/>
        <v>0.93</v>
      </c>
      <c r="AU58" s="6">
        <f t="shared" ref="AU58:AV58" si="84">AI15</f>
        <v>0.02</v>
      </c>
      <c r="AV58">
        <f t="shared" si="84"/>
        <v>0.35</v>
      </c>
    </row>
    <row r="59" spans="1:48" x14ac:dyDescent="0.25">
      <c r="A59" s="5"/>
      <c r="C59" s="5"/>
      <c r="I59" s="5"/>
      <c r="AA59" s="5"/>
      <c r="AO59" s="6">
        <f t="shared" ref="AO59:AP59" si="85">C10</f>
        <v>0</v>
      </c>
      <c r="AP59">
        <f t="shared" si="85"/>
        <v>0.99</v>
      </c>
      <c r="AQ59" s="6">
        <f t="shared" ref="AQ59:AR59" si="86">M10</f>
        <v>0.03</v>
      </c>
      <c r="AR59">
        <f t="shared" si="86"/>
        <v>0.14000000000000001</v>
      </c>
      <c r="AS59" s="6">
        <f t="shared" ref="AS59:AT59" si="87">Y10</f>
        <v>0.03</v>
      </c>
      <c r="AT59">
        <f t="shared" si="87"/>
        <v>0.43</v>
      </c>
      <c r="AU59" s="6">
        <f t="shared" ref="AU59:AV59" si="88">AI16</f>
        <v>0.03</v>
      </c>
      <c r="AV59">
        <f t="shared" si="88"/>
        <v>0.36</v>
      </c>
    </row>
    <row r="60" spans="1:48" x14ac:dyDescent="0.25">
      <c r="A60" s="5"/>
      <c r="C60" s="5"/>
      <c r="I60" s="5"/>
      <c r="AA60" s="5"/>
      <c r="AO60" s="6">
        <f t="shared" ref="AO60:AP60" si="89">C11</f>
        <v>0.01</v>
      </c>
      <c r="AP60">
        <f t="shared" si="89"/>
        <v>0.56000000000000005</v>
      </c>
      <c r="AQ60" s="6">
        <f t="shared" ref="AQ60:AR60" si="90">M11</f>
        <v>0.09</v>
      </c>
      <c r="AR60">
        <f t="shared" si="90"/>
        <v>0.14000000000000001</v>
      </c>
      <c r="AS60" s="6">
        <f t="shared" ref="AS60:AT60" si="91">Y11</f>
        <v>0.03</v>
      </c>
      <c r="AT60">
        <f t="shared" si="91"/>
        <v>0.46</v>
      </c>
      <c r="AU60" s="6">
        <f t="shared" ref="AU60:AV60" si="92">AI17</f>
        <v>0.02</v>
      </c>
      <c r="AV60">
        <f t="shared" si="92"/>
        <v>0.34</v>
      </c>
    </row>
    <row r="61" spans="1:48" x14ac:dyDescent="0.25">
      <c r="A61" s="5"/>
      <c r="AO61" s="6">
        <f t="shared" ref="AO61:AP61" si="93">C12</f>
        <v>0.03</v>
      </c>
      <c r="AP61">
        <f t="shared" si="93"/>
        <v>0.28999999999999998</v>
      </c>
      <c r="AQ61" s="6">
        <f t="shared" ref="AQ61:AR61" si="94">M12</f>
        <v>0.04</v>
      </c>
      <c r="AR61">
        <f t="shared" si="94"/>
        <v>0.18</v>
      </c>
      <c r="AS61" s="6">
        <f t="shared" ref="AS61:AT61" si="95">Y12</f>
        <v>7.0000000000000007E-2</v>
      </c>
      <c r="AT61">
        <f t="shared" si="95"/>
        <v>0.35</v>
      </c>
      <c r="AU61" s="6">
        <f t="shared" ref="AU61:AV61" si="96">AI18</f>
        <v>0.02</v>
      </c>
      <c r="AV61">
        <f t="shared" si="96"/>
        <v>0.34</v>
      </c>
    </row>
    <row r="62" spans="1:48" x14ac:dyDescent="0.25">
      <c r="A62" s="5"/>
      <c r="AO62" s="6">
        <f t="shared" ref="AO62:AP62" si="97">C13</f>
        <v>0.02</v>
      </c>
      <c r="AP62">
        <f t="shared" si="97"/>
        <v>0.25</v>
      </c>
      <c r="AQ62" s="6">
        <f t="shared" ref="AQ62:AR62" si="98">M13</f>
        <v>0.03</v>
      </c>
      <c r="AR62">
        <f t="shared" si="98"/>
        <v>0.1</v>
      </c>
      <c r="AS62" s="6">
        <f t="shared" ref="AS62:AT62" si="99">Y13</f>
        <v>0.1</v>
      </c>
      <c r="AT62">
        <f t="shared" si="99"/>
        <v>0.41</v>
      </c>
      <c r="AU62" s="6">
        <f>AI19</f>
        <v>0.02</v>
      </c>
      <c r="AV62">
        <f>AJ19</f>
        <v>0.31</v>
      </c>
    </row>
    <row r="63" spans="1:48" x14ac:dyDescent="0.25">
      <c r="A63" s="5"/>
      <c r="AO63" s="6">
        <f t="shared" ref="AO63:AP63" si="100">C14</f>
        <v>0.05</v>
      </c>
      <c r="AP63">
        <f t="shared" si="100"/>
        <v>0.23</v>
      </c>
      <c r="AQ63" s="6">
        <f t="shared" ref="AQ63:AR63" si="101">M14</f>
        <v>0.05</v>
      </c>
      <c r="AR63">
        <f t="shared" si="101"/>
        <v>0.14000000000000001</v>
      </c>
      <c r="AS63" s="6">
        <f t="shared" ref="AS63:AT63" si="102">Y14</f>
        <v>0.08</v>
      </c>
      <c r="AT63">
        <f t="shared" si="102"/>
        <v>0.39</v>
      </c>
      <c r="AU63" s="6">
        <f t="shared" ref="AU63:AU67" si="103">AI20</f>
        <v>0.01</v>
      </c>
      <c r="AV63">
        <f t="shared" ref="AV63:AV67" si="104">AJ20</f>
        <v>0.52</v>
      </c>
    </row>
    <row r="64" spans="1:48" x14ac:dyDescent="0.25">
      <c r="A64" s="5"/>
      <c r="AO64" s="6">
        <f t="shared" ref="AO64:AP64" si="105">C15</f>
        <v>0.06</v>
      </c>
      <c r="AP64">
        <f t="shared" si="105"/>
        <v>0.23</v>
      </c>
      <c r="AQ64" s="6">
        <f t="shared" ref="AQ64:AR64" si="106">M15</f>
        <v>0.04</v>
      </c>
      <c r="AR64">
        <f t="shared" si="106"/>
        <v>0.13</v>
      </c>
      <c r="AS64" s="6">
        <f t="shared" ref="AS64:AT64" si="107">Y15</f>
        <v>0.1</v>
      </c>
      <c r="AT64">
        <f t="shared" si="107"/>
        <v>0.41</v>
      </c>
      <c r="AU64" s="6">
        <f t="shared" si="103"/>
        <v>0.01</v>
      </c>
      <c r="AV64">
        <f t="shared" si="104"/>
        <v>0.55000000000000004</v>
      </c>
    </row>
    <row r="65" spans="41:48" x14ac:dyDescent="0.25">
      <c r="AO65" s="6">
        <f t="shared" ref="AO65:AP65" si="108">C16</f>
        <v>0.01</v>
      </c>
      <c r="AP65">
        <f t="shared" si="108"/>
        <v>0.47</v>
      </c>
      <c r="AQ65" s="6">
        <f t="shared" ref="AQ65:AR65" si="109">M16</f>
        <v>0.01</v>
      </c>
      <c r="AR65">
        <f t="shared" si="109"/>
        <v>0.23</v>
      </c>
      <c r="AS65" s="6">
        <f t="shared" ref="AS65:AT65" si="110">Y16</f>
        <v>7.0000000000000007E-2</v>
      </c>
      <c r="AT65">
        <f t="shared" si="110"/>
        <v>0.37</v>
      </c>
      <c r="AU65" s="6">
        <f t="shared" si="103"/>
        <v>0</v>
      </c>
      <c r="AV65">
        <f t="shared" si="104"/>
        <v>0.99</v>
      </c>
    </row>
    <row r="66" spans="41:48" x14ac:dyDescent="0.25">
      <c r="AO66" s="6">
        <f t="shared" ref="AO66:AP66" si="111">C17</f>
        <v>0.05</v>
      </c>
      <c r="AP66">
        <f t="shared" si="111"/>
        <v>0.19</v>
      </c>
      <c r="AQ66" s="6">
        <f t="shared" ref="AQ66:AR66" si="112">M17</f>
        <v>0</v>
      </c>
      <c r="AR66">
        <f t="shared" si="112"/>
        <v>1</v>
      </c>
      <c r="AS66" s="6">
        <f t="shared" ref="AS66:AT66" si="113">Y17</f>
        <v>0.08</v>
      </c>
      <c r="AT66">
        <f t="shared" si="113"/>
        <v>0.35</v>
      </c>
      <c r="AU66" s="6">
        <f t="shared" si="103"/>
        <v>0.01</v>
      </c>
      <c r="AV66">
        <f t="shared" si="104"/>
        <v>0.59</v>
      </c>
    </row>
    <row r="67" spans="41:48" x14ac:dyDescent="0.25">
      <c r="AO67" s="6">
        <f t="shared" ref="AO67:AP67" si="114">C18</f>
        <v>0.05</v>
      </c>
      <c r="AP67">
        <f t="shared" si="114"/>
        <v>0.2</v>
      </c>
      <c r="AQ67" s="6">
        <f t="shared" ref="AQ67:AR67" si="115">M18</f>
        <v>0</v>
      </c>
      <c r="AR67">
        <f t="shared" si="115"/>
        <v>1</v>
      </c>
      <c r="AS67" s="6">
        <f t="shared" ref="AS67:AT67" si="116">Y18</f>
        <v>0.04</v>
      </c>
      <c r="AT67">
        <f t="shared" si="116"/>
        <v>0.43</v>
      </c>
      <c r="AU67" s="6">
        <f t="shared" si="103"/>
        <v>0.01</v>
      </c>
      <c r="AV67">
        <f t="shared" si="104"/>
        <v>0.62</v>
      </c>
    </row>
    <row r="68" spans="41:48" x14ac:dyDescent="0.25">
      <c r="AO68" s="6">
        <f t="shared" ref="AO68:AP68" si="117">C19</f>
        <v>0.04</v>
      </c>
      <c r="AP68">
        <f t="shared" si="117"/>
        <v>0.23</v>
      </c>
      <c r="AQ68" s="6">
        <f t="shared" ref="AQ68:AR68" si="118">M19</f>
        <v>0</v>
      </c>
      <c r="AR68">
        <f t="shared" si="118"/>
        <v>1</v>
      </c>
      <c r="AS68" s="6">
        <f t="shared" ref="AS68:AT68" si="119">Y19</f>
        <v>0.01</v>
      </c>
      <c r="AT68">
        <f t="shared" si="119"/>
        <v>0.64</v>
      </c>
      <c r="AU68" s="6">
        <f>AI25</f>
        <v>0</v>
      </c>
      <c r="AV68">
        <f>AJ25</f>
        <v>0.99</v>
      </c>
    </row>
    <row r="69" spans="41:48" x14ac:dyDescent="0.25">
      <c r="AO69" s="6">
        <f t="shared" ref="AO69:AP69" si="120">C20</f>
        <v>0.06</v>
      </c>
      <c r="AP69">
        <f t="shared" si="120"/>
        <v>0.2</v>
      </c>
      <c r="AQ69" s="6">
        <f t="shared" ref="AQ69:AR69" si="121">M20</f>
        <v>0</v>
      </c>
      <c r="AR69">
        <f t="shared" si="121"/>
        <v>1</v>
      </c>
      <c r="AS69" s="6">
        <f t="shared" ref="AS69:AT69" si="122">Y20</f>
        <v>0.02</v>
      </c>
      <c r="AT69">
        <f t="shared" si="122"/>
        <v>0.53</v>
      </c>
      <c r="AU69" s="6">
        <f t="shared" ref="AU69:AU76" si="123">AI26</f>
        <v>0.02</v>
      </c>
      <c r="AV69">
        <f t="shared" ref="AV69:AV76" si="124">AJ26</f>
        <v>0.4</v>
      </c>
    </row>
    <row r="70" spans="41:48" x14ac:dyDescent="0.25">
      <c r="AO70" s="6">
        <f t="shared" ref="AO70:AP70" si="125">C21</f>
        <v>0.01</v>
      </c>
      <c r="AP70">
        <f t="shared" si="125"/>
        <v>0.5</v>
      </c>
      <c r="AQ70" s="6">
        <f t="shared" ref="AQ70:AR70" si="126">M21</f>
        <v>0.03</v>
      </c>
      <c r="AR70">
        <f t="shared" si="126"/>
        <v>0.2</v>
      </c>
      <c r="AS70" s="6">
        <f t="shared" ref="AS70:AT70" si="127">Y21</f>
        <v>0</v>
      </c>
      <c r="AT70">
        <f t="shared" si="127"/>
        <v>0.96</v>
      </c>
      <c r="AU70" s="6">
        <f t="shared" si="123"/>
        <v>0</v>
      </c>
      <c r="AV70">
        <f t="shared" si="124"/>
        <v>0.99</v>
      </c>
    </row>
    <row r="71" spans="41:48" x14ac:dyDescent="0.25">
      <c r="AO71" s="6">
        <f t="shared" ref="AO71:AP71" si="128">C22</f>
        <v>0.02</v>
      </c>
      <c r="AP71">
        <f t="shared" si="128"/>
        <v>0.27</v>
      </c>
      <c r="AQ71" s="6">
        <f t="shared" ref="AQ71:AR71" si="129">M22</f>
        <v>0.01</v>
      </c>
      <c r="AR71">
        <f t="shared" si="129"/>
        <v>0.3</v>
      </c>
      <c r="AS71" s="6">
        <f t="shared" ref="AS71:AT71" si="130">Y22</f>
        <v>0.01</v>
      </c>
      <c r="AT71">
        <f t="shared" si="130"/>
        <v>0.65</v>
      </c>
      <c r="AU71" s="6">
        <f t="shared" si="123"/>
        <v>0</v>
      </c>
      <c r="AV71">
        <f t="shared" si="124"/>
        <v>1</v>
      </c>
    </row>
    <row r="72" spans="41:48" x14ac:dyDescent="0.25">
      <c r="AO72" s="6">
        <f t="shared" ref="AO72:AP72" si="131">C23</f>
        <v>0</v>
      </c>
      <c r="AP72">
        <f t="shared" si="131"/>
        <v>0.99</v>
      </c>
      <c r="AQ72" s="6">
        <f t="shared" ref="AQ72:AR72" si="132">M23</f>
        <v>0</v>
      </c>
      <c r="AR72">
        <f t="shared" si="132"/>
        <v>0.99</v>
      </c>
      <c r="AS72" s="6">
        <f t="shared" ref="AS72:AT72" si="133">Y23</f>
        <v>0.02</v>
      </c>
      <c r="AT72">
        <f t="shared" si="133"/>
        <v>0.52</v>
      </c>
      <c r="AU72" s="6">
        <f t="shared" si="123"/>
        <v>0.01</v>
      </c>
      <c r="AV72">
        <f t="shared" si="124"/>
        <v>0.56000000000000005</v>
      </c>
    </row>
    <row r="73" spans="41:48" x14ac:dyDescent="0.25">
      <c r="AO73" s="6">
        <f t="shared" ref="AO73:AP73" si="134">C24</f>
        <v>0</v>
      </c>
      <c r="AP73">
        <f t="shared" si="134"/>
        <v>0.99</v>
      </c>
      <c r="AQ73" s="6">
        <f t="shared" ref="AQ73:AR73" si="135">M24</f>
        <v>0.02</v>
      </c>
      <c r="AR73">
        <f t="shared" si="135"/>
        <v>0.13</v>
      </c>
      <c r="AS73" s="6">
        <f t="shared" ref="AS73:AT73" si="136">Y24</f>
        <v>0.01</v>
      </c>
      <c r="AT73">
        <f t="shared" si="136"/>
        <v>0.69</v>
      </c>
      <c r="AU73" s="6">
        <f t="shared" si="123"/>
        <v>0.01</v>
      </c>
      <c r="AV73">
        <f t="shared" si="124"/>
        <v>0.55000000000000004</v>
      </c>
    </row>
    <row r="74" spans="41:48" x14ac:dyDescent="0.25">
      <c r="AO74" s="6">
        <f t="shared" ref="AO74:AP74" si="137">C25</f>
        <v>0.01</v>
      </c>
      <c r="AP74">
        <f t="shared" si="137"/>
        <v>0.6</v>
      </c>
      <c r="AQ74" s="6">
        <f t="shared" ref="AQ74:AR74" si="138">M25</f>
        <v>0</v>
      </c>
      <c r="AR74">
        <f t="shared" si="138"/>
        <v>0.98</v>
      </c>
      <c r="AS74" s="6">
        <f t="shared" ref="AS74:AT74" si="139">Y25</f>
        <v>0.01</v>
      </c>
      <c r="AT74">
        <f t="shared" si="139"/>
        <v>0.71</v>
      </c>
      <c r="AU74" s="6">
        <f t="shared" si="123"/>
        <v>0.04</v>
      </c>
      <c r="AV74">
        <f t="shared" si="124"/>
        <v>0.46</v>
      </c>
    </row>
    <row r="75" spans="41:48" x14ac:dyDescent="0.25">
      <c r="AO75" s="6">
        <f t="shared" ref="AO75:AP75" si="140">C26</f>
        <v>0</v>
      </c>
      <c r="AP75">
        <f t="shared" si="140"/>
        <v>1</v>
      </c>
      <c r="AQ75" s="6">
        <f t="shared" ref="AQ75:AR75" si="141">M26</f>
        <v>0</v>
      </c>
      <c r="AR75">
        <f t="shared" si="141"/>
        <v>1</v>
      </c>
      <c r="AS75" s="6">
        <f t="shared" ref="AS75:AT75" si="142">Y26</f>
        <v>0</v>
      </c>
      <c r="AT75">
        <f t="shared" si="142"/>
        <v>0.94</v>
      </c>
      <c r="AU75" s="6">
        <f t="shared" si="123"/>
        <v>0.03</v>
      </c>
      <c r="AV75">
        <f t="shared" si="124"/>
        <v>0.4</v>
      </c>
    </row>
    <row r="76" spans="41:48" x14ac:dyDescent="0.25">
      <c r="AO76" s="6">
        <f t="shared" ref="AO76:AP76" si="143">C27</f>
        <v>0.02</v>
      </c>
      <c r="AP76">
        <f t="shared" si="143"/>
        <v>0.26</v>
      </c>
      <c r="AQ76" s="6">
        <f t="shared" ref="AQ76:AR76" si="144">M27</f>
        <v>0.02</v>
      </c>
      <c r="AR76">
        <f t="shared" si="144"/>
        <v>0.1</v>
      </c>
      <c r="AS76" s="6">
        <f>Y27</f>
        <v>0.01</v>
      </c>
      <c r="AT76">
        <f>Z27</f>
        <v>0.66</v>
      </c>
      <c r="AU76" s="6">
        <f t="shared" si="123"/>
        <v>0</v>
      </c>
      <c r="AV76">
        <f t="shared" si="124"/>
        <v>0.97</v>
      </c>
    </row>
    <row r="77" spans="41:48" x14ac:dyDescent="0.25">
      <c r="AO77" s="6">
        <f t="shared" ref="AO77:AP77" si="145">C28</f>
        <v>0.04</v>
      </c>
      <c r="AP77">
        <f t="shared" si="145"/>
        <v>0.3</v>
      </c>
      <c r="AQ77" s="6">
        <f t="shared" ref="AQ77:AR77" si="146">M28</f>
        <v>0</v>
      </c>
      <c r="AR77">
        <f t="shared" si="146"/>
        <v>0.98</v>
      </c>
      <c r="AS77" s="6">
        <f t="shared" ref="AS77:AS82" si="147">Y28</f>
        <v>0.03</v>
      </c>
      <c r="AT77">
        <f t="shared" ref="AT77:AT82" si="148">Z28</f>
        <v>0.5</v>
      </c>
      <c r="AU77" s="6">
        <f>AI34</f>
        <v>0</v>
      </c>
      <c r="AV77">
        <f>AJ34</f>
        <v>0.97</v>
      </c>
    </row>
    <row r="78" spans="41:48" x14ac:dyDescent="0.25">
      <c r="AO78" s="6">
        <f t="shared" ref="AO78:AP78" si="149">C29</f>
        <v>0.01</v>
      </c>
      <c r="AP78">
        <f t="shared" si="149"/>
        <v>0.59</v>
      </c>
      <c r="AQ78" s="6">
        <f t="shared" ref="AQ78:AR78" si="150">M29</f>
        <v>0</v>
      </c>
      <c r="AR78">
        <f t="shared" si="150"/>
        <v>1</v>
      </c>
      <c r="AS78" s="6">
        <f t="shared" si="147"/>
        <v>0.01</v>
      </c>
      <c r="AT78">
        <f t="shared" si="148"/>
        <v>0.67</v>
      </c>
      <c r="AU78" s="6">
        <f>AK3</f>
        <v>0</v>
      </c>
      <c r="AV78">
        <f>AL3</f>
        <v>1</v>
      </c>
    </row>
    <row r="79" spans="41:48" x14ac:dyDescent="0.25">
      <c r="AO79" s="6">
        <f t="shared" ref="AO79:AP79" si="151">C30</f>
        <v>0.02</v>
      </c>
      <c r="AP79">
        <f t="shared" si="151"/>
        <v>0.28000000000000003</v>
      </c>
      <c r="AQ79" s="6">
        <f t="shared" ref="AQ79:AR79" si="152">M30</f>
        <v>0.01</v>
      </c>
      <c r="AR79">
        <f t="shared" si="152"/>
        <v>0.32</v>
      </c>
      <c r="AS79" s="6">
        <f t="shared" si="147"/>
        <v>0.01</v>
      </c>
      <c r="AT79">
        <f t="shared" si="148"/>
        <v>0.72</v>
      </c>
      <c r="AU79" s="6">
        <f t="shared" ref="AU79:AV79" si="153">AK4</f>
        <v>0</v>
      </c>
      <c r="AV79">
        <f t="shared" si="153"/>
        <v>1</v>
      </c>
    </row>
    <row r="80" spans="41:48" x14ac:dyDescent="0.25">
      <c r="AO80" s="6">
        <f t="shared" ref="AO80:AP80" si="154">C31</f>
        <v>0</v>
      </c>
      <c r="AP80">
        <f t="shared" si="154"/>
        <v>0.98</v>
      </c>
      <c r="AQ80" s="6">
        <f t="shared" ref="AQ80:AR80" si="155">M31</f>
        <v>0</v>
      </c>
      <c r="AR80">
        <f t="shared" si="155"/>
        <v>1</v>
      </c>
      <c r="AS80" s="6">
        <f t="shared" si="147"/>
        <v>0.01</v>
      </c>
      <c r="AT80">
        <f t="shared" si="148"/>
        <v>0.7</v>
      </c>
      <c r="AU80" s="6">
        <f t="shared" ref="AU80:AV80" si="156">AK5</f>
        <v>0</v>
      </c>
      <c r="AV80">
        <f t="shared" si="156"/>
        <v>0.99</v>
      </c>
    </row>
    <row r="81" spans="41:48" x14ac:dyDescent="0.25">
      <c r="AO81" s="6">
        <f t="shared" ref="AO81:AP81" si="157">C32</f>
        <v>0</v>
      </c>
      <c r="AP81">
        <f t="shared" si="157"/>
        <v>1</v>
      </c>
      <c r="AQ81" s="6">
        <f t="shared" ref="AQ81:AR81" si="158">M32</f>
        <v>0.01</v>
      </c>
      <c r="AR81">
        <f t="shared" si="158"/>
        <v>0.32</v>
      </c>
      <c r="AS81" s="6">
        <f t="shared" si="147"/>
        <v>0.01</v>
      </c>
      <c r="AT81">
        <f t="shared" si="148"/>
        <v>0.66</v>
      </c>
      <c r="AU81" s="6">
        <f t="shared" ref="AU81:AV81" si="159">AK6</f>
        <v>0.02</v>
      </c>
      <c r="AV81">
        <f t="shared" si="159"/>
        <v>0.37</v>
      </c>
    </row>
    <row r="82" spans="41:48" x14ac:dyDescent="0.25">
      <c r="AO82" s="6">
        <f t="shared" ref="AO82:AP82" si="160">C33</f>
        <v>0</v>
      </c>
      <c r="AP82">
        <f t="shared" si="160"/>
        <v>1</v>
      </c>
      <c r="AQ82" s="6">
        <f t="shared" ref="AQ82:AR82" si="161">M33</f>
        <v>0.02</v>
      </c>
      <c r="AR82">
        <f t="shared" si="161"/>
        <v>0.13</v>
      </c>
      <c r="AS82" s="6">
        <f t="shared" si="147"/>
        <v>0</v>
      </c>
      <c r="AT82">
        <f t="shared" si="148"/>
        <v>0.95</v>
      </c>
      <c r="AU82" s="6">
        <f t="shared" ref="AU82:AV82" si="162">AK7</f>
        <v>0.03</v>
      </c>
      <c r="AV82">
        <f t="shared" si="162"/>
        <v>0.42</v>
      </c>
    </row>
    <row r="83" spans="41:48" x14ac:dyDescent="0.25">
      <c r="AO83" s="6">
        <f t="shared" ref="AO83:AP83" si="163">C34</f>
        <v>0</v>
      </c>
      <c r="AP83">
        <f t="shared" si="163"/>
        <v>0.98</v>
      </c>
      <c r="AQ83" s="6">
        <f t="shared" ref="AQ83:AR83" si="164">M34</f>
        <v>0</v>
      </c>
      <c r="AR83">
        <f t="shared" si="164"/>
        <v>0.98</v>
      </c>
      <c r="AS83" s="6">
        <f>Y34</f>
        <v>0</v>
      </c>
      <c r="AT83">
        <f>Z34</f>
        <v>0.95</v>
      </c>
      <c r="AU83" s="6">
        <f t="shared" ref="AU83:AV83" si="165">AK8</f>
        <v>0.04</v>
      </c>
      <c r="AV83">
        <f t="shared" si="165"/>
        <v>0.34</v>
      </c>
    </row>
    <row r="84" spans="41:48" x14ac:dyDescent="0.25">
      <c r="AO84" s="6">
        <f t="shared" ref="AO84:AP84" si="166">C35</f>
        <v>0.02</v>
      </c>
      <c r="AP84">
        <f t="shared" si="166"/>
        <v>0.28999999999999998</v>
      </c>
      <c r="AQ84" s="6">
        <f t="shared" ref="AQ84:AR84" si="167">M35</f>
        <v>0.01</v>
      </c>
      <c r="AR84">
        <f t="shared" si="167"/>
        <v>0.28000000000000003</v>
      </c>
      <c r="AS84" s="6">
        <f>AA3</f>
        <v>0</v>
      </c>
      <c r="AT84">
        <f>AB3</f>
        <v>0.98</v>
      </c>
      <c r="AU84" s="6">
        <f t="shared" ref="AU84:AV84" si="168">AK9</f>
        <v>0.06</v>
      </c>
      <c r="AV84">
        <f t="shared" si="168"/>
        <v>0.3</v>
      </c>
    </row>
    <row r="85" spans="41:48" x14ac:dyDescent="0.25">
      <c r="AO85" s="6">
        <f t="shared" ref="AO85:AP85" si="169">C36</f>
        <v>0.03</v>
      </c>
      <c r="AP85">
        <f t="shared" si="169"/>
        <v>0.34</v>
      </c>
      <c r="AQ85" s="6">
        <f t="shared" ref="AQ85:AR85" si="170">M36</f>
        <v>0</v>
      </c>
      <c r="AR85">
        <f t="shared" si="170"/>
        <v>0.99</v>
      </c>
      <c r="AS85" s="6">
        <f t="shared" ref="AS85:AT85" si="171">AA4</f>
        <v>0</v>
      </c>
      <c r="AT85">
        <f t="shared" si="171"/>
        <v>0.95</v>
      </c>
      <c r="AU85" s="6">
        <f t="shared" ref="AU85:AV85" si="172">AK10</f>
        <v>0.03</v>
      </c>
      <c r="AV85">
        <f t="shared" si="172"/>
        <v>0.32</v>
      </c>
    </row>
    <row r="86" spans="41:48" x14ac:dyDescent="0.25">
      <c r="AO86" s="6">
        <f t="shared" ref="AO86:AP86" si="173">C37</f>
        <v>0.03</v>
      </c>
      <c r="AP86">
        <f t="shared" si="173"/>
        <v>0.31</v>
      </c>
      <c r="AQ86" s="6">
        <f t="shared" ref="AQ86:AR86" si="174">M37</f>
        <v>0</v>
      </c>
      <c r="AR86">
        <f t="shared" si="174"/>
        <v>1</v>
      </c>
      <c r="AS86" s="6">
        <f t="shared" ref="AS86:AT86" si="175">AA5</f>
        <v>0</v>
      </c>
      <c r="AT86">
        <f t="shared" si="175"/>
        <v>0.98</v>
      </c>
      <c r="AU86" s="6">
        <f t="shared" ref="AU86:AV86" si="176">AK11</f>
        <v>0.06</v>
      </c>
      <c r="AV86">
        <f t="shared" si="176"/>
        <v>0.21</v>
      </c>
    </row>
    <row r="87" spans="41:48" x14ac:dyDescent="0.25">
      <c r="AO87" s="6">
        <f t="shared" ref="AO87:AP87" si="177">C38</f>
        <v>0.04</v>
      </c>
      <c r="AP87">
        <f t="shared" si="177"/>
        <v>0.32</v>
      </c>
      <c r="AQ87" s="6">
        <f t="shared" ref="AQ87:AR87" si="178">M38</f>
        <v>0.01</v>
      </c>
      <c r="AR87">
        <f t="shared" si="178"/>
        <v>0.3</v>
      </c>
      <c r="AS87" s="6">
        <f t="shared" ref="AS87:AT87" si="179">AA6</f>
        <v>0.02</v>
      </c>
      <c r="AT87">
        <f t="shared" si="179"/>
        <v>0.48</v>
      </c>
      <c r="AU87" s="6">
        <f t="shared" ref="AU87:AV87" si="180">AK12</f>
        <v>7.0000000000000007E-2</v>
      </c>
      <c r="AV87">
        <f t="shared" si="180"/>
        <v>0.23</v>
      </c>
    </row>
    <row r="88" spans="41:48" x14ac:dyDescent="0.25">
      <c r="AO88" s="6">
        <f t="shared" ref="AO88:AP88" si="181">C39</f>
        <v>0</v>
      </c>
      <c r="AP88">
        <f t="shared" si="181"/>
        <v>0.95</v>
      </c>
      <c r="AQ88" s="6">
        <f t="shared" ref="AQ88:AR88" si="182">M39</f>
        <v>0</v>
      </c>
      <c r="AR88">
        <f t="shared" si="182"/>
        <v>0.99</v>
      </c>
      <c r="AS88" s="6">
        <f t="shared" ref="AS88:AT88" si="183">AA7</f>
        <v>0.03</v>
      </c>
      <c r="AT88">
        <f t="shared" si="183"/>
        <v>0.42</v>
      </c>
      <c r="AU88" s="6">
        <f t="shared" ref="AU88:AV88" si="184">AK13</f>
        <v>0.04</v>
      </c>
      <c r="AV88">
        <f t="shared" si="184"/>
        <v>0.25</v>
      </c>
    </row>
    <row r="89" spans="41:48" x14ac:dyDescent="0.25">
      <c r="AO89" s="6">
        <f t="shared" ref="AO89:AP89" si="185">C40</f>
        <v>0</v>
      </c>
      <c r="AP89">
        <f t="shared" si="185"/>
        <v>0.98</v>
      </c>
      <c r="AQ89" s="6">
        <f t="shared" ref="AQ89:AR89" si="186">M40</f>
        <v>0</v>
      </c>
      <c r="AR89">
        <f t="shared" si="186"/>
        <v>1</v>
      </c>
      <c r="AS89" s="6">
        <f t="shared" ref="AS89:AT89" si="187">AA8</f>
        <v>0.05</v>
      </c>
      <c r="AT89">
        <f t="shared" si="187"/>
        <v>0.4</v>
      </c>
      <c r="AU89" s="6">
        <f t="shared" ref="AU89:AV89" si="188">AK14</f>
        <v>7.0000000000000007E-2</v>
      </c>
      <c r="AV89">
        <f t="shared" si="188"/>
        <v>0.23</v>
      </c>
    </row>
    <row r="90" spans="41:48" x14ac:dyDescent="0.25">
      <c r="AO90" s="6">
        <f t="shared" ref="AO90:AP90" si="189">C41</f>
        <v>0</v>
      </c>
      <c r="AP90">
        <f t="shared" si="189"/>
        <v>1</v>
      </c>
      <c r="AQ90" s="6">
        <f t="shared" ref="AQ90:AR90" si="190">M41</f>
        <v>0.02</v>
      </c>
      <c r="AR90">
        <f t="shared" si="190"/>
        <v>0.11</v>
      </c>
      <c r="AS90" s="6">
        <f t="shared" ref="AS90:AT90" si="191">AA9</f>
        <v>0.06</v>
      </c>
      <c r="AT90">
        <f t="shared" si="191"/>
        <v>0.36</v>
      </c>
      <c r="AU90" s="6">
        <f t="shared" ref="AU90:AV90" si="192">AK15</f>
        <v>0.03</v>
      </c>
      <c r="AV90">
        <f t="shared" si="192"/>
        <v>0.34</v>
      </c>
    </row>
    <row r="91" spans="41:48" x14ac:dyDescent="0.25">
      <c r="AO91" s="6">
        <f t="shared" ref="AO91:AP91" si="193">C42</f>
        <v>0</v>
      </c>
      <c r="AP91">
        <f t="shared" si="193"/>
        <v>1</v>
      </c>
      <c r="AQ91" s="6">
        <f t="shared" ref="AQ91:AR91" si="194">M42</f>
        <v>0</v>
      </c>
      <c r="AR91">
        <f t="shared" si="194"/>
        <v>0.99</v>
      </c>
      <c r="AS91" s="6">
        <f t="shared" ref="AS91:AT91" si="195">AA10</f>
        <v>7.0000000000000007E-2</v>
      </c>
      <c r="AT91">
        <f t="shared" si="195"/>
        <v>0.34</v>
      </c>
      <c r="AU91" s="6">
        <f t="shared" ref="AU91:AV91" si="196">AK16</f>
        <v>0.03</v>
      </c>
      <c r="AV91">
        <f t="shared" si="196"/>
        <v>0.35</v>
      </c>
    </row>
    <row r="92" spans="41:48" x14ac:dyDescent="0.25">
      <c r="AO92" s="6">
        <f t="shared" ref="AO92:AP92" si="197">C43</f>
        <v>0.01</v>
      </c>
      <c r="AP92">
        <f t="shared" si="197"/>
        <v>0.62</v>
      </c>
      <c r="AQ92" s="6">
        <f t="shared" ref="AQ92:AR92" si="198">M43</f>
        <v>0</v>
      </c>
      <c r="AR92">
        <f t="shared" si="198"/>
        <v>1</v>
      </c>
      <c r="AS92" s="6">
        <f t="shared" ref="AS92:AT92" si="199">AA11</f>
        <v>7.0000000000000007E-2</v>
      </c>
      <c r="AT92">
        <f t="shared" si="199"/>
        <v>0.33</v>
      </c>
      <c r="AU92" s="6">
        <f t="shared" ref="AU92:AV92" si="200">AK17</f>
        <v>0.02</v>
      </c>
      <c r="AV92">
        <f t="shared" si="200"/>
        <v>0.32</v>
      </c>
    </row>
    <row r="93" spans="41:48" x14ac:dyDescent="0.25">
      <c r="AO93" s="6">
        <f t="shared" ref="AO93:AP93" si="201">C44</f>
        <v>0.01</v>
      </c>
      <c r="AP93">
        <f t="shared" si="201"/>
        <v>0.6</v>
      </c>
      <c r="AQ93" s="6">
        <f t="shared" ref="AQ93:AR93" si="202">M44</f>
        <v>0.01</v>
      </c>
      <c r="AR93">
        <f t="shared" si="202"/>
        <v>0.28000000000000003</v>
      </c>
      <c r="AS93" s="6">
        <f t="shared" ref="AS93:AT93" si="203">AA12</f>
        <v>0.06</v>
      </c>
      <c r="AT93">
        <f t="shared" si="203"/>
        <v>0.26</v>
      </c>
      <c r="AU93" s="6">
        <f t="shared" ref="AU93:AV93" si="204">AK18</f>
        <v>0.01</v>
      </c>
      <c r="AV93">
        <f t="shared" si="204"/>
        <v>0.45</v>
      </c>
    </row>
    <row r="94" spans="41:48" x14ac:dyDescent="0.25">
      <c r="AO94" s="6">
        <f t="shared" ref="AO94:AP94" si="205">C45</f>
        <v>0</v>
      </c>
      <c r="AP94">
        <f t="shared" si="205"/>
        <v>1</v>
      </c>
      <c r="AQ94" s="6">
        <f t="shared" ref="AQ94:AR94" si="206">M45</f>
        <v>0</v>
      </c>
      <c r="AR94">
        <f t="shared" si="206"/>
        <v>0.99</v>
      </c>
      <c r="AS94" s="6">
        <f t="shared" ref="AS94:AT94" si="207">AA13</f>
        <v>0.06</v>
      </c>
      <c r="AT94">
        <f t="shared" si="207"/>
        <v>0.3</v>
      </c>
      <c r="AU94" s="6">
        <f t="shared" ref="AU94:AV94" si="208">AK19</f>
        <v>0.05</v>
      </c>
      <c r="AV94">
        <f t="shared" si="208"/>
        <v>0.34</v>
      </c>
    </row>
    <row r="95" spans="41:48" x14ac:dyDescent="0.25">
      <c r="AO95" s="6">
        <f t="shared" ref="AO95:AP95" si="209">C46</f>
        <v>0.01</v>
      </c>
      <c r="AP95">
        <f t="shared" si="209"/>
        <v>0.62</v>
      </c>
      <c r="AQ95" s="6">
        <f t="shared" ref="AQ95:AR95" si="210">M46</f>
        <v>0.02</v>
      </c>
      <c r="AR95">
        <f t="shared" si="210"/>
        <v>0.12</v>
      </c>
      <c r="AS95" s="6">
        <f t="shared" ref="AS95:AT95" si="211">AA14</f>
        <v>7.0000000000000007E-2</v>
      </c>
      <c r="AT95">
        <f t="shared" si="211"/>
        <v>0.24</v>
      </c>
      <c r="AU95" s="6">
        <f t="shared" ref="AU95:AV95" si="212">AK20</f>
        <v>0.04</v>
      </c>
      <c r="AV95">
        <f t="shared" si="212"/>
        <v>0.41</v>
      </c>
    </row>
    <row r="96" spans="41:48" x14ac:dyDescent="0.25">
      <c r="AO96" s="6">
        <f t="shared" ref="AO96:AP96" si="213">C47</f>
        <v>0</v>
      </c>
      <c r="AP96">
        <f t="shared" si="213"/>
        <v>1</v>
      </c>
      <c r="AQ96" s="6">
        <f t="shared" ref="AQ96:AR96" si="214">M47</f>
        <v>0.03</v>
      </c>
      <c r="AR96">
        <f t="shared" si="214"/>
        <v>0.18</v>
      </c>
      <c r="AS96" s="6">
        <f t="shared" ref="AS96:AT96" si="215">AA15</f>
        <v>0.04</v>
      </c>
      <c r="AT96">
        <f t="shared" si="215"/>
        <v>0.43</v>
      </c>
      <c r="AU96" s="6">
        <f t="shared" ref="AU96:AV96" si="216">AK21</f>
        <v>0</v>
      </c>
      <c r="AV96">
        <f t="shared" si="216"/>
        <v>0.94</v>
      </c>
    </row>
    <row r="97" spans="41:48" x14ac:dyDescent="0.25">
      <c r="AO97" s="6">
        <f t="shared" ref="AO97:AP97" si="217">C48</f>
        <v>0</v>
      </c>
      <c r="AP97">
        <f t="shared" si="217"/>
        <v>1</v>
      </c>
      <c r="AQ97" s="6">
        <f t="shared" ref="AQ97:AR97" si="218">M48</f>
        <v>0</v>
      </c>
      <c r="AR97">
        <f t="shared" si="218"/>
        <v>0.99</v>
      </c>
      <c r="AS97" s="6">
        <f t="shared" ref="AS97:AT97" si="219">AA16</f>
        <v>0.03</v>
      </c>
      <c r="AT97">
        <f t="shared" si="219"/>
        <v>0.4</v>
      </c>
      <c r="AU97" s="6">
        <f t="shared" ref="AU97:AV97" si="220">AK22</f>
        <v>0.01</v>
      </c>
      <c r="AV97">
        <f t="shared" si="220"/>
        <v>0.53</v>
      </c>
    </row>
    <row r="98" spans="41:48" x14ac:dyDescent="0.25">
      <c r="AO98" s="6">
        <f>E3</f>
        <v>0</v>
      </c>
      <c r="AP98">
        <f>F3</f>
        <v>1</v>
      </c>
      <c r="AQ98" s="6">
        <f t="shared" ref="AQ98:AR98" si="221">M49</f>
        <v>0.01</v>
      </c>
      <c r="AR98">
        <f t="shared" si="221"/>
        <v>0.28000000000000003</v>
      </c>
      <c r="AS98" s="6">
        <f t="shared" ref="AS98:AT98" si="222">AA17</f>
        <v>0.03</v>
      </c>
      <c r="AT98">
        <f t="shared" si="222"/>
        <v>0.45</v>
      </c>
      <c r="AU98" s="6">
        <f t="shared" ref="AU98:AV98" si="223">AK23</f>
        <v>0</v>
      </c>
      <c r="AV98">
        <f t="shared" si="223"/>
        <v>0.99</v>
      </c>
    </row>
    <row r="99" spans="41:48" x14ac:dyDescent="0.25">
      <c r="AO99" s="6">
        <f t="shared" ref="AO99:AP99" si="224">E4</f>
        <v>0</v>
      </c>
      <c r="AP99">
        <f t="shared" si="224"/>
        <v>1</v>
      </c>
      <c r="AQ99" s="6">
        <f t="shared" ref="AQ99:AR99" si="225">M50</f>
        <v>0</v>
      </c>
      <c r="AR99">
        <f t="shared" si="225"/>
        <v>1</v>
      </c>
      <c r="AS99" s="6">
        <f t="shared" ref="AS99:AT99" si="226">AA18</f>
        <v>0.01</v>
      </c>
      <c r="AT99">
        <f t="shared" si="226"/>
        <v>0.64</v>
      </c>
      <c r="AU99" s="6">
        <f t="shared" ref="AU99:AV99" si="227">AK24</f>
        <v>0</v>
      </c>
      <c r="AV99">
        <f t="shared" si="227"/>
        <v>0.98</v>
      </c>
    </row>
    <row r="100" spans="41:48" x14ac:dyDescent="0.25">
      <c r="AO100" s="6">
        <f t="shared" ref="AO100:AP100" si="228">E5</f>
        <v>0</v>
      </c>
      <c r="AP100">
        <f t="shared" si="228"/>
        <v>0.99</v>
      </c>
      <c r="AQ100" s="6">
        <f t="shared" ref="AQ100:AR100" si="229">M51</f>
        <v>0</v>
      </c>
      <c r="AR100">
        <f t="shared" si="229"/>
        <v>1</v>
      </c>
      <c r="AS100" s="6">
        <f t="shared" ref="AS100:AT100" si="230">AA19</f>
        <v>0.01</v>
      </c>
      <c r="AT100">
        <f t="shared" si="230"/>
        <v>0.65</v>
      </c>
      <c r="AU100" s="6">
        <f t="shared" ref="AU100:AV100" si="231">AK25</f>
        <v>0.02</v>
      </c>
      <c r="AV100">
        <f t="shared" si="231"/>
        <v>0.35</v>
      </c>
    </row>
    <row r="101" spans="41:48" x14ac:dyDescent="0.25">
      <c r="AO101" s="6">
        <f t="shared" ref="AO101:AP101" si="232">E6</f>
        <v>0.02</v>
      </c>
      <c r="AP101">
        <f t="shared" si="232"/>
        <v>0.28000000000000003</v>
      </c>
      <c r="AQ101" s="6">
        <f>O3</f>
        <v>0</v>
      </c>
      <c r="AR101">
        <f>P3</f>
        <v>0.98</v>
      </c>
      <c r="AS101" s="6">
        <f t="shared" ref="AS101:AT101" si="233">AA20</f>
        <v>0</v>
      </c>
      <c r="AT101">
        <f t="shared" si="233"/>
        <v>0.97</v>
      </c>
      <c r="AU101" s="6">
        <f t="shared" ref="AU101:AV101" si="234">AK26</f>
        <v>0</v>
      </c>
      <c r="AV101">
        <f t="shared" si="234"/>
        <v>0.98</v>
      </c>
    </row>
    <row r="102" spans="41:48" x14ac:dyDescent="0.25">
      <c r="AO102" s="6">
        <f t="shared" ref="AO102:AP102" si="235">E7</f>
        <v>0</v>
      </c>
      <c r="AP102">
        <f t="shared" si="235"/>
        <v>0.98</v>
      </c>
      <c r="AQ102" s="6">
        <f t="shared" ref="AQ102:AR102" si="236">O4</f>
        <v>0</v>
      </c>
      <c r="AR102">
        <f t="shared" si="236"/>
        <v>0.98</v>
      </c>
      <c r="AS102" s="6">
        <f t="shared" ref="AS102:AT102" si="237">AA21</f>
        <v>0.01</v>
      </c>
      <c r="AT102">
        <f t="shared" si="237"/>
        <v>0.64</v>
      </c>
      <c r="AU102" s="6">
        <f t="shared" ref="AU102:AV102" si="238">AK27</f>
        <v>0.01</v>
      </c>
      <c r="AV102">
        <f t="shared" si="238"/>
        <v>0.53</v>
      </c>
    </row>
    <row r="103" spans="41:48" x14ac:dyDescent="0.25">
      <c r="AO103" s="6">
        <f t="shared" ref="AO103:AP103" si="239">E8</f>
        <v>0.01</v>
      </c>
      <c r="AP103">
        <f t="shared" si="239"/>
        <v>0.5</v>
      </c>
      <c r="AQ103" s="6">
        <f t="shared" ref="AQ103:AR103" si="240">O5</f>
        <v>0</v>
      </c>
      <c r="AR103">
        <f t="shared" si="240"/>
        <v>0.98</v>
      </c>
      <c r="AS103" s="6">
        <f t="shared" ref="AS103:AT103" si="241">AA22</f>
        <v>0.01</v>
      </c>
      <c r="AT103">
        <f t="shared" si="241"/>
        <v>0.64</v>
      </c>
      <c r="AU103" s="6">
        <f t="shared" ref="AU103:AV103" si="242">AK28</f>
        <v>0.02</v>
      </c>
      <c r="AV103">
        <f t="shared" si="242"/>
        <v>0.38</v>
      </c>
    </row>
    <row r="104" spans="41:48" x14ac:dyDescent="0.25">
      <c r="AO104" s="6">
        <f t="shared" ref="AO104:AP104" si="243">E9</f>
        <v>0.02</v>
      </c>
      <c r="AP104">
        <f t="shared" si="243"/>
        <v>0.3</v>
      </c>
      <c r="AQ104" s="6">
        <f t="shared" ref="AQ104:AR104" si="244">O6</f>
        <v>0.02</v>
      </c>
      <c r="AR104">
        <f t="shared" si="244"/>
        <v>0.05</v>
      </c>
      <c r="AS104" s="6">
        <f t="shared" ref="AS104:AT104" si="245">AA23</f>
        <v>0.01</v>
      </c>
      <c r="AT104">
        <f t="shared" si="245"/>
        <v>0.64</v>
      </c>
      <c r="AU104" s="6">
        <f t="shared" ref="AU104:AV104" si="246">AK29</f>
        <v>0</v>
      </c>
      <c r="AV104">
        <f t="shared" si="246"/>
        <v>0.99</v>
      </c>
    </row>
    <row r="105" spans="41:48" x14ac:dyDescent="0.25">
      <c r="AO105" s="6">
        <f t="shared" ref="AO105:AP105" si="247">E10</f>
        <v>0</v>
      </c>
      <c r="AP105">
        <f t="shared" si="247"/>
        <v>0.98</v>
      </c>
      <c r="AQ105" s="6">
        <f t="shared" ref="AQ105:AR105" si="248">O7</f>
        <v>0.01</v>
      </c>
      <c r="AR105">
        <f t="shared" si="248"/>
        <v>0.17</v>
      </c>
      <c r="AS105" s="6">
        <f t="shared" ref="AS105:AT105" si="249">AA24</f>
        <v>0.02</v>
      </c>
      <c r="AT105">
        <f t="shared" si="249"/>
        <v>0.49</v>
      </c>
      <c r="AU105" s="6">
        <f t="shared" ref="AU105:AV105" si="250">AK30</f>
        <v>0.01</v>
      </c>
      <c r="AV105">
        <f t="shared" si="250"/>
        <v>0.53</v>
      </c>
    </row>
    <row r="106" spans="41:48" x14ac:dyDescent="0.25">
      <c r="AO106" s="6">
        <f t="shared" ref="AO106:AP106" si="251">E11</f>
        <v>0.01</v>
      </c>
      <c r="AP106">
        <f t="shared" si="251"/>
        <v>0.47</v>
      </c>
      <c r="AQ106" s="6">
        <f t="shared" ref="AQ106:AR106" si="252">O8</f>
        <v>0.01</v>
      </c>
      <c r="AR106">
        <f t="shared" si="252"/>
        <v>0.16</v>
      </c>
      <c r="AS106" s="6">
        <f t="shared" ref="AS106:AT106" si="253">AA25</f>
        <v>0.01</v>
      </c>
      <c r="AT106">
        <f t="shared" si="253"/>
        <v>0.7</v>
      </c>
      <c r="AU106" s="6">
        <f t="shared" ref="AU106:AV106" si="254">AK31</f>
        <v>0</v>
      </c>
      <c r="AV106">
        <f t="shared" si="254"/>
        <v>0.99</v>
      </c>
    </row>
    <row r="107" spans="41:48" x14ac:dyDescent="0.25">
      <c r="AO107" s="6">
        <f t="shared" ref="AO107:AP107" si="255">E12</f>
        <v>0.01</v>
      </c>
      <c r="AP107">
        <f t="shared" si="255"/>
        <v>0.48</v>
      </c>
      <c r="AQ107" s="6">
        <f t="shared" ref="AQ107:AR107" si="256">O9</f>
        <v>0.06</v>
      </c>
      <c r="AR107">
        <f t="shared" si="256"/>
        <v>0.1</v>
      </c>
      <c r="AS107" s="6">
        <f t="shared" ref="AS107:AT107" si="257">AA26</f>
        <v>0.01</v>
      </c>
      <c r="AT107">
        <f t="shared" si="257"/>
        <v>0.63</v>
      </c>
      <c r="AU107" s="6">
        <f t="shared" ref="AU107:AV107" si="258">AK32</f>
        <v>0</v>
      </c>
      <c r="AV107">
        <f t="shared" si="258"/>
        <v>1</v>
      </c>
    </row>
    <row r="108" spans="41:48" x14ac:dyDescent="0.25">
      <c r="AO108" s="6">
        <f t="shared" ref="AO108:AP108" si="259">E13</f>
        <v>0.02</v>
      </c>
      <c r="AP108">
        <f t="shared" si="259"/>
        <v>0.23</v>
      </c>
      <c r="AQ108" s="6">
        <f t="shared" ref="AQ108:AR108" si="260">O10</f>
        <v>0</v>
      </c>
      <c r="AR108">
        <f t="shared" si="260"/>
        <v>0.93</v>
      </c>
      <c r="AS108" s="6">
        <f t="shared" ref="AS108:AT108" si="261">AA27</f>
        <v>0</v>
      </c>
      <c r="AT108">
        <f t="shared" si="261"/>
        <v>0.95</v>
      </c>
      <c r="AU108" s="6">
        <f t="shared" ref="AU108:AV108" si="262">AK33</f>
        <v>0.01</v>
      </c>
      <c r="AV108">
        <f t="shared" si="262"/>
        <v>0.52</v>
      </c>
    </row>
    <row r="109" spans="41:48" x14ac:dyDescent="0.25">
      <c r="AO109" s="6">
        <f t="shared" ref="AO109:AP109" si="263">E14</f>
        <v>0.08</v>
      </c>
      <c r="AP109">
        <f t="shared" si="263"/>
        <v>0.2</v>
      </c>
      <c r="AQ109" s="6">
        <f t="shared" ref="AQ109:AR109" si="264">O11</f>
        <v>0</v>
      </c>
      <c r="AR109">
        <f t="shared" si="264"/>
        <v>0.99</v>
      </c>
      <c r="AS109" s="6">
        <f t="shared" ref="AS109:AT109" si="265">AA28</f>
        <v>0.02</v>
      </c>
      <c r="AT109">
        <f t="shared" si="265"/>
        <v>0.48</v>
      </c>
      <c r="AU109" s="6">
        <f t="shared" ref="AU109:AV109" si="266">AK34</f>
        <v>0</v>
      </c>
      <c r="AV109">
        <f t="shared" si="266"/>
        <v>0.99</v>
      </c>
    </row>
    <row r="110" spans="41:48" x14ac:dyDescent="0.25">
      <c r="AO110" s="6">
        <f t="shared" ref="AO110:AP110" si="267">E15</f>
        <v>0.02</v>
      </c>
      <c r="AP110">
        <f t="shared" si="267"/>
        <v>0.25</v>
      </c>
      <c r="AQ110" s="6">
        <f t="shared" ref="AQ110:AR110" si="268">O12</f>
        <v>0</v>
      </c>
      <c r="AR110">
        <f t="shared" si="268"/>
        <v>0.98</v>
      </c>
      <c r="AS110" s="6">
        <f t="shared" ref="AS110:AT110" si="269">AA29</f>
        <v>0.03</v>
      </c>
      <c r="AT110">
        <f t="shared" si="269"/>
        <v>0.44</v>
      </c>
      <c r="AU110" s="6">
        <f t="shared" ref="AU110:AV110" si="270">AK35</f>
        <v>0</v>
      </c>
      <c r="AV110">
        <f t="shared" si="270"/>
        <v>0.99</v>
      </c>
    </row>
    <row r="111" spans="41:48" x14ac:dyDescent="0.25">
      <c r="AO111" s="6">
        <f t="shared" ref="AO111:AP111" si="271">E16</f>
        <v>0.04</v>
      </c>
      <c r="AP111">
        <f t="shared" si="271"/>
        <v>0.22</v>
      </c>
      <c r="AQ111" s="6">
        <f t="shared" ref="AQ111:AR111" si="272">O13</f>
        <v>0</v>
      </c>
      <c r="AR111">
        <f t="shared" si="272"/>
        <v>0.98</v>
      </c>
      <c r="AS111" s="6">
        <f t="shared" ref="AS111:AT111" si="273">AA30</f>
        <v>0.02</v>
      </c>
      <c r="AT111">
        <f t="shared" si="273"/>
        <v>0.49</v>
      </c>
      <c r="AU111" s="6">
        <f t="shared" ref="AU111:AV111" si="274">AK36</f>
        <v>0.01</v>
      </c>
      <c r="AV111">
        <f t="shared" si="274"/>
        <v>0.5</v>
      </c>
    </row>
    <row r="112" spans="41:48" x14ac:dyDescent="0.25">
      <c r="AO112" s="6">
        <f t="shared" ref="AO112:AP112" si="275">E17</f>
        <v>0.02</v>
      </c>
      <c r="AP112">
        <f t="shared" si="275"/>
        <v>0.28000000000000003</v>
      </c>
      <c r="AQ112" s="6">
        <f t="shared" ref="AQ112:AR112" si="276">O14</f>
        <v>0.03</v>
      </c>
      <c r="AR112">
        <f t="shared" si="276"/>
        <v>0.15</v>
      </c>
      <c r="AS112" s="6">
        <f t="shared" ref="AS112:AT112" si="277">AA31</f>
        <v>0.05</v>
      </c>
      <c r="AT112">
        <f t="shared" si="277"/>
        <v>0.47</v>
      </c>
      <c r="AU112" s="6">
        <f t="shared" ref="AU112:AV112" si="278">AK37</f>
        <v>0</v>
      </c>
      <c r="AV112">
        <f t="shared" si="278"/>
        <v>0.99</v>
      </c>
    </row>
    <row r="113" spans="41:48" x14ac:dyDescent="0.25">
      <c r="AO113" s="6">
        <f t="shared" ref="AO113:AP113" si="279">E18</f>
        <v>0</v>
      </c>
      <c r="AP113">
        <f t="shared" si="279"/>
        <v>0.98</v>
      </c>
      <c r="AQ113" s="6">
        <f t="shared" ref="AQ113:AR113" si="280">O15</f>
        <v>0.05</v>
      </c>
      <c r="AR113">
        <f t="shared" si="280"/>
        <v>0.11</v>
      </c>
      <c r="AS113" s="6">
        <f t="shared" ref="AS113:AT113" si="281">AA32</f>
        <v>0</v>
      </c>
      <c r="AT113">
        <f t="shared" si="281"/>
        <v>0.94</v>
      </c>
      <c r="AU113" s="6">
        <f t="shared" ref="AU113:AV113" si="282">AK38</f>
        <v>0.01</v>
      </c>
      <c r="AV113">
        <f t="shared" si="282"/>
        <v>0.55000000000000004</v>
      </c>
    </row>
    <row r="114" spans="41:48" x14ac:dyDescent="0.25">
      <c r="AO114" s="6">
        <f t="shared" ref="AO114:AP114" si="283">E19</f>
        <v>0.03</v>
      </c>
      <c r="AP114">
        <f t="shared" si="283"/>
        <v>0.35</v>
      </c>
      <c r="AQ114" s="6">
        <f t="shared" ref="AQ114:AR114" si="284">O16</f>
        <v>0.09</v>
      </c>
      <c r="AR114">
        <f t="shared" si="284"/>
        <v>0.12</v>
      </c>
      <c r="AS114" s="6">
        <f t="shared" ref="AS114:AT114" si="285">AA33</f>
        <v>0</v>
      </c>
      <c r="AT114">
        <f t="shared" si="285"/>
        <v>0.94</v>
      </c>
      <c r="AU114" s="6">
        <f>AK39</f>
        <v>0</v>
      </c>
      <c r="AV114">
        <f>AL39</f>
        <v>0.99</v>
      </c>
    </row>
    <row r="115" spans="41:48" x14ac:dyDescent="0.25">
      <c r="AO115" s="6">
        <f t="shared" ref="AO115:AP115" si="286">E20</f>
        <v>0.01</v>
      </c>
      <c r="AP115">
        <f t="shared" si="286"/>
        <v>0.45</v>
      </c>
      <c r="AQ115" s="6">
        <f t="shared" ref="AQ115:AR115" si="287">O17</f>
        <v>0.11</v>
      </c>
      <c r="AR115">
        <f t="shared" si="287"/>
        <v>0.08</v>
      </c>
      <c r="AS115" s="6">
        <f t="shared" ref="AS115:AT115" si="288">AA34</f>
        <v>0.01</v>
      </c>
      <c r="AT115">
        <f t="shared" si="288"/>
        <v>0.66</v>
      </c>
      <c r="AU115" s="6">
        <f t="shared" ref="AU115:AU120" si="289">AK40</f>
        <v>0</v>
      </c>
      <c r="AV115">
        <f t="shared" ref="AV115:AV120" si="290">AL40</f>
        <v>1</v>
      </c>
    </row>
    <row r="116" spans="41:48" x14ac:dyDescent="0.25">
      <c r="AO116" s="6">
        <f t="shared" ref="AO116:AP116" si="291">E21</f>
        <v>0.04</v>
      </c>
      <c r="AP116">
        <f t="shared" si="291"/>
        <v>0.2</v>
      </c>
      <c r="AQ116" s="6">
        <f t="shared" ref="AQ116:AR116" si="292">O18</f>
        <v>0.01</v>
      </c>
      <c r="AR116">
        <f t="shared" si="292"/>
        <v>0.16</v>
      </c>
      <c r="AS116" s="6">
        <f t="shared" ref="AS116:AT116" si="293">AA35</f>
        <v>0</v>
      </c>
      <c r="AT116">
        <f t="shared" si="293"/>
        <v>0.98</v>
      </c>
      <c r="AU116" s="6">
        <f t="shared" si="289"/>
        <v>0</v>
      </c>
      <c r="AV116">
        <f t="shared" si="290"/>
        <v>1</v>
      </c>
    </row>
    <row r="117" spans="41:48" x14ac:dyDescent="0.25">
      <c r="AO117" s="6">
        <f t="shared" ref="AO117:AP117" si="294">E22</f>
        <v>0.1</v>
      </c>
      <c r="AP117">
        <f t="shared" si="294"/>
        <v>0.17</v>
      </c>
      <c r="AQ117" s="6">
        <f t="shared" ref="AQ117:AR117" si="295">O19</f>
        <v>0.02</v>
      </c>
      <c r="AR117">
        <f t="shared" si="295"/>
        <v>0.02</v>
      </c>
      <c r="AS117" s="6">
        <f t="shared" ref="AS117:AT117" si="296">AA36</f>
        <v>0</v>
      </c>
      <c r="AT117">
        <f t="shared" si="296"/>
        <v>0.96</v>
      </c>
      <c r="AU117" s="6">
        <f t="shared" si="289"/>
        <v>0.01</v>
      </c>
      <c r="AV117">
        <f t="shared" si="290"/>
        <v>0.5</v>
      </c>
    </row>
    <row r="118" spans="41:48" x14ac:dyDescent="0.25">
      <c r="AO118" s="6">
        <f t="shared" ref="AO118:AP118" si="297">E23</f>
        <v>0.01</v>
      </c>
      <c r="AP118">
        <f t="shared" si="297"/>
        <v>0.44</v>
      </c>
      <c r="AQ118" s="6">
        <f t="shared" ref="AQ118:AR118" si="298">O20</f>
        <v>0.03</v>
      </c>
      <c r="AR118">
        <f t="shared" si="298"/>
        <v>0.13</v>
      </c>
      <c r="AS118" s="6">
        <f t="shared" ref="AS118:AT118" si="299">AA37</f>
        <v>0.02</v>
      </c>
      <c r="AT118">
        <f t="shared" si="299"/>
        <v>0.5</v>
      </c>
      <c r="AU118" s="6">
        <f t="shared" si="289"/>
        <v>0.01</v>
      </c>
      <c r="AV118">
        <f t="shared" si="290"/>
        <v>0.51</v>
      </c>
    </row>
    <row r="119" spans="41:48" x14ac:dyDescent="0.25">
      <c r="AO119" s="6">
        <f t="shared" ref="AO119:AP119" si="300">E24</f>
        <v>0</v>
      </c>
      <c r="AP119">
        <f t="shared" si="300"/>
        <v>0.96</v>
      </c>
      <c r="AQ119" s="6">
        <f t="shared" ref="AQ119:AR119" si="301">O21</f>
        <v>0.02</v>
      </c>
      <c r="AR119">
        <f t="shared" si="301"/>
        <v>0.01</v>
      </c>
      <c r="AS119" s="6">
        <f t="shared" ref="AS119:AT119" si="302">AA38</f>
        <v>0</v>
      </c>
      <c r="AT119">
        <f t="shared" si="302"/>
        <v>0.97</v>
      </c>
      <c r="AU119" s="6">
        <f t="shared" si="289"/>
        <v>0.01</v>
      </c>
      <c r="AV119">
        <f t="shared" si="290"/>
        <v>0.5</v>
      </c>
    </row>
    <row r="120" spans="41:48" x14ac:dyDescent="0.25">
      <c r="AO120" s="6">
        <f t="shared" ref="AO120:AP120" si="303">E25</f>
        <v>0</v>
      </c>
      <c r="AP120">
        <f t="shared" si="303"/>
        <v>1</v>
      </c>
      <c r="AQ120" s="6">
        <f t="shared" ref="AQ120:AR120" si="304">O22</f>
        <v>0.01</v>
      </c>
      <c r="AR120">
        <f t="shared" si="304"/>
        <v>0.15</v>
      </c>
      <c r="AS120" s="6">
        <f t="shared" ref="AS120:AT120" si="305">AA39</f>
        <v>0</v>
      </c>
      <c r="AT120">
        <f t="shared" si="305"/>
        <v>0.96</v>
      </c>
      <c r="AU120" s="6">
        <f t="shared" si="289"/>
        <v>0</v>
      </c>
      <c r="AV120">
        <f t="shared" si="290"/>
        <v>1</v>
      </c>
    </row>
    <row r="121" spans="41:48" x14ac:dyDescent="0.25">
      <c r="AO121" s="6">
        <f t="shared" ref="AO121:AP121" si="306">E26</f>
        <v>0</v>
      </c>
      <c r="AP121">
        <f t="shared" si="306"/>
        <v>1</v>
      </c>
      <c r="AQ121" s="6">
        <f t="shared" ref="AQ121:AR121" si="307">O23</f>
        <v>0</v>
      </c>
      <c r="AR121">
        <f t="shared" si="307"/>
        <v>0.97</v>
      </c>
      <c r="AS121" s="6">
        <f>AC3</f>
        <v>0</v>
      </c>
      <c r="AT121">
        <f>AD3</f>
        <v>0.98</v>
      </c>
      <c r="AU121" s="6">
        <f>AK46</f>
        <v>0</v>
      </c>
      <c r="AV121">
        <f>AL46</f>
        <v>1</v>
      </c>
    </row>
    <row r="122" spans="41:48" x14ac:dyDescent="0.25">
      <c r="AO122" s="6">
        <f t="shared" ref="AO122:AP122" si="308">E27</f>
        <v>0</v>
      </c>
      <c r="AP122">
        <f t="shared" si="308"/>
        <v>0.99</v>
      </c>
      <c r="AQ122" s="6">
        <f t="shared" ref="AQ122:AR122" si="309">O24</f>
        <v>0</v>
      </c>
      <c r="AR122">
        <f t="shared" si="309"/>
        <v>0.98</v>
      </c>
      <c r="AS122" s="6">
        <f t="shared" ref="AS122:AT122" si="310">AC4</f>
        <v>0</v>
      </c>
      <c r="AT122">
        <f t="shared" si="310"/>
        <v>0.98</v>
      </c>
      <c r="AU122" s="6">
        <f>AM3</f>
        <v>0</v>
      </c>
      <c r="AV122">
        <f>AN3</f>
        <v>0.99</v>
      </c>
    </row>
    <row r="123" spans="41:48" x14ac:dyDescent="0.25">
      <c r="AO123" s="6">
        <f t="shared" ref="AO123:AP123" si="311">E28</f>
        <v>0.03</v>
      </c>
      <c r="AP123">
        <f t="shared" si="311"/>
        <v>0.34</v>
      </c>
      <c r="AQ123" s="6">
        <f t="shared" ref="AQ123:AR123" si="312">O25</f>
        <v>0</v>
      </c>
      <c r="AR123">
        <f t="shared" si="312"/>
        <v>0.98</v>
      </c>
      <c r="AS123" s="6">
        <f t="shared" ref="AS123:AT123" si="313">AC5</f>
        <v>0</v>
      </c>
      <c r="AT123">
        <f t="shared" si="313"/>
        <v>0.96</v>
      </c>
      <c r="AU123" s="6">
        <f t="shared" ref="AU123:AV123" si="314">AM4</f>
        <v>0</v>
      </c>
      <c r="AV123">
        <f t="shared" si="314"/>
        <v>0.99</v>
      </c>
    </row>
    <row r="124" spans="41:48" x14ac:dyDescent="0.25">
      <c r="AO124" s="6">
        <f t="shared" ref="AO124:AP124" si="315">E29</f>
        <v>0</v>
      </c>
      <c r="AP124">
        <f t="shared" si="315"/>
        <v>0.96</v>
      </c>
      <c r="AQ124" s="6">
        <f t="shared" ref="AQ124:AR124" si="316">O26</f>
        <v>0</v>
      </c>
      <c r="AR124">
        <f t="shared" si="316"/>
        <v>0.98</v>
      </c>
      <c r="AS124" s="6">
        <f t="shared" ref="AS124:AT124" si="317">AC6</f>
        <v>0.02</v>
      </c>
      <c r="AT124">
        <f t="shared" si="317"/>
        <v>0.41</v>
      </c>
      <c r="AU124" s="6">
        <f t="shared" ref="AU124:AV124" si="318">AM5</f>
        <v>0</v>
      </c>
      <c r="AV124">
        <f t="shared" si="318"/>
        <v>0.99</v>
      </c>
    </row>
    <row r="125" spans="41:48" x14ac:dyDescent="0.25">
      <c r="AO125" s="6">
        <f t="shared" ref="AO125:AP125" si="319">E30</f>
        <v>0.02</v>
      </c>
      <c r="AP125">
        <f t="shared" si="319"/>
        <v>0.28999999999999998</v>
      </c>
      <c r="AQ125" s="6">
        <f t="shared" ref="AQ125:AR125" si="320">O27</f>
        <v>0.01</v>
      </c>
      <c r="AR125">
        <f t="shared" si="320"/>
        <v>0.17</v>
      </c>
      <c r="AS125" s="6">
        <f t="shared" ref="AS125:AT125" si="321">AC7</f>
        <v>0.05</v>
      </c>
      <c r="AT125">
        <f t="shared" si="321"/>
        <v>0.41</v>
      </c>
      <c r="AU125" s="6">
        <f t="shared" ref="AU125:AV125" si="322">AM6</f>
        <v>0.02</v>
      </c>
      <c r="AV125">
        <f t="shared" si="322"/>
        <v>0.3</v>
      </c>
    </row>
    <row r="126" spans="41:48" x14ac:dyDescent="0.25">
      <c r="AO126" s="6">
        <f t="shared" ref="AO126:AP126" si="323">E31</f>
        <v>0.04</v>
      </c>
      <c r="AP126">
        <f t="shared" si="323"/>
        <v>0.24</v>
      </c>
      <c r="AQ126" s="6">
        <f t="shared" ref="AQ126:AR126" si="324">O28</f>
        <v>0</v>
      </c>
      <c r="AR126">
        <f t="shared" si="324"/>
        <v>0.98</v>
      </c>
      <c r="AS126" s="6">
        <f t="shared" ref="AS126:AT126" si="325">AC8</f>
        <v>0.05</v>
      </c>
      <c r="AT126">
        <f t="shared" si="325"/>
        <v>0.45</v>
      </c>
      <c r="AU126" s="6">
        <f t="shared" ref="AU126:AV126" si="326">AM7</f>
        <v>0.01</v>
      </c>
      <c r="AV126">
        <f t="shared" si="326"/>
        <v>0.46</v>
      </c>
    </row>
    <row r="127" spans="41:48" x14ac:dyDescent="0.25">
      <c r="AO127" s="6">
        <f t="shared" ref="AO127:AP127" si="327">E32</f>
        <v>0.02</v>
      </c>
      <c r="AP127">
        <f t="shared" si="327"/>
        <v>0.28000000000000003</v>
      </c>
      <c r="AQ127" s="6">
        <f t="shared" ref="AQ127:AR127" si="328">O29</f>
        <v>0</v>
      </c>
      <c r="AR127">
        <f t="shared" si="328"/>
        <v>0.99</v>
      </c>
      <c r="AS127" s="6">
        <f t="shared" ref="AS127:AT127" si="329">AC9</f>
        <v>0.06</v>
      </c>
      <c r="AT127">
        <f t="shared" si="329"/>
        <v>0.54</v>
      </c>
      <c r="AU127" s="6">
        <f t="shared" ref="AU127:AV127" si="330">AM8</f>
        <v>0.02</v>
      </c>
      <c r="AV127">
        <f t="shared" si="330"/>
        <v>0.28999999999999998</v>
      </c>
    </row>
    <row r="128" spans="41:48" x14ac:dyDescent="0.25">
      <c r="AO128" s="6">
        <f t="shared" ref="AO128:AP128" si="331">E33</f>
        <v>0.05</v>
      </c>
      <c r="AP128">
        <f t="shared" si="331"/>
        <v>0.2</v>
      </c>
      <c r="AQ128" s="6">
        <f t="shared" ref="AQ128:AR128" si="332">O30</f>
        <v>0</v>
      </c>
      <c r="AR128">
        <f t="shared" si="332"/>
        <v>0.98</v>
      </c>
      <c r="AS128" s="6">
        <f t="shared" ref="AS128:AT128" si="333">AC10</f>
        <v>0.02</v>
      </c>
      <c r="AT128">
        <f t="shared" si="333"/>
        <v>0.46</v>
      </c>
      <c r="AU128" s="6">
        <f t="shared" ref="AU128:AV128" si="334">AM9</f>
        <v>0.06</v>
      </c>
      <c r="AV128">
        <f t="shared" si="334"/>
        <v>0.26</v>
      </c>
    </row>
    <row r="129" spans="41:48" x14ac:dyDescent="0.25">
      <c r="AO129" s="6">
        <f t="shared" ref="AO129:AP129" si="335">E34</f>
        <v>0.01</v>
      </c>
      <c r="AP129">
        <f t="shared" si="335"/>
        <v>0.52</v>
      </c>
      <c r="AQ129" s="6">
        <f t="shared" ref="AQ129:AR129" si="336">O31</f>
        <v>0</v>
      </c>
      <c r="AR129">
        <f t="shared" si="336"/>
        <v>0.98</v>
      </c>
      <c r="AS129" s="6">
        <f t="shared" ref="AS129:AT129" si="337">AC11</f>
        <v>0.05</v>
      </c>
      <c r="AT129">
        <f t="shared" si="337"/>
        <v>0.37</v>
      </c>
      <c r="AU129" s="6">
        <f t="shared" ref="AU129:AV129" si="338">AM10</f>
        <v>0.02</v>
      </c>
      <c r="AV129">
        <f t="shared" si="338"/>
        <v>0.21</v>
      </c>
    </row>
    <row r="130" spans="41:48" x14ac:dyDescent="0.25">
      <c r="AO130" s="6">
        <f t="shared" ref="AO130:AP130" si="339">E35</f>
        <v>0.01</v>
      </c>
      <c r="AP130">
        <f t="shared" si="339"/>
        <v>0.48</v>
      </c>
      <c r="AQ130" s="6">
        <f t="shared" ref="AQ130:AR130" si="340">O32</f>
        <v>0.01</v>
      </c>
      <c r="AR130">
        <f t="shared" si="340"/>
        <v>0.18</v>
      </c>
      <c r="AS130" s="6">
        <f t="shared" ref="AS130:AT130" si="341">AC12</f>
        <v>0.09</v>
      </c>
      <c r="AT130">
        <f t="shared" si="341"/>
        <v>0.4</v>
      </c>
      <c r="AU130" s="6">
        <f t="shared" ref="AU130:AV130" si="342">AM11</f>
        <v>0.06</v>
      </c>
      <c r="AV130">
        <f t="shared" si="342"/>
        <v>0.23</v>
      </c>
    </row>
    <row r="131" spans="41:48" x14ac:dyDescent="0.25">
      <c r="AO131" s="6">
        <f t="shared" ref="AO131:AP131" si="343">E36</f>
        <v>0</v>
      </c>
      <c r="AP131">
        <f t="shared" si="343"/>
        <v>0.98</v>
      </c>
      <c r="AQ131" s="6">
        <f t="shared" ref="AQ131:AR131" si="344">O33</f>
        <v>0.02</v>
      </c>
      <c r="AR131">
        <f t="shared" si="344"/>
        <v>0.05</v>
      </c>
      <c r="AS131" s="6">
        <f t="shared" ref="AS131:AT131" si="345">AC13</f>
        <v>0.12</v>
      </c>
      <c r="AT131">
        <f t="shared" si="345"/>
        <v>0.45</v>
      </c>
      <c r="AU131" s="6">
        <f t="shared" ref="AU131:AV131" si="346">AM12</f>
        <v>0.04</v>
      </c>
      <c r="AV131">
        <f t="shared" si="346"/>
        <v>0.26</v>
      </c>
    </row>
    <row r="132" spans="41:48" x14ac:dyDescent="0.25">
      <c r="AO132" s="6">
        <f t="shared" ref="AO132:AP132" si="347">E37</f>
        <v>0</v>
      </c>
      <c r="AP132">
        <f t="shared" si="347"/>
        <v>0.99</v>
      </c>
      <c r="AQ132" s="6">
        <f t="shared" ref="AQ132:AR132" si="348">O34</f>
        <v>0</v>
      </c>
      <c r="AR132">
        <f t="shared" si="348"/>
        <v>0.97</v>
      </c>
      <c r="AS132" s="6">
        <f t="shared" ref="AS132:AT132" si="349">AC14</f>
        <v>0.05</v>
      </c>
      <c r="AT132">
        <f t="shared" si="349"/>
        <v>0.39</v>
      </c>
      <c r="AU132" s="6">
        <f t="shared" ref="AU132:AV132" si="350">AM13</f>
        <v>0.03</v>
      </c>
      <c r="AV132">
        <f t="shared" si="350"/>
        <v>0.26</v>
      </c>
    </row>
    <row r="133" spans="41:48" x14ac:dyDescent="0.25">
      <c r="AO133" s="6">
        <f t="shared" ref="AO133:AP133" si="351">E38</f>
        <v>0.01</v>
      </c>
      <c r="AP133">
        <f t="shared" si="351"/>
        <v>0.49</v>
      </c>
      <c r="AQ133" s="6">
        <f t="shared" ref="AQ133:AR133" si="352">O35</f>
        <v>0.01</v>
      </c>
      <c r="AR133">
        <f t="shared" si="352"/>
        <v>0.2</v>
      </c>
      <c r="AS133" s="6">
        <f t="shared" ref="AS133:AT133" si="353">AC15</f>
        <v>0.04</v>
      </c>
      <c r="AT133">
        <f t="shared" si="353"/>
        <v>0.37</v>
      </c>
      <c r="AU133" s="6">
        <f t="shared" ref="AU133:AV133" si="354">AM14</f>
        <v>0.05</v>
      </c>
      <c r="AV133">
        <f t="shared" si="354"/>
        <v>0.21</v>
      </c>
    </row>
    <row r="134" spans="41:48" x14ac:dyDescent="0.25">
      <c r="AO134" s="6">
        <f t="shared" ref="AO134:AP134" si="355">E39</f>
        <v>0</v>
      </c>
      <c r="AP134">
        <f t="shared" si="355"/>
        <v>0.99</v>
      </c>
      <c r="AQ134" s="6">
        <f t="shared" ref="AQ134:AR134" si="356">O36</f>
        <v>0</v>
      </c>
      <c r="AR134">
        <f t="shared" si="356"/>
        <v>0.97</v>
      </c>
      <c r="AS134" s="6">
        <f t="shared" ref="AS134:AT134" si="357">AC16</f>
        <v>7.0000000000000007E-2</v>
      </c>
      <c r="AT134">
        <f t="shared" si="357"/>
        <v>0.38</v>
      </c>
      <c r="AU134" s="6">
        <f t="shared" ref="AU134:AV134" si="358">AM15</f>
        <v>0.05</v>
      </c>
      <c r="AV134">
        <f t="shared" si="358"/>
        <v>0.25</v>
      </c>
    </row>
    <row r="135" spans="41:48" x14ac:dyDescent="0.25">
      <c r="AO135" s="6">
        <f t="shared" ref="AO135:AP135" si="359">E40</f>
        <v>0</v>
      </c>
      <c r="AP135">
        <f t="shared" si="359"/>
        <v>1</v>
      </c>
      <c r="AQ135" s="6">
        <f t="shared" ref="AQ135:AR135" si="360">O37</f>
        <v>0</v>
      </c>
      <c r="AR135">
        <f t="shared" si="360"/>
        <v>0.98</v>
      </c>
      <c r="AS135" s="6">
        <f t="shared" ref="AS135:AT135" si="361">AC17</f>
        <v>0.05</v>
      </c>
      <c r="AT135">
        <f t="shared" si="361"/>
        <v>0.44</v>
      </c>
      <c r="AU135" s="6">
        <f t="shared" ref="AU135:AV135" si="362">AM16</f>
        <v>0.03</v>
      </c>
      <c r="AV135">
        <f t="shared" si="362"/>
        <v>0.31</v>
      </c>
    </row>
    <row r="136" spans="41:48" x14ac:dyDescent="0.25">
      <c r="AO136" s="6">
        <f t="shared" ref="AO136:AP136" si="363">E41</f>
        <v>0</v>
      </c>
      <c r="AP136">
        <f t="shared" si="363"/>
        <v>1</v>
      </c>
      <c r="AQ136" s="6">
        <f>Q3</f>
        <v>0</v>
      </c>
      <c r="AR136">
        <f>R3</f>
        <v>0.98</v>
      </c>
      <c r="AS136" s="6">
        <f t="shared" ref="AS136:AT136" si="364">AC18</f>
        <v>0.02</v>
      </c>
      <c r="AT136">
        <f t="shared" si="364"/>
        <v>0.43</v>
      </c>
      <c r="AU136" s="6">
        <f t="shared" ref="AU136:AV136" si="365">AM17</f>
        <v>0.02</v>
      </c>
      <c r="AV136">
        <f t="shared" si="365"/>
        <v>0.26</v>
      </c>
    </row>
    <row r="137" spans="41:48" x14ac:dyDescent="0.25">
      <c r="AO137" s="6">
        <f t="shared" ref="AO137:AP137" si="366">E42</f>
        <v>0</v>
      </c>
      <c r="AP137">
        <f t="shared" si="366"/>
        <v>1</v>
      </c>
      <c r="AQ137" s="6">
        <f t="shared" ref="AQ137:AR137" si="367">Q4</f>
        <v>0</v>
      </c>
      <c r="AR137">
        <f t="shared" si="367"/>
        <v>0.98</v>
      </c>
      <c r="AS137" s="6">
        <f t="shared" ref="AS137:AT137" si="368">AC19</f>
        <v>0.03</v>
      </c>
      <c r="AT137">
        <f t="shared" si="368"/>
        <v>0.49</v>
      </c>
      <c r="AU137" s="6">
        <f t="shared" ref="AU137:AV137" si="369">AM18</f>
        <v>0</v>
      </c>
      <c r="AV137">
        <f t="shared" si="369"/>
        <v>0.96</v>
      </c>
    </row>
    <row r="138" spans="41:48" x14ac:dyDescent="0.25">
      <c r="AO138" s="6">
        <f t="shared" ref="AO138:AP138" si="370">E43</f>
        <v>0</v>
      </c>
      <c r="AP138">
        <f t="shared" si="370"/>
        <v>1</v>
      </c>
      <c r="AQ138" s="6">
        <f t="shared" ref="AQ138:AR138" si="371">Q5</f>
        <v>0</v>
      </c>
      <c r="AR138">
        <f t="shared" si="371"/>
        <v>0.97</v>
      </c>
      <c r="AS138" s="6">
        <f t="shared" ref="AS138:AT138" si="372">AC20</f>
        <v>0</v>
      </c>
      <c r="AT138">
        <f t="shared" si="372"/>
        <v>0.93</v>
      </c>
      <c r="AU138" s="6">
        <f t="shared" ref="AU138:AV138" si="373">AM19</f>
        <v>0.02</v>
      </c>
      <c r="AV138">
        <f t="shared" si="373"/>
        <v>0.3</v>
      </c>
    </row>
    <row r="139" spans="41:48" x14ac:dyDescent="0.25">
      <c r="AO139" s="6">
        <f t="shared" ref="AO139:AP139" si="374">E44</f>
        <v>0.01</v>
      </c>
      <c r="AP139">
        <f t="shared" si="374"/>
        <v>0.49</v>
      </c>
      <c r="AQ139" s="6">
        <f t="shared" ref="AQ139:AR139" si="375">Q6</f>
        <v>0.02</v>
      </c>
      <c r="AR139">
        <f t="shared" si="375"/>
        <v>0.14000000000000001</v>
      </c>
      <c r="AS139" s="6">
        <f t="shared" ref="AS139:AT139" si="376">AC21</f>
        <v>0.01</v>
      </c>
      <c r="AT139">
        <f t="shared" si="376"/>
        <v>0.67</v>
      </c>
      <c r="AU139" s="6">
        <f t="shared" ref="AU139:AV139" si="377">AM20</f>
        <v>0</v>
      </c>
      <c r="AV139">
        <f t="shared" si="377"/>
        <v>0.98</v>
      </c>
    </row>
    <row r="140" spans="41:48" x14ac:dyDescent="0.25">
      <c r="AO140" s="6">
        <f t="shared" ref="AO140:AP140" si="378">E45</f>
        <v>0</v>
      </c>
      <c r="AP140">
        <f t="shared" si="378"/>
        <v>1</v>
      </c>
      <c r="AQ140" s="6">
        <f t="shared" ref="AQ140:AR140" si="379">Q7</f>
        <v>0.02</v>
      </c>
      <c r="AR140">
        <f t="shared" si="379"/>
        <v>0.14000000000000001</v>
      </c>
      <c r="AS140" s="6">
        <f t="shared" ref="AS140:AT140" si="380">AC22</f>
        <v>0.02</v>
      </c>
      <c r="AT140">
        <f t="shared" si="380"/>
        <v>0.44</v>
      </c>
      <c r="AU140" s="6">
        <f t="shared" ref="AU140:AV140" si="381">AM21</f>
        <v>0.01</v>
      </c>
      <c r="AV140">
        <f t="shared" si="381"/>
        <v>0.46</v>
      </c>
    </row>
    <row r="141" spans="41:48" x14ac:dyDescent="0.25">
      <c r="AO141" s="6">
        <f t="shared" ref="AO141:AP141" si="382">E46</f>
        <v>0</v>
      </c>
      <c r="AP141">
        <f t="shared" si="382"/>
        <v>1</v>
      </c>
      <c r="AQ141" s="6">
        <f t="shared" ref="AQ141:AR141" si="383">Q8</f>
        <v>0.03</v>
      </c>
      <c r="AR141">
        <f t="shared" si="383"/>
        <v>0.15</v>
      </c>
      <c r="AS141" s="6">
        <f t="shared" ref="AS141:AT141" si="384">AC23</f>
        <v>0</v>
      </c>
      <c r="AT141">
        <f t="shared" si="384"/>
        <v>0.96</v>
      </c>
      <c r="AU141" s="6">
        <f t="shared" ref="AU141:AV141" si="385">AM22</f>
        <v>0</v>
      </c>
      <c r="AV141">
        <f t="shared" si="385"/>
        <v>0.99</v>
      </c>
    </row>
    <row r="142" spans="41:48" x14ac:dyDescent="0.25">
      <c r="AO142" s="6">
        <f t="shared" ref="AO142:AP142" si="386">E47</f>
        <v>0.01</v>
      </c>
      <c r="AP142">
        <f t="shared" si="386"/>
        <v>0.51</v>
      </c>
      <c r="AQ142" s="6">
        <f t="shared" ref="AQ142:AR142" si="387">Q9</f>
        <v>0.06</v>
      </c>
      <c r="AR142">
        <f t="shared" si="387"/>
        <v>0.14000000000000001</v>
      </c>
      <c r="AS142" s="6">
        <f t="shared" ref="AS142:AT142" si="388">AC24</f>
        <v>0.02</v>
      </c>
      <c r="AT142">
        <f t="shared" si="388"/>
        <v>0.43</v>
      </c>
      <c r="AU142" s="6">
        <f t="shared" ref="AU142:AV142" si="389">AM23</f>
        <v>0</v>
      </c>
      <c r="AV142">
        <f t="shared" si="389"/>
        <v>0.98</v>
      </c>
    </row>
    <row r="143" spans="41:48" x14ac:dyDescent="0.25">
      <c r="AO143" s="6">
        <f t="shared" ref="AO143:AP143" si="390">E48</f>
        <v>0</v>
      </c>
      <c r="AP143">
        <f t="shared" si="390"/>
        <v>1</v>
      </c>
      <c r="AQ143" s="6">
        <f t="shared" ref="AQ143:AR143" si="391">Q10</f>
        <v>0</v>
      </c>
      <c r="AR143">
        <f t="shared" si="391"/>
        <v>0.93</v>
      </c>
      <c r="AS143" s="6">
        <f t="shared" ref="AS143:AT143" si="392">AC25</f>
        <v>0.01</v>
      </c>
      <c r="AT143">
        <f t="shared" si="392"/>
        <v>0.65</v>
      </c>
      <c r="AU143" s="6">
        <f t="shared" ref="AU143:AV143" si="393">AM24</f>
        <v>0.03</v>
      </c>
      <c r="AV143">
        <f t="shared" si="393"/>
        <v>0.4</v>
      </c>
    </row>
    <row r="144" spans="41:48" x14ac:dyDescent="0.25">
      <c r="AO144" s="6">
        <f t="shared" ref="AO144:AP144" si="394">E49</f>
        <v>0</v>
      </c>
      <c r="AP144">
        <f t="shared" si="394"/>
        <v>1</v>
      </c>
      <c r="AQ144" s="6">
        <f t="shared" ref="AQ144:AR144" si="395">Q11</f>
        <v>0</v>
      </c>
      <c r="AR144">
        <f t="shared" si="395"/>
        <v>0.98</v>
      </c>
      <c r="AS144" s="6">
        <f t="shared" ref="AS144:AT144" si="396">AC26</f>
        <v>0</v>
      </c>
      <c r="AT144">
        <f t="shared" si="396"/>
        <v>0.95</v>
      </c>
      <c r="AU144" s="6">
        <f t="shared" ref="AU144:AV144" si="397">AM25</f>
        <v>0</v>
      </c>
      <c r="AV144">
        <f t="shared" si="397"/>
        <v>0.96</v>
      </c>
    </row>
    <row r="145" spans="41:48" x14ac:dyDescent="0.25">
      <c r="AO145" s="6">
        <f t="shared" ref="AO145:AP145" si="398">E50</f>
        <v>0</v>
      </c>
      <c r="AP145">
        <f t="shared" si="398"/>
        <v>1</v>
      </c>
      <c r="AQ145" s="6">
        <f t="shared" ref="AQ145:AR145" si="399">Q12</f>
        <v>0</v>
      </c>
      <c r="AR145">
        <f t="shared" si="399"/>
        <v>0.98</v>
      </c>
      <c r="AS145" s="6">
        <f t="shared" ref="AS145:AT145" si="400">AC27</f>
        <v>0.01</v>
      </c>
      <c r="AT145">
        <f t="shared" si="400"/>
        <v>0.66</v>
      </c>
      <c r="AU145" s="6">
        <f t="shared" ref="AU145:AV145" si="401">AM26</f>
        <v>0.01</v>
      </c>
      <c r="AV145">
        <f t="shared" si="401"/>
        <v>0.48</v>
      </c>
    </row>
    <row r="146" spans="41:48" x14ac:dyDescent="0.25">
      <c r="AO146" s="6">
        <f t="shared" ref="AO146:AP146" si="402">E51</f>
        <v>0</v>
      </c>
      <c r="AP146">
        <f t="shared" si="402"/>
        <v>1</v>
      </c>
      <c r="AQ146" s="6">
        <f t="shared" ref="AQ146:AR146" si="403">Q13</f>
        <v>0.03</v>
      </c>
      <c r="AR146">
        <f t="shared" si="403"/>
        <v>0.19</v>
      </c>
      <c r="AS146" s="6">
        <f t="shared" ref="AS146:AT146" si="404">AC28</f>
        <v>0</v>
      </c>
      <c r="AT146">
        <f t="shared" si="404"/>
        <v>0.97</v>
      </c>
      <c r="AU146" s="6">
        <f t="shared" ref="AU146:AV146" si="405">AM27</f>
        <v>0.04</v>
      </c>
      <c r="AV146">
        <f t="shared" si="405"/>
        <v>0.4</v>
      </c>
    </row>
    <row r="147" spans="41:48" x14ac:dyDescent="0.25">
      <c r="AO147" s="6">
        <f>G3</f>
        <v>0</v>
      </c>
      <c r="AP147">
        <f>H3</f>
        <v>1</v>
      </c>
      <c r="AQ147" s="6">
        <f t="shared" ref="AQ147:AR147" si="406">Q14</f>
        <v>0.04</v>
      </c>
      <c r="AR147">
        <f t="shared" si="406"/>
        <v>0.14000000000000001</v>
      </c>
      <c r="AS147" s="6">
        <f t="shared" ref="AS147:AT147" si="407">AC29</f>
        <v>0.01</v>
      </c>
      <c r="AT147">
        <f t="shared" si="407"/>
        <v>0.67</v>
      </c>
      <c r="AU147" s="6">
        <f t="shared" ref="AU147:AV147" si="408">AM28</f>
        <v>0</v>
      </c>
      <c r="AV147">
        <f t="shared" si="408"/>
        <v>0.96</v>
      </c>
    </row>
    <row r="148" spans="41:48" x14ac:dyDescent="0.25">
      <c r="AO148" s="6">
        <f t="shared" ref="AO148:AP148" si="409">G4</f>
        <v>0</v>
      </c>
      <c r="AP148">
        <f t="shared" si="409"/>
        <v>1</v>
      </c>
      <c r="AQ148" s="6">
        <f t="shared" ref="AQ148:AR148" si="410">Q15</f>
        <v>0.1</v>
      </c>
      <c r="AR148">
        <f t="shared" si="410"/>
        <v>7.0000000000000007E-2</v>
      </c>
      <c r="AS148" s="6">
        <f t="shared" ref="AS148:AT148" si="411">AC30</f>
        <v>0.01</v>
      </c>
      <c r="AT148">
        <f t="shared" si="411"/>
        <v>0.67</v>
      </c>
      <c r="AU148" s="6">
        <f t="shared" ref="AU148:AV148" si="412">AM29</f>
        <v>0.04</v>
      </c>
      <c r="AV148">
        <f t="shared" si="412"/>
        <v>0.35</v>
      </c>
    </row>
    <row r="149" spans="41:48" x14ac:dyDescent="0.25">
      <c r="AO149" s="6">
        <f t="shared" ref="AO149:AP149" si="413">G5</f>
        <v>0</v>
      </c>
      <c r="AP149">
        <f t="shared" si="413"/>
        <v>0.99</v>
      </c>
      <c r="AQ149" s="6">
        <f t="shared" ref="AQ149:AR149" si="414">Q16</f>
        <v>0.09</v>
      </c>
      <c r="AR149">
        <f t="shared" si="414"/>
        <v>0.09</v>
      </c>
      <c r="AS149" s="6">
        <f t="shared" ref="AS149:AT149" si="415">AC31</f>
        <v>0</v>
      </c>
      <c r="AT149">
        <f t="shared" si="415"/>
        <v>0.95</v>
      </c>
      <c r="AU149" s="6">
        <f t="shared" ref="AU149:AV149" si="416">AM30</f>
        <v>0</v>
      </c>
      <c r="AV149">
        <f t="shared" si="416"/>
        <v>0.97</v>
      </c>
    </row>
    <row r="150" spans="41:48" x14ac:dyDescent="0.25">
      <c r="AO150" s="6">
        <f t="shared" ref="AO150:AP150" si="417">G6</f>
        <v>0.02</v>
      </c>
      <c r="AP150">
        <f t="shared" si="417"/>
        <v>0.32</v>
      </c>
      <c r="AQ150" s="6">
        <f t="shared" ref="AQ150:AR150" si="418">Q17</f>
        <v>0.04</v>
      </c>
      <c r="AR150">
        <f t="shared" si="418"/>
        <v>0.17</v>
      </c>
      <c r="AS150" s="6">
        <f t="shared" ref="AS150:AT150" si="419">AC32</f>
        <v>0.01</v>
      </c>
      <c r="AT150">
        <f t="shared" si="419"/>
        <v>0.68</v>
      </c>
      <c r="AU150" s="6">
        <f t="shared" ref="AU150:AV150" si="420">AM31</f>
        <v>0</v>
      </c>
      <c r="AV150">
        <f t="shared" si="420"/>
        <v>0.98</v>
      </c>
    </row>
    <row r="151" spans="41:48" x14ac:dyDescent="0.25">
      <c r="AO151" s="6">
        <f t="shared" ref="AO151:AP151" si="421">G7</f>
        <v>0.02</v>
      </c>
      <c r="AP151">
        <f t="shared" si="421"/>
        <v>0.28000000000000003</v>
      </c>
      <c r="AQ151" s="6">
        <f t="shared" ref="AQ151:AR151" si="422">Q18</f>
        <v>0</v>
      </c>
      <c r="AR151">
        <f t="shared" si="422"/>
        <v>0.94</v>
      </c>
      <c r="AS151" s="6">
        <f t="shared" ref="AS151:AT151" si="423">AC33</f>
        <v>0</v>
      </c>
      <c r="AT151">
        <f t="shared" si="423"/>
        <v>0.98</v>
      </c>
      <c r="AU151" s="6">
        <f t="shared" ref="AU151:AV151" si="424">AM32</f>
        <v>0.02</v>
      </c>
      <c r="AV151">
        <f t="shared" si="424"/>
        <v>0.31</v>
      </c>
    </row>
    <row r="152" spans="41:48" x14ac:dyDescent="0.25">
      <c r="AO152" s="6">
        <f t="shared" ref="AO152:AP152" si="425">G8</f>
        <v>0.04</v>
      </c>
      <c r="AP152">
        <f t="shared" si="425"/>
        <v>0.28000000000000003</v>
      </c>
      <c r="AQ152" s="6">
        <f t="shared" ref="AQ152:AR152" si="426">Q19</f>
        <v>0</v>
      </c>
      <c r="AR152">
        <f t="shared" si="426"/>
        <v>0.99</v>
      </c>
      <c r="AS152" s="6">
        <f t="shared" ref="AS152:AT152" si="427">AC34</f>
        <v>0.01</v>
      </c>
      <c r="AT152">
        <f t="shared" si="427"/>
        <v>0.67</v>
      </c>
      <c r="AU152" s="6">
        <f t="shared" ref="AU152:AV152" si="428">AM33</f>
        <v>0</v>
      </c>
      <c r="AV152">
        <f t="shared" si="428"/>
        <v>0.98</v>
      </c>
    </row>
    <row r="153" spans="41:48" x14ac:dyDescent="0.25">
      <c r="AO153" s="6">
        <f t="shared" ref="AO153:AP153" si="429">G9</f>
        <v>0.03</v>
      </c>
      <c r="AP153">
        <f t="shared" si="429"/>
        <v>0.33</v>
      </c>
      <c r="AQ153" s="6">
        <f t="shared" ref="AQ153:AR153" si="430">Q20</f>
        <v>0.02</v>
      </c>
      <c r="AR153">
        <f t="shared" si="430"/>
        <v>0.11</v>
      </c>
      <c r="AS153" s="6">
        <f t="shared" ref="AS153:AT153" si="431">AC35</f>
        <v>0</v>
      </c>
      <c r="AT153">
        <f t="shared" si="431"/>
        <v>0.98</v>
      </c>
      <c r="AU153" s="6">
        <f t="shared" ref="AU153:AV153" si="432">AM34</f>
        <v>0.02</v>
      </c>
      <c r="AV153">
        <f t="shared" si="432"/>
        <v>0.28999999999999998</v>
      </c>
    </row>
    <row r="154" spans="41:48" x14ac:dyDescent="0.25">
      <c r="AO154" s="6">
        <f t="shared" ref="AO154:AP154" si="433">G10</f>
        <v>0.01</v>
      </c>
      <c r="AP154">
        <f t="shared" si="433"/>
        <v>0.52</v>
      </c>
      <c r="AQ154" s="6">
        <f t="shared" ref="AQ154:AR154" si="434">Q21</f>
        <v>0.02</v>
      </c>
      <c r="AR154">
        <f t="shared" si="434"/>
        <v>0.1</v>
      </c>
      <c r="AS154" s="6">
        <f t="shared" ref="AS154:AT154" si="435">AC36</f>
        <v>0</v>
      </c>
      <c r="AT154">
        <f t="shared" si="435"/>
        <v>0.97</v>
      </c>
      <c r="AU154" s="6">
        <f t="shared" ref="AU154:AV154" si="436">AM35</f>
        <v>0.02</v>
      </c>
      <c r="AV154">
        <f t="shared" si="436"/>
        <v>0.28999999999999998</v>
      </c>
    </row>
    <row r="155" spans="41:48" x14ac:dyDescent="0.25">
      <c r="AO155" s="6">
        <f t="shared" ref="AO155:AP155" si="437">G11</f>
        <v>0.03</v>
      </c>
      <c r="AP155">
        <f t="shared" si="437"/>
        <v>0.33</v>
      </c>
      <c r="AQ155" s="6">
        <f t="shared" ref="AQ155:AR155" si="438">Q22</f>
        <v>0.04</v>
      </c>
      <c r="AR155">
        <f t="shared" si="438"/>
        <v>0.14000000000000001</v>
      </c>
      <c r="AS155" s="6"/>
      <c r="AU155" s="6">
        <f t="shared" ref="AU155:AV155" si="439">AM36</f>
        <v>0</v>
      </c>
      <c r="AV155">
        <f t="shared" si="439"/>
        <v>0.98</v>
      </c>
    </row>
    <row r="156" spans="41:48" x14ac:dyDescent="0.25">
      <c r="AO156" s="6">
        <f t="shared" ref="AO156:AP156" si="440">G12</f>
        <v>0.01</v>
      </c>
      <c r="AP156">
        <f t="shared" si="440"/>
        <v>0.56999999999999995</v>
      </c>
      <c r="AQ156" s="6">
        <f t="shared" ref="AQ156:AR156" si="441">Q23</f>
        <v>0.03</v>
      </c>
      <c r="AR156">
        <f t="shared" si="441"/>
        <v>0.19</v>
      </c>
      <c r="AS156" s="6"/>
      <c r="AU156" s="6">
        <f t="shared" ref="AU156:AV156" si="442">AM37</f>
        <v>0.02</v>
      </c>
      <c r="AV156">
        <f t="shared" si="442"/>
        <v>0.3</v>
      </c>
    </row>
    <row r="157" spans="41:48" x14ac:dyDescent="0.25">
      <c r="AO157" s="6">
        <f t="shared" ref="AO157:AP157" si="443">G13</f>
        <v>0.04</v>
      </c>
      <c r="AP157">
        <f t="shared" si="443"/>
        <v>0.24</v>
      </c>
      <c r="AQ157" s="6">
        <f t="shared" ref="AQ157:AR157" si="444">Q24</f>
        <v>0</v>
      </c>
      <c r="AR157">
        <f t="shared" si="444"/>
        <v>0.95</v>
      </c>
      <c r="AS157" s="6"/>
      <c r="AU157" s="6">
        <f t="shared" ref="AU157:AV157" si="445">AM38</f>
        <v>0</v>
      </c>
      <c r="AV157">
        <f t="shared" si="445"/>
        <v>0.98</v>
      </c>
    </row>
    <row r="158" spans="41:48" x14ac:dyDescent="0.25">
      <c r="AO158" s="6">
        <f t="shared" ref="AO158:AP158" si="446">G14</f>
        <v>0.02</v>
      </c>
      <c r="AP158">
        <f t="shared" si="446"/>
        <v>0.28000000000000003</v>
      </c>
      <c r="AQ158" s="6">
        <f t="shared" ref="AQ158:AR158" si="447">Q25</f>
        <v>0</v>
      </c>
      <c r="AR158">
        <f t="shared" si="447"/>
        <v>0.98</v>
      </c>
      <c r="AS158" s="6"/>
      <c r="AU158" s="6">
        <f t="shared" ref="AU158:AV158" si="448">AM39</f>
        <v>0</v>
      </c>
      <c r="AV158">
        <f t="shared" si="448"/>
        <v>0.99</v>
      </c>
    </row>
    <row r="159" spans="41:48" x14ac:dyDescent="0.25">
      <c r="AO159" s="6">
        <f t="shared" ref="AO159:AP159" si="449">G15</f>
        <v>0.04</v>
      </c>
      <c r="AP159">
        <f t="shared" si="449"/>
        <v>0.23</v>
      </c>
      <c r="AQ159" s="6">
        <f t="shared" ref="AQ159:AR159" si="450">Q26</f>
        <v>0</v>
      </c>
      <c r="AR159">
        <f t="shared" si="450"/>
        <v>0.98</v>
      </c>
      <c r="AU159" s="6">
        <f t="shared" ref="AU159:AV159" si="451">AM40</f>
        <v>0.03</v>
      </c>
      <c r="AV159">
        <f t="shared" si="451"/>
        <v>0.42</v>
      </c>
    </row>
    <row r="160" spans="41:48" x14ac:dyDescent="0.25">
      <c r="AO160" s="6">
        <f t="shared" ref="AO160:AP160" si="452">G16</f>
        <v>0.02</v>
      </c>
      <c r="AP160">
        <f t="shared" si="452"/>
        <v>0.28000000000000003</v>
      </c>
      <c r="AQ160" s="6">
        <f t="shared" ref="AQ160:AR160" si="453">Q27</f>
        <v>0</v>
      </c>
      <c r="AR160">
        <f t="shared" si="453"/>
        <v>0.98</v>
      </c>
      <c r="AU160" s="6">
        <f t="shared" ref="AU160:AV160" si="454">AM41</f>
        <v>0</v>
      </c>
      <c r="AV160">
        <f t="shared" si="454"/>
        <v>0.97</v>
      </c>
    </row>
    <row r="161" spans="41:48" x14ac:dyDescent="0.25">
      <c r="AO161" s="6">
        <f t="shared" ref="AO161:AP161" si="455">G17</f>
        <v>0</v>
      </c>
      <c r="AP161">
        <f t="shared" si="455"/>
        <v>0.94</v>
      </c>
      <c r="AQ161" s="6">
        <f t="shared" ref="AQ161:AR161" si="456">Q28</f>
        <v>0.04</v>
      </c>
      <c r="AR161">
        <f t="shared" si="456"/>
        <v>0.15</v>
      </c>
      <c r="AU161" s="6">
        <f t="shared" ref="AU161:AV161" si="457">AM42</f>
        <v>0.01</v>
      </c>
      <c r="AV161">
        <f t="shared" si="457"/>
        <v>0.45</v>
      </c>
    </row>
    <row r="162" spans="41:48" x14ac:dyDescent="0.25">
      <c r="AO162" s="6">
        <f t="shared" ref="AO162:AP162" si="458">G18</f>
        <v>0.03</v>
      </c>
      <c r="AP162">
        <f t="shared" si="458"/>
        <v>0.3</v>
      </c>
      <c r="AQ162" s="6">
        <f t="shared" ref="AQ162:AR162" si="459">Q29</f>
        <v>0.02</v>
      </c>
      <c r="AR162">
        <f t="shared" si="459"/>
        <v>0.14000000000000001</v>
      </c>
      <c r="AU162" s="6">
        <f t="shared" ref="AU162:AV162" si="460">AM43</f>
        <v>0.01</v>
      </c>
      <c r="AV162">
        <f t="shared" si="460"/>
        <v>0.43</v>
      </c>
    </row>
    <row r="163" spans="41:48" x14ac:dyDescent="0.25">
      <c r="AO163" s="6">
        <f t="shared" ref="AO163:AP163" si="461">G19</f>
        <v>0.02</v>
      </c>
      <c r="AP163">
        <f t="shared" si="461"/>
        <v>0.25</v>
      </c>
      <c r="AQ163" s="6">
        <f t="shared" ref="AQ163:AR163" si="462">Q30</f>
        <v>0.01</v>
      </c>
      <c r="AR163">
        <f t="shared" si="462"/>
        <v>0.2</v>
      </c>
      <c r="AU163" s="6">
        <f t="shared" ref="AU163:AV163" si="463">AM44</f>
        <v>0.01</v>
      </c>
      <c r="AV163">
        <f t="shared" si="463"/>
        <v>0.48</v>
      </c>
    </row>
    <row r="164" spans="41:48" x14ac:dyDescent="0.25">
      <c r="AO164" s="6">
        <f t="shared" ref="AO164:AP164" si="464">G20</f>
        <v>0.01</v>
      </c>
      <c r="AP164">
        <f t="shared" si="464"/>
        <v>0.52</v>
      </c>
      <c r="AQ164" s="6">
        <f t="shared" ref="AQ164:AR164" si="465">Q31</f>
        <v>0.05</v>
      </c>
      <c r="AR164">
        <f t="shared" si="465"/>
        <v>0.08</v>
      </c>
      <c r="AU164" s="6">
        <f t="shared" ref="AU164:AV164" si="466">AM45</f>
        <v>0.01</v>
      </c>
      <c r="AV164">
        <f t="shared" si="466"/>
        <v>0.49</v>
      </c>
    </row>
    <row r="165" spans="41:48" x14ac:dyDescent="0.25">
      <c r="AO165" s="6">
        <f t="shared" ref="AO165:AP165" si="467">G21</f>
        <v>0.02</v>
      </c>
      <c r="AP165">
        <f t="shared" si="467"/>
        <v>0.28000000000000003</v>
      </c>
      <c r="AQ165" s="6">
        <f t="shared" ref="AQ165:AR165" si="468">Q32</f>
        <v>0</v>
      </c>
      <c r="AR165">
        <f t="shared" si="468"/>
        <v>0.94</v>
      </c>
      <c r="AU165" s="6">
        <f t="shared" ref="AU165:AV165" si="469">AM46</f>
        <v>0</v>
      </c>
      <c r="AV165">
        <f t="shared" si="469"/>
        <v>0.98</v>
      </c>
    </row>
    <row r="166" spans="41:48" x14ac:dyDescent="0.25">
      <c r="AO166" s="6">
        <f t="shared" ref="AO166:AP166" si="470">G22</f>
        <v>0.01</v>
      </c>
      <c r="AP166">
        <f t="shared" si="470"/>
        <v>0.55000000000000004</v>
      </c>
      <c r="AQ166" s="6">
        <f t="shared" ref="AQ166:AR166" si="471">Q33</f>
        <v>0</v>
      </c>
      <c r="AR166">
        <f t="shared" si="471"/>
        <v>0.98</v>
      </c>
      <c r="AU166" s="6">
        <f t="shared" ref="AU166:AV166" si="472">AM47</f>
        <v>0</v>
      </c>
      <c r="AV166">
        <f t="shared" si="472"/>
        <v>0.99</v>
      </c>
    </row>
    <row r="167" spans="41:48" x14ac:dyDescent="0.25">
      <c r="AO167" s="6">
        <f t="shared" ref="AO167:AP167" si="473">G23</f>
        <v>0</v>
      </c>
      <c r="AP167">
        <f t="shared" si="473"/>
        <v>0.97</v>
      </c>
      <c r="AQ167" s="6">
        <f t="shared" ref="AQ167:AR167" si="474">Q34</f>
        <v>0</v>
      </c>
      <c r="AR167">
        <f t="shared" si="474"/>
        <v>0.98</v>
      </c>
      <c r="AU167" s="6"/>
    </row>
    <row r="168" spans="41:48" x14ac:dyDescent="0.25">
      <c r="AO168" s="6">
        <f t="shared" ref="AO168:AP168" si="475">G24</f>
        <v>0</v>
      </c>
      <c r="AP168">
        <f t="shared" si="475"/>
        <v>1</v>
      </c>
      <c r="AQ168" s="6">
        <f t="shared" ref="AQ168:AR168" si="476">Q35</f>
        <v>0</v>
      </c>
      <c r="AR168">
        <f t="shared" si="476"/>
        <v>0.98</v>
      </c>
      <c r="AU168" s="6"/>
    </row>
    <row r="169" spans="41:48" x14ac:dyDescent="0.25">
      <c r="AO169" s="6">
        <f t="shared" ref="AO169:AP169" si="477">G25</f>
        <v>0</v>
      </c>
      <c r="AP169">
        <f t="shared" si="477"/>
        <v>1</v>
      </c>
      <c r="AQ169" s="6">
        <f t="shared" ref="AQ169:AR169" si="478">Q36</f>
        <v>0</v>
      </c>
      <c r="AR169">
        <f t="shared" si="478"/>
        <v>0.98</v>
      </c>
      <c r="AU169" s="6"/>
    </row>
    <row r="170" spans="41:48" x14ac:dyDescent="0.25">
      <c r="AO170" s="6">
        <f t="shared" ref="AO170:AP170" si="479">G26</f>
        <v>0</v>
      </c>
      <c r="AP170">
        <f t="shared" si="479"/>
        <v>1</v>
      </c>
      <c r="AQ170" s="6">
        <f t="shared" ref="AQ170:AR170" si="480">Q37</f>
        <v>0.02</v>
      </c>
      <c r="AR170">
        <f t="shared" si="480"/>
        <v>0.14000000000000001</v>
      </c>
      <c r="AU170" s="6"/>
    </row>
    <row r="171" spans="41:48" x14ac:dyDescent="0.25">
      <c r="AO171" s="6">
        <f t="shared" ref="AO171:AP171" si="481">G27</f>
        <v>0</v>
      </c>
      <c r="AP171">
        <f t="shared" si="481"/>
        <v>1</v>
      </c>
      <c r="AQ171" s="6">
        <f t="shared" ref="AQ171:AR171" si="482">Q38</f>
        <v>0.01</v>
      </c>
      <c r="AR171">
        <f t="shared" si="482"/>
        <v>0.22</v>
      </c>
      <c r="AU171" s="6"/>
    </row>
    <row r="172" spans="41:48" x14ac:dyDescent="0.25">
      <c r="AO172" s="6">
        <f t="shared" ref="AO172:AP172" si="483">G28</f>
        <v>0.02</v>
      </c>
      <c r="AP172">
        <f t="shared" si="483"/>
        <v>0.31</v>
      </c>
      <c r="AQ172" s="6">
        <f t="shared" ref="AQ172:AR172" si="484">Q39</f>
        <v>0</v>
      </c>
      <c r="AR172">
        <f t="shared" si="484"/>
        <v>0.98</v>
      </c>
      <c r="AU172" s="6"/>
    </row>
    <row r="173" spans="41:48" x14ac:dyDescent="0.25">
      <c r="AO173" s="6">
        <f t="shared" ref="AO173:AP173" si="485">G29</f>
        <v>0.01</v>
      </c>
      <c r="AP173">
        <f t="shared" si="485"/>
        <v>0.57999999999999996</v>
      </c>
      <c r="AQ173" s="6">
        <f t="shared" ref="AQ173:AR173" si="486">Q40</f>
        <v>0.02</v>
      </c>
      <c r="AR173">
        <f t="shared" si="486"/>
        <v>0.15</v>
      </c>
      <c r="AU173" s="6"/>
    </row>
    <row r="174" spans="41:48" x14ac:dyDescent="0.25">
      <c r="AO174" s="6">
        <f t="shared" ref="AO174:AP174" si="487">G30</f>
        <v>0.02</v>
      </c>
      <c r="AP174">
        <f t="shared" si="487"/>
        <v>0.32</v>
      </c>
      <c r="AQ174" s="6">
        <f t="shared" ref="AQ174:AR174" si="488">Q41</f>
        <v>0</v>
      </c>
      <c r="AR174">
        <f t="shared" si="488"/>
        <v>0.97</v>
      </c>
      <c r="AU174" s="6"/>
    </row>
    <row r="175" spans="41:48" x14ac:dyDescent="0.25">
      <c r="AO175" s="6">
        <f t="shared" ref="AO175:AP175" si="489">G31</f>
        <v>0.02</v>
      </c>
      <c r="AP175">
        <f t="shared" si="489"/>
        <v>0.33</v>
      </c>
      <c r="AQ175" s="6">
        <f t="shared" ref="AQ175:AR175" si="490">Q42</f>
        <v>0</v>
      </c>
      <c r="AR175">
        <f t="shared" si="490"/>
        <v>0.99</v>
      </c>
      <c r="AU175" s="6"/>
    </row>
    <row r="176" spans="41:48" x14ac:dyDescent="0.25">
      <c r="AO176" s="6">
        <f t="shared" ref="AO176:AP176" si="491">G32</f>
        <v>0</v>
      </c>
      <c r="AP176">
        <f t="shared" si="491"/>
        <v>0.97</v>
      </c>
      <c r="AQ176" s="6">
        <f>S3</f>
        <v>0</v>
      </c>
      <c r="AR176">
        <f>T3</f>
        <v>0.98</v>
      </c>
      <c r="AU176" s="6"/>
    </row>
    <row r="177" spans="41:47" x14ac:dyDescent="0.25">
      <c r="AO177" s="6">
        <f t="shared" ref="AO177:AP177" si="492">G33</f>
        <v>0.01</v>
      </c>
      <c r="AP177">
        <f t="shared" si="492"/>
        <v>0.6</v>
      </c>
      <c r="AQ177" s="6">
        <f t="shared" ref="AQ177:AR177" si="493">S4</f>
        <v>0</v>
      </c>
      <c r="AR177">
        <f t="shared" si="493"/>
        <v>0.98</v>
      </c>
      <c r="AU177" s="6"/>
    </row>
    <row r="178" spans="41:47" x14ac:dyDescent="0.25">
      <c r="AO178" s="6">
        <f t="shared" ref="AO178:AP178" si="494">G34</f>
        <v>0</v>
      </c>
      <c r="AP178">
        <f t="shared" si="494"/>
        <v>1</v>
      </c>
      <c r="AQ178" s="6">
        <f t="shared" ref="AQ178:AR178" si="495">S5</f>
        <v>0</v>
      </c>
      <c r="AR178">
        <f t="shared" si="495"/>
        <v>0.98</v>
      </c>
      <c r="AU178" s="6"/>
    </row>
    <row r="179" spans="41:47" x14ac:dyDescent="0.25">
      <c r="AO179" s="6">
        <f t="shared" ref="AO179:AP179" si="496">G35</f>
        <v>0</v>
      </c>
      <c r="AP179">
        <f t="shared" si="496"/>
        <v>1</v>
      </c>
      <c r="AQ179" s="6">
        <f t="shared" ref="AQ179:AR179" si="497">S6</f>
        <v>0.02</v>
      </c>
      <c r="AR179">
        <f t="shared" si="497"/>
        <v>0.2</v>
      </c>
      <c r="AU179" s="6"/>
    </row>
    <row r="180" spans="41:47" x14ac:dyDescent="0.25">
      <c r="AO180" s="6">
        <f t="shared" ref="AO180:AP180" si="498">G36</f>
        <v>0.02</v>
      </c>
      <c r="AP180">
        <f t="shared" si="498"/>
        <v>0.31</v>
      </c>
      <c r="AQ180" s="6">
        <f t="shared" ref="AQ180:AR180" si="499">S7</f>
        <v>0.01</v>
      </c>
      <c r="AR180">
        <f t="shared" si="499"/>
        <v>0.26</v>
      </c>
      <c r="AU180" s="6"/>
    </row>
    <row r="181" spans="41:47" x14ac:dyDescent="0.25">
      <c r="AO181" s="6">
        <f t="shared" ref="AO181:AP181" si="500">G37</f>
        <v>0.01</v>
      </c>
      <c r="AP181">
        <f t="shared" si="500"/>
        <v>0.56000000000000005</v>
      </c>
      <c r="AQ181" s="6">
        <f t="shared" ref="AQ181:AR181" si="501">S8</f>
        <v>0.04</v>
      </c>
      <c r="AR181">
        <f t="shared" si="501"/>
        <v>0.18</v>
      </c>
      <c r="AU181" s="6"/>
    </row>
    <row r="182" spans="41:47" x14ac:dyDescent="0.25">
      <c r="AO182" s="6">
        <f t="shared" ref="AO182:AP182" si="502">G38</f>
        <v>0.04</v>
      </c>
      <c r="AP182">
        <f t="shared" si="502"/>
        <v>0.25</v>
      </c>
      <c r="AQ182" s="6">
        <f t="shared" ref="AQ182:AR182" si="503">S9</f>
        <v>0.04</v>
      </c>
      <c r="AR182">
        <f t="shared" si="503"/>
        <v>0.19</v>
      </c>
      <c r="AU182" s="6"/>
    </row>
    <row r="183" spans="41:47" x14ac:dyDescent="0.25">
      <c r="AO183" s="6">
        <f t="shared" ref="AO183:AP183" si="504">G39</f>
        <v>0.03</v>
      </c>
      <c r="AP183">
        <f t="shared" si="504"/>
        <v>0.28999999999999998</v>
      </c>
      <c r="AQ183" s="6">
        <f t="shared" ref="AQ183:AR183" si="505">S10</f>
        <v>0.01</v>
      </c>
      <c r="AR183">
        <f t="shared" si="505"/>
        <v>0.24</v>
      </c>
      <c r="AU183" s="6"/>
    </row>
    <row r="184" spans="41:47" x14ac:dyDescent="0.25">
      <c r="AO184" s="6">
        <f t="shared" ref="AO184:AP184" si="506">G40</f>
        <v>0</v>
      </c>
      <c r="AP184">
        <f t="shared" si="506"/>
        <v>0.97</v>
      </c>
      <c r="AQ184" s="6">
        <f t="shared" ref="AQ184:AR184" si="507">S11</f>
        <v>0.02</v>
      </c>
      <c r="AR184">
        <f t="shared" si="507"/>
        <v>0.17</v>
      </c>
      <c r="AU184" s="6"/>
    </row>
    <row r="185" spans="41:47" x14ac:dyDescent="0.25">
      <c r="AO185" s="6">
        <f t="shared" ref="AO185:AP185" si="508">G41</f>
        <v>0</v>
      </c>
      <c r="AP185">
        <f t="shared" si="508"/>
        <v>1</v>
      </c>
      <c r="AQ185" s="6">
        <f t="shared" ref="AQ185:AR185" si="509">S12</f>
        <v>0.03</v>
      </c>
      <c r="AR185">
        <f t="shared" si="509"/>
        <v>0.14000000000000001</v>
      </c>
      <c r="AU185" s="6"/>
    </row>
    <row r="186" spans="41:47" x14ac:dyDescent="0.25">
      <c r="AO186" s="6">
        <f t="shared" ref="AO186:AP186" si="510">G42</f>
        <v>0</v>
      </c>
      <c r="AP186">
        <f t="shared" si="510"/>
        <v>1</v>
      </c>
      <c r="AQ186" s="6">
        <f t="shared" ref="AQ186:AR186" si="511">S13</f>
        <v>0.03</v>
      </c>
      <c r="AR186">
        <f t="shared" si="511"/>
        <v>0.11</v>
      </c>
      <c r="AU186" s="6"/>
    </row>
    <row r="187" spans="41:47" x14ac:dyDescent="0.25">
      <c r="AO187" s="6">
        <f t="shared" ref="AO187:AP187" si="512">G43</f>
        <v>0</v>
      </c>
      <c r="AP187">
        <f t="shared" si="512"/>
        <v>0.98</v>
      </c>
      <c r="AQ187" s="6">
        <f t="shared" ref="AQ187:AR187" si="513">S14</f>
        <v>7.0000000000000007E-2</v>
      </c>
      <c r="AR187">
        <f t="shared" si="513"/>
        <v>0.09</v>
      </c>
      <c r="AU187" s="6"/>
    </row>
    <row r="188" spans="41:47" x14ac:dyDescent="0.25">
      <c r="AO188" s="6">
        <f t="shared" ref="AO188:AP188" si="514">G44</f>
        <v>0.03</v>
      </c>
      <c r="AP188">
        <f t="shared" si="514"/>
        <v>0.32</v>
      </c>
      <c r="AQ188" s="6">
        <f t="shared" ref="AQ188:AR188" si="515">S15</f>
        <v>0.03</v>
      </c>
      <c r="AR188">
        <f t="shared" si="515"/>
        <v>0.1</v>
      </c>
      <c r="AU188" s="6"/>
    </row>
    <row r="189" spans="41:47" x14ac:dyDescent="0.25">
      <c r="AO189" s="6">
        <f t="shared" ref="AO189:AP189" si="516">G45</f>
        <v>0.05</v>
      </c>
      <c r="AP189">
        <f t="shared" si="516"/>
        <v>0.31</v>
      </c>
      <c r="AQ189" s="6">
        <f t="shared" ref="AQ189:AR189" si="517">S16</f>
        <v>0.03</v>
      </c>
      <c r="AR189">
        <f t="shared" si="517"/>
        <v>0.11</v>
      </c>
      <c r="AU189" s="6"/>
    </row>
    <row r="190" spans="41:47" x14ac:dyDescent="0.25">
      <c r="AO190" s="6">
        <f t="shared" ref="AO190:AP190" si="518">G46</f>
        <v>0.04</v>
      </c>
      <c r="AP190">
        <f t="shared" si="518"/>
        <v>0.26</v>
      </c>
      <c r="AQ190" s="6">
        <f t="shared" ref="AQ190:AR190" si="519">S17</f>
        <v>0.02</v>
      </c>
      <c r="AR190">
        <f t="shared" si="519"/>
        <v>0.14000000000000001</v>
      </c>
      <c r="AU190" s="6"/>
    </row>
    <row r="191" spans="41:47" x14ac:dyDescent="0.25">
      <c r="AO191" s="6">
        <f t="shared" ref="AO191:AP191" si="520">G47</f>
        <v>0.03</v>
      </c>
      <c r="AP191">
        <f t="shared" si="520"/>
        <v>0.33</v>
      </c>
      <c r="AQ191" s="6">
        <f t="shared" ref="AQ191:AR191" si="521">S18</f>
        <v>0.02</v>
      </c>
      <c r="AR191">
        <f t="shared" si="521"/>
        <v>0.16</v>
      </c>
      <c r="AU191" s="6"/>
    </row>
    <row r="192" spans="41:47" x14ac:dyDescent="0.25">
      <c r="AO192" s="6">
        <f t="shared" ref="AO192:AP192" si="522">G48</f>
        <v>0</v>
      </c>
      <c r="AP192">
        <f t="shared" si="522"/>
        <v>0.93</v>
      </c>
      <c r="AQ192" s="6">
        <f t="shared" ref="AQ192:AR192" si="523">S19</f>
        <v>0</v>
      </c>
      <c r="AR192">
        <f t="shared" si="523"/>
        <v>0.95</v>
      </c>
      <c r="AU192" s="6"/>
    </row>
    <row r="193" spans="41:47" x14ac:dyDescent="0.25">
      <c r="AO193" s="6">
        <f t="shared" ref="AO193:AP193" si="524">G49</f>
        <v>0</v>
      </c>
      <c r="AP193">
        <f t="shared" si="524"/>
        <v>1</v>
      </c>
      <c r="AQ193" s="6">
        <f t="shared" ref="AQ193:AR193" si="525">S20</f>
        <v>0</v>
      </c>
      <c r="AR193">
        <f t="shared" si="525"/>
        <v>0.98</v>
      </c>
      <c r="AU193" s="6"/>
    </row>
    <row r="194" spans="41:47" x14ac:dyDescent="0.25">
      <c r="AO194" s="6">
        <f t="shared" ref="AO194:AP194" si="526">G50</f>
        <v>0</v>
      </c>
      <c r="AP194">
        <f t="shared" si="526"/>
        <v>1</v>
      </c>
      <c r="AQ194" s="6">
        <f t="shared" ref="AQ194:AR194" si="527">S21</f>
        <v>0</v>
      </c>
      <c r="AR194">
        <f t="shared" si="527"/>
        <v>0.98</v>
      </c>
      <c r="AU194" s="6"/>
    </row>
    <row r="195" spans="41:47" x14ac:dyDescent="0.25">
      <c r="AO195" s="6">
        <f t="shared" ref="AO195:AP195" si="528">G51</f>
        <v>0.01</v>
      </c>
      <c r="AP195">
        <f t="shared" si="528"/>
        <v>0.61</v>
      </c>
      <c r="AQ195" s="6">
        <f t="shared" ref="AQ195:AR195" si="529">S22</f>
        <v>0</v>
      </c>
      <c r="AR195">
        <f t="shared" si="529"/>
        <v>0.98</v>
      </c>
      <c r="AU195" s="6"/>
    </row>
    <row r="196" spans="41:47" x14ac:dyDescent="0.25">
      <c r="AO196" s="6">
        <f>I3</f>
        <v>0</v>
      </c>
      <c r="AP196">
        <f>J3</f>
        <v>1</v>
      </c>
      <c r="AQ196" s="6">
        <f t="shared" ref="AQ196:AR196" si="530">S23</f>
        <v>0.01</v>
      </c>
      <c r="AR196">
        <f t="shared" si="530"/>
        <v>0.26</v>
      </c>
      <c r="AU196" s="6"/>
    </row>
    <row r="197" spans="41:47" x14ac:dyDescent="0.25">
      <c r="AO197" s="6">
        <f t="shared" ref="AO197:AP197" si="531">I4</f>
        <v>0</v>
      </c>
      <c r="AP197">
        <f t="shared" si="531"/>
        <v>1</v>
      </c>
      <c r="AQ197" s="6">
        <f t="shared" ref="AQ197:AR197" si="532">S24</f>
        <v>0</v>
      </c>
      <c r="AR197">
        <f t="shared" si="532"/>
        <v>0.97</v>
      </c>
      <c r="AU197" s="6"/>
    </row>
    <row r="198" spans="41:47" x14ac:dyDescent="0.25">
      <c r="AO198" s="6">
        <f t="shared" ref="AO198:AP198" si="533">I5</f>
        <v>0</v>
      </c>
      <c r="AP198">
        <f t="shared" si="533"/>
        <v>1</v>
      </c>
      <c r="AQ198" s="6">
        <f t="shared" ref="AQ198:AR198" si="534">S25</f>
        <v>0.01</v>
      </c>
      <c r="AR198">
        <f t="shared" si="534"/>
        <v>0.26</v>
      </c>
      <c r="AU198" s="6"/>
    </row>
    <row r="199" spans="41:47" x14ac:dyDescent="0.25">
      <c r="AO199" s="6">
        <f t="shared" ref="AO199:AP199" si="535">I6</f>
        <v>0.02</v>
      </c>
      <c r="AP199">
        <f t="shared" si="535"/>
        <v>0.34</v>
      </c>
      <c r="AQ199" s="6">
        <f t="shared" ref="AQ199:AR199" si="536">S26</f>
        <v>0.02</v>
      </c>
      <c r="AR199">
        <f t="shared" si="536"/>
        <v>0.2</v>
      </c>
      <c r="AU199" s="6"/>
    </row>
    <row r="200" spans="41:47" x14ac:dyDescent="0.25">
      <c r="AO200" s="6">
        <f t="shared" ref="AO200:AP200" si="537">I7</f>
        <v>0.02</v>
      </c>
      <c r="AP200">
        <f t="shared" si="537"/>
        <v>0.34</v>
      </c>
      <c r="AQ200" s="6">
        <f t="shared" ref="AQ200:AR200" si="538">S27</f>
        <v>0</v>
      </c>
      <c r="AR200">
        <f t="shared" si="538"/>
        <v>0.97</v>
      </c>
      <c r="AU200" s="6"/>
    </row>
    <row r="201" spans="41:47" x14ac:dyDescent="0.25">
      <c r="AO201" s="6">
        <f t="shared" ref="AO201:AP201" si="539">I8</f>
        <v>0.05</v>
      </c>
      <c r="AP201">
        <f t="shared" si="539"/>
        <v>0.2</v>
      </c>
      <c r="AQ201" s="6">
        <f t="shared" ref="AQ201:AR201" si="540">S28</f>
        <v>0.02</v>
      </c>
      <c r="AR201">
        <f t="shared" si="540"/>
        <v>0.19</v>
      </c>
      <c r="AU201" s="6"/>
    </row>
    <row r="202" spans="41:47" x14ac:dyDescent="0.25">
      <c r="AO202" s="6">
        <f t="shared" ref="AO202:AP202" si="541">I9</f>
        <v>0.08</v>
      </c>
      <c r="AP202">
        <f t="shared" si="541"/>
        <v>0.2</v>
      </c>
      <c r="AQ202" s="6">
        <f t="shared" ref="AQ202:AR202" si="542">S29</f>
        <v>0</v>
      </c>
      <c r="AR202">
        <f t="shared" si="542"/>
        <v>0.96</v>
      </c>
      <c r="AU202" s="6"/>
    </row>
    <row r="203" spans="41:47" x14ac:dyDescent="0.25">
      <c r="AO203" s="6">
        <f t="shared" ref="AO203:AP203" si="543">I10</f>
        <v>0.01</v>
      </c>
      <c r="AP203">
        <f t="shared" si="543"/>
        <v>0.47</v>
      </c>
      <c r="AQ203" s="6">
        <f t="shared" ref="AQ203:AR203" si="544">S30</f>
        <v>0</v>
      </c>
      <c r="AR203">
        <f t="shared" si="544"/>
        <v>0.98</v>
      </c>
      <c r="AU203" s="6"/>
    </row>
    <row r="204" spans="41:47" x14ac:dyDescent="0.25">
      <c r="AO204" s="6">
        <f t="shared" ref="AO204:AP204" si="545">I11</f>
        <v>0.09</v>
      </c>
      <c r="AP204">
        <f t="shared" si="545"/>
        <v>0.09</v>
      </c>
      <c r="AQ204" s="6">
        <f t="shared" ref="AQ204:AR204" si="546">S31</f>
        <v>0.02</v>
      </c>
      <c r="AR204">
        <f t="shared" si="546"/>
        <v>0.19</v>
      </c>
      <c r="AU204" s="6"/>
    </row>
    <row r="205" spans="41:47" x14ac:dyDescent="0.25">
      <c r="AO205" s="6">
        <f t="shared" ref="AO205:AP205" si="547">I12</f>
        <v>0.05</v>
      </c>
      <c r="AP205">
        <f t="shared" si="547"/>
        <v>0.12</v>
      </c>
      <c r="AQ205" s="6">
        <f t="shared" ref="AQ205:AR205" si="548">S32</f>
        <v>0</v>
      </c>
      <c r="AR205">
        <f t="shared" si="548"/>
        <v>0.97</v>
      </c>
      <c r="AU205" s="6"/>
    </row>
    <row r="206" spans="41:47" x14ac:dyDescent="0.25">
      <c r="AO206" s="6">
        <f t="shared" ref="AO206:AP206" si="549">I13</f>
        <v>0.04</v>
      </c>
      <c r="AP206">
        <f t="shared" si="549"/>
        <v>0.18</v>
      </c>
      <c r="AQ206" s="6">
        <f t="shared" ref="AQ206:AR206" si="550">S33</f>
        <v>0.02</v>
      </c>
      <c r="AR206">
        <f t="shared" si="550"/>
        <v>0.2</v>
      </c>
      <c r="AU206" s="6"/>
    </row>
    <row r="207" spans="41:47" x14ac:dyDescent="0.25">
      <c r="AO207" s="6">
        <f t="shared" ref="AO207:AP207" si="551">I14</f>
        <v>0.1</v>
      </c>
      <c r="AP207">
        <f t="shared" si="551"/>
        <v>0.16</v>
      </c>
      <c r="AQ207" s="6">
        <f t="shared" ref="AQ207:AR207" si="552">S34</f>
        <v>0.05</v>
      </c>
      <c r="AR207">
        <f t="shared" si="552"/>
        <v>0.18</v>
      </c>
      <c r="AU207" s="6"/>
    </row>
    <row r="208" spans="41:47" x14ac:dyDescent="0.25">
      <c r="AO208" s="6">
        <f t="shared" ref="AO208:AP208" si="553">I15</f>
        <v>0.02</v>
      </c>
      <c r="AP208">
        <f t="shared" si="553"/>
        <v>0.26</v>
      </c>
      <c r="AQ208" s="6">
        <f t="shared" ref="AQ208:AR208" si="554">S35</f>
        <v>0</v>
      </c>
      <c r="AR208">
        <f t="shared" si="554"/>
        <v>0.93</v>
      </c>
      <c r="AU208" s="6"/>
    </row>
    <row r="209" spans="41:47" x14ac:dyDescent="0.25">
      <c r="AO209" s="6">
        <f t="shared" ref="AO209:AP209" si="555">I16</f>
        <v>0.02</v>
      </c>
      <c r="AP209">
        <f t="shared" si="555"/>
        <v>0.28000000000000003</v>
      </c>
      <c r="AQ209" s="6">
        <f t="shared" ref="AQ209:AR209" si="556">S36</f>
        <v>0.02</v>
      </c>
      <c r="AR209">
        <f t="shared" si="556"/>
        <v>0.21</v>
      </c>
      <c r="AU209" s="6"/>
    </row>
    <row r="210" spans="41:47" x14ac:dyDescent="0.25">
      <c r="AO210" s="6">
        <f t="shared" ref="AO210:AP210" si="557">I17</f>
        <v>0.01</v>
      </c>
      <c r="AP210">
        <f t="shared" si="557"/>
        <v>0.57999999999999996</v>
      </c>
      <c r="AQ210" s="6">
        <f t="shared" ref="AQ210:AR210" si="558">S37</f>
        <v>0</v>
      </c>
      <c r="AR210">
        <f t="shared" si="558"/>
        <v>0.96</v>
      </c>
      <c r="AU210" s="6"/>
    </row>
    <row r="211" spans="41:47" x14ac:dyDescent="0.25">
      <c r="AO211" s="6">
        <f t="shared" ref="AO211:AP211" si="559">I18</f>
        <v>0</v>
      </c>
      <c r="AP211">
        <f t="shared" si="559"/>
        <v>0.98</v>
      </c>
      <c r="AQ211" s="6">
        <f t="shared" ref="AQ211:AR211" si="560">S38</f>
        <v>0</v>
      </c>
      <c r="AR211">
        <f t="shared" si="560"/>
        <v>0.98</v>
      </c>
      <c r="AU211" s="6"/>
    </row>
    <row r="212" spans="41:47" x14ac:dyDescent="0.25">
      <c r="AO212" s="6">
        <f t="shared" ref="AO212:AP212" si="561">I19</f>
        <v>0</v>
      </c>
      <c r="AP212">
        <f t="shared" si="561"/>
        <v>1</v>
      </c>
      <c r="AQ212" s="6">
        <f t="shared" ref="AQ212:AR212" si="562">S39</f>
        <v>0.04</v>
      </c>
      <c r="AR212">
        <f t="shared" si="562"/>
        <v>0.24</v>
      </c>
      <c r="AU212" s="6"/>
    </row>
    <row r="213" spans="41:47" x14ac:dyDescent="0.25">
      <c r="AO213" s="6">
        <f t="shared" ref="AO213:AP213" si="563">I20</f>
        <v>0</v>
      </c>
      <c r="AP213">
        <f t="shared" si="563"/>
        <v>1</v>
      </c>
      <c r="AQ213" s="6">
        <f t="shared" ref="AQ213:AR213" si="564">S40</f>
        <v>0</v>
      </c>
      <c r="AR213">
        <f t="shared" si="564"/>
        <v>0.96</v>
      </c>
      <c r="AU213" s="6"/>
    </row>
    <row r="214" spans="41:47" x14ac:dyDescent="0.25">
      <c r="AO214" s="6">
        <f t="shared" ref="AO214:AP214" si="565">I21</f>
        <v>0</v>
      </c>
      <c r="AP214">
        <f t="shared" si="565"/>
        <v>1</v>
      </c>
      <c r="AQ214" s="6">
        <f t="shared" ref="AQ214:AQ219" si="566">S41</f>
        <v>0.01</v>
      </c>
      <c r="AR214">
        <f t="shared" ref="AR214:AR219" si="567">T41</f>
        <v>0.23</v>
      </c>
      <c r="AU214" s="6"/>
    </row>
    <row r="215" spans="41:47" x14ac:dyDescent="0.25">
      <c r="AO215" s="6">
        <f t="shared" ref="AO215:AP215" si="568">I22</f>
        <v>0.01</v>
      </c>
      <c r="AP215">
        <f t="shared" si="568"/>
        <v>0.62</v>
      </c>
      <c r="AQ215" s="6">
        <f t="shared" si="566"/>
        <v>0.04</v>
      </c>
      <c r="AR215">
        <f t="shared" si="567"/>
        <v>0.21</v>
      </c>
      <c r="AU215" s="6"/>
    </row>
    <row r="216" spans="41:47" x14ac:dyDescent="0.25">
      <c r="AO216" s="6">
        <f t="shared" ref="AO216:AP216" si="569">I23</f>
        <v>0</v>
      </c>
      <c r="AP216">
        <f t="shared" si="569"/>
        <v>0.99</v>
      </c>
      <c r="AQ216" s="6">
        <f t="shared" si="566"/>
        <v>0</v>
      </c>
      <c r="AR216">
        <f t="shared" si="567"/>
        <v>0.94</v>
      </c>
      <c r="AU216" s="6"/>
    </row>
    <row r="217" spans="41:47" x14ac:dyDescent="0.25">
      <c r="AO217" s="6">
        <f t="shared" ref="AO217:AP217" si="570">I24</f>
        <v>0</v>
      </c>
      <c r="AP217">
        <f t="shared" si="570"/>
        <v>0.99</v>
      </c>
      <c r="AQ217" s="6">
        <f t="shared" si="566"/>
        <v>0.04</v>
      </c>
      <c r="AR217">
        <f t="shared" si="567"/>
        <v>0.22</v>
      </c>
      <c r="AU217" s="6"/>
    </row>
    <row r="218" spans="41:47" x14ac:dyDescent="0.25">
      <c r="AO218" s="6">
        <f t="shared" ref="AO218:AP218" si="571">I25</f>
        <v>0.01</v>
      </c>
      <c r="AP218">
        <f t="shared" si="571"/>
        <v>0.61</v>
      </c>
      <c r="AQ218" s="6">
        <f t="shared" si="566"/>
        <v>0</v>
      </c>
      <c r="AR218">
        <f t="shared" si="567"/>
        <v>0.94</v>
      </c>
      <c r="AU218" s="6"/>
    </row>
    <row r="219" spans="41:47" x14ac:dyDescent="0.25">
      <c r="AO219" s="6">
        <f t="shared" ref="AO219:AP219" si="572">I26</f>
        <v>0.01</v>
      </c>
      <c r="AP219">
        <f t="shared" si="572"/>
        <v>0.62</v>
      </c>
      <c r="AQ219" s="6">
        <f t="shared" si="566"/>
        <v>0</v>
      </c>
      <c r="AR219">
        <f t="shared" si="567"/>
        <v>0.98</v>
      </c>
      <c r="AU219" s="6"/>
    </row>
    <row r="220" spans="41:47" x14ac:dyDescent="0.25">
      <c r="AO220" s="6">
        <f t="shared" ref="AO220:AP220" si="573">I27</f>
        <v>0</v>
      </c>
      <c r="AP220">
        <f t="shared" si="573"/>
        <v>0.98</v>
      </c>
      <c r="AQ220" s="6"/>
      <c r="AU220" s="6"/>
    </row>
    <row r="221" spans="41:47" x14ac:dyDescent="0.25">
      <c r="AO221" s="6">
        <f t="shared" ref="AO221:AP221" si="574">I28</f>
        <v>0</v>
      </c>
      <c r="AP221">
        <f t="shared" si="574"/>
        <v>0.99</v>
      </c>
      <c r="AQ221" s="6"/>
      <c r="AU221" s="6"/>
    </row>
    <row r="222" spans="41:47" x14ac:dyDescent="0.25">
      <c r="AO222" s="6"/>
      <c r="AQ222" s="6"/>
      <c r="AU222" s="6"/>
    </row>
    <row r="223" spans="41:47" x14ac:dyDescent="0.25">
      <c r="AO223" s="6"/>
      <c r="AQ223" s="6"/>
      <c r="AU223" s="6"/>
    </row>
    <row r="224" spans="41:47" x14ac:dyDescent="0.25">
      <c r="AO224" s="6"/>
      <c r="AQ224" s="6"/>
      <c r="AU224" s="6"/>
    </row>
    <row r="225" spans="41:47" x14ac:dyDescent="0.25">
      <c r="AO225" s="6"/>
      <c r="AQ225" s="6"/>
      <c r="AU225" s="6"/>
    </row>
    <row r="226" spans="41:47" x14ac:dyDescent="0.25">
      <c r="AO226" s="6"/>
      <c r="AQ226" s="6"/>
      <c r="AU226" s="6"/>
    </row>
    <row r="227" spans="41:47" x14ac:dyDescent="0.25">
      <c r="AO227" s="6"/>
      <c r="AQ227" s="6"/>
      <c r="AU227" s="6"/>
    </row>
    <row r="228" spans="41:47" x14ac:dyDescent="0.25">
      <c r="AO228" s="6"/>
      <c r="AQ228" s="6"/>
      <c r="AU228" s="6"/>
    </row>
    <row r="229" spans="41:47" x14ac:dyDescent="0.25">
      <c r="AO229" s="6"/>
      <c r="AQ229" s="6"/>
      <c r="AU229" s="6"/>
    </row>
    <row r="230" spans="41:47" x14ac:dyDescent="0.25">
      <c r="AO230" s="6"/>
      <c r="AQ230" s="6"/>
      <c r="AU230" s="6"/>
    </row>
    <row r="231" spans="41:47" x14ac:dyDescent="0.25">
      <c r="AO231" s="6"/>
      <c r="AQ231" s="6"/>
      <c r="AU231" s="6"/>
    </row>
    <row r="232" spans="41:47" x14ac:dyDescent="0.25">
      <c r="AO232" s="6"/>
      <c r="AQ232" s="6"/>
      <c r="AU232" s="6"/>
    </row>
    <row r="233" spans="41:47" x14ac:dyDescent="0.25">
      <c r="AO233" s="6"/>
      <c r="AQ233" s="6"/>
      <c r="AU233" s="6"/>
    </row>
    <row r="234" spans="41:47" x14ac:dyDescent="0.25">
      <c r="AO234" s="6"/>
      <c r="AQ234" s="6"/>
      <c r="AU234" s="6"/>
    </row>
    <row r="235" spans="41:47" x14ac:dyDescent="0.25">
      <c r="AO235" s="6"/>
      <c r="AQ235" s="6"/>
      <c r="AU235" s="6"/>
    </row>
    <row r="236" spans="41:47" x14ac:dyDescent="0.25">
      <c r="AO236" s="6"/>
      <c r="AQ236" s="6"/>
      <c r="AU236" s="6"/>
    </row>
    <row r="237" spans="41:47" x14ac:dyDescent="0.25">
      <c r="AQ237" s="6"/>
      <c r="AU237" s="6"/>
    </row>
    <row r="238" spans="41:47" x14ac:dyDescent="0.25">
      <c r="AQ238" s="6"/>
      <c r="AU238" s="6"/>
    </row>
    <row r="239" spans="41:47" x14ac:dyDescent="0.25">
      <c r="AQ239" s="6"/>
      <c r="AU239" s="6"/>
    </row>
    <row r="240" spans="41:47" x14ac:dyDescent="0.25">
      <c r="AQ240" s="6"/>
      <c r="AU240" s="6"/>
    </row>
    <row r="241" spans="43:47" x14ac:dyDescent="0.25">
      <c r="AQ241" s="6"/>
      <c r="AU241" s="6"/>
    </row>
    <row r="242" spans="43:47" x14ac:dyDescent="0.25">
      <c r="AQ242" s="6"/>
      <c r="AU242" s="6"/>
    </row>
    <row r="243" spans="43:47" x14ac:dyDescent="0.25">
      <c r="AU243" s="6"/>
    </row>
    <row r="244" spans="43:47" x14ac:dyDescent="0.25">
      <c r="AU244" s="6"/>
    </row>
    <row r="245" spans="43:47" x14ac:dyDescent="0.25">
      <c r="AU245" s="6"/>
    </row>
    <row r="246" spans="43:47" x14ac:dyDescent="0.25">
      <c r="AU246" s="6"/>
    </row>
    <row r="247" spans="43:47" x14ac:dyDescent="0.25">
      <c r="AU247" s="6"/>
    </row>
    <row r="248" spans="43:47" x14ac:dyDescent="0.25">
      <c r="AU248" s="6"/>
    </row>
  </sheetData>
  <mergeCells count="24"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AU1:AV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5484-BAE1-4697-B5F7-BFCB603FB963}">
  <dimension ref="A1:W7"/>
  <sheetViews>
    <sheetView topLeftCell="A13" zoomScale="86" zoomScaleNormal="86" workbookViewId="0">
      <selection activeCell="AI50" sqref="AI50"/>
    </sheetView>
  </sheetViews>
  <sheetFormatPr defaultRowHeight="15" x14ac:dyDescent="0.25"/>
  <cols>
    <col min="1" max="1" width="18.5703125" bestFit="1" customWidth="1"/>
    <col min="7" max="7" width="18.5703125" bestFit="1" customWidth="1"/>
    <col min="9" max="9" width="18.5703125" bestFit="1" customWidth="1"/>
  </cols>
  <sheetData>
    <row r="1" spans="1:23" x14ac:dyDescent="0.25">
      <c r="A1" t="s">
        <v>130</v>
      </c>
      <c r="B1" s="7"/>
      <c r="C1" s="7"/>
      <c r="D1" s="7"/>
      <c r="E1" s="7"/>
      <c r="G1" t="s">
        <v>131</v>
      </c>
      <c r="H1" s="7"/>
      <c r="I1" s="7"/>
      <c r="J1" s="7"/>
      <c r="K1" s="7"/>
      <c r="M1" s="3"/>
      <c r="N1" s="8" t="s">
        <v>2</v>
      </c>
      <c r="O1" s="8"/>
      <c r="P1" s="8"/>
      <c r="Q1" s="8"/>
      <c r="R1" s="3"/>
      <c r="S1" s="3"/>
      <c r="T1" s="8" t="s">
        <v>73</v>
      </c>
      <c r="U1" s="8"/>
      <c r="V1" s="8"/>
      <c r="W1" s="8"/>
    </row>
    <row r="2" spans="1:23" x14ac:dyDescent="0.25">
      <c r="B2" t="s">
        <v>128</v>
      </c>
      <c r="C2" t="s">
        <v>129</v>
      </c>
      <c r="D2" t="s">
        <v>67</v>
      </c>
      <c r="E2" t="s">
        <v>132</v>
      </c>
      <c r="H2" t="s">
        <v>128</v>
      </c>
      <c r="I2" t="s">
        <v>129</v>
      </c>
      <c r="J2" t="s">
        <v>67</v>
      </c>
      <c r="K2" t="s">
        <v>132</v>
      </c>
      <c r="M2" s="3"/>
      <c r="N2" s="3" t="s">
        <v>64</v>
      </c>
      <c r="O2" s="3" t="s">
        <v>65</v>
      </c>
      <c r="P2" s="3" t="s">
        <v>67</v>
      </c>
      <c r="Q2" s="3" t="s">
        <v>66</v>
      </c>
      <c r="R2" s="3"/>
      <c r="S2" s="3"/>
      <c r="T2" s="3" t="s">
        <v>64</v>
      </c>
      <c r="U2" s="3" t="s">
        <v>65</v>
      </c>
      <c r="V2" s="3" t="s">
        <v>67</v>
      </c>
      <c r="W2" s="3" t="s">
        <v>66</v>
      </c>
    </row>
    <row r="3" spans="1:23" x14ac:dyDescent="0.25">
      <c r="A3" t="s">
        <v>63</v>
      </c>
      <c r="B3">
        <f>Baserun_Full!H53</f>
        <v>65.200000000000017</v>
      </c>
      <c r="C3">
        <f>Aware_Full!H53</f>
        <v>66.200000000000031</v>
      </c>
      <c r="D3">
        <f>Learn_Full!H53</f>
        <v>67.599999999999994</v>
      </c>
      <c r="E3">
        <f>Rich_Full!H53</f>
        <v>79.800000000000026</v>
      </c>
      <c r="G3" t="s">
        <v>63</v>
      </c>
      <c r="H3">
        <f>Baserun_Full!R53</f>
        <v>3683.8</v>
      </c>
      <c r="I3">
        <f>Aware_Full!R53</f>
        <v>3418.6</v>
      </c>
      <c r="J3">
        <f>Learn_Full!R53</f>
        <v>3109</v>
      </c>
      <c r="K3">
        <f>Rich_Full!R53</f>
        <v>3894.2</v>
      </c>
      <c r="M3" s="3" t="s">
        <v>63</v>
      </c>
      <c r="N3" s="3">
        <f>Baserun_Full!AB53</f>
        <v>391.2000000000001</v>
      </c>
      <c r="O3" s="3">
        <f>Aware_Full!AB53</f>
        <v>395.8</v>
      </c>
      <c r="P3" s="3">
        <f>Learn_Full!AB53</f>
        <v>398</v>
      </c>
      <c r="Q3" s="3">
        <f>Rich_Full!AB53</f>
        <v>478.8</v>
      </c>
      <c r="R3" s="3"/>
      <c r="S3" s="3" t="s">
        <v>63</v>
      </c>
      <c r="T3" s="3">
        <f>Baserun_Full!AL53</f>
        <v>3681.4333333333329</v>
      </c>
      <c r="U3" s="3">
        <f>Aware_Full!AL53</f>
        <v>3437.7633333333338</v>
      </c>
      <c r="V3" s="3">
        <f>Learn_Full!AL53</f>
        <v>3127.9266666666672</v>
      </c>
      <c r="W3" s="3">
        <f>Rich_Full!AL53</f>
        <v>3889.7300000000005</v>
      </c>
    </row>
    <row r="4" spans="1:23" x14ac:dyDescent="0.25">
      <c r="A4" t="s">
        <v>42</v>
      </c>
      <c r="B4">
        <f>Baserun_Full!H55</f>
        <v>2.011477089737959</v>
      </c>
      <c r="C4">
        <f>Aware_Full!H55</f>
        <v>1.4913475177304967</v>
      </c>
      <c r="D4">
        <f>Learn_Full!H55</f>
        <v>1.5041734417344175</v>
      </c>
      <c r="E4">
        <f>Rich_Full!H55</f>
        <v>2.5364066457315886</v>
      </c>
      <c r="G4" t="s">
        <v>42</v>
      </c>
      <c r="H4">
        <f>Baserun_Full!R55</f>
        <v>60.179292929292934</v>
      </c>
      <c r="I4">
        <f>Aware_Full!R55</f>
        <v>64.015032834252693</v>
      </c>
      <c r="J4">
        <f>Learn_Full!R55</f>
        <v>56.654701897018974</v>
      </c>
      <c r="K4">
        <f>Rich_Full!R55</f>
        <v>63.975280427683174</v>
      </c>
      <c r="M4" s="3" t="s">
        <v>42</v>
      </c>
      <c r="N4" s="3">
        <f>Baserun_Full!AB55</f>
        <v>12.068862538427757</v>
      </c>
      <c r="O4" s="3">
        <f>Aware_Full!AB55</f>
        <v>8.9147517730496464</v>
      </c>
      <c r="P4" s="3">
        <f>Learn_Full!AB55</f>
        <v>8.798373983739836</v>
      </c>
      <c r="Q4" s="3">
        <f>Rich_Full!AB55</f>
        <v>15.218439874389531</v>
      </c>
      <c r="R4" s="3"/>
      <c r="S4" s="3" t="s">
        <v>42</v>
      </c>
      <c r="T4" s="3">
        <f>Baserun_Full!AL55</f>
        <v>61.633406163080075</v>
      </c>
      <c r="U4" s="3">
        <f>Aware_Full!AL55</f>
        <v>64.775971850100703</v>
      </c>
      <c r="V4" s="3">
        <f>Learn_Full!AL55</f>
        <v>57.903726588377005</v>
      </c>
      <c r="W4" s="3">
        <f>Rich_Full!AL55</f>
        <v>65.10762177182086</v>
      </c>
    </row>
    <row r="6" spans="1:23" x14ac:dyDescent="0.25">
      <c r="P6" s="3" t="s">
        <v>74</v>
      </c>
    </row>
    <row r="7" spans="1:23" x14ac:dyDescent="0.25">
      <c r="A7" t="s">
        <v>121</v>
      </c>
      <c r="B7">
        <f>B3/100*100</f>
        <v>65.200000000000017</v>
      </c>
      <c r="C7">
        <f t="shared" ref="C7:E7" si="0">C3/100*100</f>
        <v>66.200000000000031</v>
      </c>
      <c r="D7">
        <f t="shared" si="0"/>
        <v>67.599999999999994</v>
      </c>
      <c r="E7">
        <f t="shared" si="0"/>
        <v>79.800000000000026</v>
      </c>
      <c r="G7" t="s">
        <v>121</v>
      </c>
      <c r="H7">
        <f>H3/5000*100</f>
        <v>73.676000000000002</v>
      </c>
      <c r="I7">
        <f t="shared" ref="I7:K7" si="1">I3/5000*100</f>
        <v>68.372</v>
      </c>
      <c r="J7">
        <f t="shared" si="1"/>
        <v>62.18</v>
      </c>
      <c r="K7">
        <f t="shared" si="1"/>
        <v>77.884</v>
      </c>
    </row>
  </sheetData>
  <mergeCells count="4">
    <mergeCell ref="B1:E1"/>
    <mergeCell ref="H1:K1"/>
    <mergeCell ref="N1:Q1"/>
    <mergeCell ref="T1:W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E086-C8AD-4A5B-A7A3-7D168ECC7A0B}">
  <dimension ref="A1:AY54"/>
  <sheetViews>
    <sheetView topLeftCell="R3" workbookViewId="0">
      <selection activeCell="AC36" sqref="AC36"/>
    </sheetView>
  </sheetViews>
  <sheetFormatPr defaultRowHeight="15" x14ac:dyDescent="0.25"/>
  <sheetData>
    <row r="1" spans="1:51" x14ac:dyDescent="0.25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AA1" s="7" t="s">
        <v>72</v>
      </c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5">
      <c r="B2" s="7" t="s">
        <v>68</v>
      </c>
      <c r="C2" s="7"/>
      <c r="D2" s="7"/>
      <c r="E2" s="7"/>
      <c r="F2" s="7"/>
      <c r="G2" s="7" t="s">
        <v>65</v>
      </c>
      <c r="H2" s="7"/>
      <c r="I2" s="7"/>
      <c r="J2" s="7"/>
      <c r="K2" s="7"/>
      <c r="L2" s="7" t="s">
        <v>67</v>
      </c>
      <c r="M2" s="7"/>
      <c r="N2" s="7"/>
      <c r="O2" s="7"/>
      <c r="P2" s="7"/>
      <c r="Q2" s="7" t="s">
        <v>66</v>
      </c>
      <c r="R2" s="7"/>
      <c r="S2" s="7"/>
      <c r="T2" s="7"/>
      <c r="U2" s="7"/>
      <c r="V2" s="1"/>
      <c r="AB2" s="7" t="s">
        <v>68</v>
      </c>
      <c r="AC2" s="7"/>
      <c r="AD2" s="7"/>
      <c r="AE2" s="7"/>
      <c r="AF2" s="7"/>
      <c r="AG2" s="7" t="s">
        <v>65</v>
      </c>
      <c r="AH2" s="7"/>
      <c r="AI2" s="7"/>
      <c r="AJ2" s="7"/>
      <c r="AK2" s="7"/>
      <c r="AL2" s="7" t="s">
        <v>67</v>
      </c>
      <c r="AM2" s="7"/>
      <c r="AN2" s="7"/>
      <c r="AO2" s="7"/>
      <c r="AP2" s="7"/>
      <c r="AQ2" s="7" t="s">
        <v>66</v>
      </c>
      <c r="AR2" s="7"/>
      <c r="AS2" s="7"/>
      <c r="AT2" s="7"/>
      <c r="AU2" s="7"/>
      <c r="AV2" s="1"/>
    </row>
    <row r="3" spans="1:51" x14ac:dyDescent="0.25">
      <c r="A3" t="str">
        <f>Baserun_Full!A2</f>
        <v>Time</v>
      </c>
      <c r="B3" t="str">
        <f>Baserun_Full!B2</f>
        <v>NI_Baserun1</v>
      </c>
      <c r="C3" t="str">
        <f>Baserun_Full!C2</f>
        <v>NI_Baserun2</v>
      </c>
      <c r="D3" t="str">
        <f>Baserun_Full!D2</f>
        <v>NI_Baserun3</v>
      </c>
      <c r="E3" t="str">
        <f>Baserun_Full!E2</f>
        <v>NI_Baserun4</v>
      </c>
      <c r="F3" t="str">
        <f>Baserun_Full!F2</f>
        <v>NI_Baserun5</v>
      </c>
      <c r="G3" t="str">
        <f>Aware_Full!B2</f>
        <v>NI_Aware1</v>
      </c>
      <c r="H3" t="str">
        <f>Aware_Full!C2</f>
        <v>NI_Aware2</v>
      </c>
      <c r="I3" t="str">
        <f>Aware_Full!D2</f>
        <v>NI_Aware3</v>
      </c>
      <c r="J3" t="str">
        <f>Aware_Full!E2</f>
        <v>NI_Aware4</v>
      </c>
      <c r="K3" t="str">
        <f>Aware_Full!F2</f>
        <v>NI_Aware5</v>
      </c>
      <c r="L3" t="str">
        <f>Learn_Full!B2</f>
        <v>NI_Learn1</v>
      </c>
      <c r="M3" t="str">
        <f>Learn_Full!C2</f>
        <v>NI_Learn2</v>
      </c>
      <c r="N3" t="str">
        <f>Learn_Full!D2</f>
        <v>NI_Learn3</v>
      </c>
      <c r="O3" t="str">
        <f>Learn_Full!E2</f>
        <v>NI_Learn4</v>
      </c>
      <c r="P3" t="str">
        <f>Learn_Full!F2</f>
        <v>NI_Learn5</v>
      </c>
      <c r="Q3" t="str">
        <f>Rich_Full!B2</f>
        <v>NI_Rich1</v>
      </c>
      <c r="R3" t="str">
        <f>Rich_Full!C2</f>
        <v>NI_Rich2</v>
      </c>
      <c r="S3" t="str">
        <f>Rich_Full!D2</f>
        <v>NI_Rich3</v>
      </c>
      <c r="T3" t="str">
        <f>Rich_Full!E2</f>
        <v>NI_Rich4</v>
      </c>
      <c r="U3" t="str">
        <f>Rich_Full!F2</f>
        <v>NI_Rich5</v>
      </c>
      <c r="W3" t="s">
        <v>12</v>
      </c>
      <c r="X3" t="s">
        <v>69</v>
      </c>
      <c r="Y3" t="s">
        <v>13</v>
      </c>
      <c r="AA3" t="str">
        <f>Baserun_Full!AE2</f>
        <v>Time</v>
      </c>
      <c r="AB3" t="str">
        <f>Baserun_Full!AF2</f>
        <v>Mob6_Baserun1</v>
      </c>
      <c r="AC3" t="str">
        <f>Baserun_Full!AG2</f>
        <v>Mob6_Baserun2</v>
      </c>
      <c r="AD3" t="str">
        <f>Baserun_Full!AH2</f>
        <v>Mob6_Baserun3</v>
      </c>
      <c r="AE3" t="str">
        <f>Baserun_Full!AI2</f>
        <v>Mob6_Baserun4</v>
      </c>
      <c r="AF3" t="str">
        <f>Baserun_Full!AJ2</f>
        <v>Mob6_Baserun5</v>
      </c>
      <c r="AG3" t="str">
        <f>Aware_Full!AF2</f>
        <v>Mob6_Aware1</v>
      </c>
      <c r="AH3" t="str">
        <f>Aware_Full!AG2</f>
        <v>Mob6_Aware2</v>
      </c>
      <c r="AI3" t="str">
        <f>Aware_Full!AH2</f>
        <v>Mob6_Aware3</v>
      </c>
      <c r="AJ3" t="str">
        <f>Aware_Full!AI2</f>
        <v>Mob6_Aware4</v>
      </c>
      <c r="AK3" t="str">
        <f>Aware_Full!AJ2</f>
        <v>Mob6_Aware5</v>
      </c>
      <c r="AL3" t="str">
        <f>Learn_Full!AF2</f>
        <v>Mob6_Learn1</v>
      </c>
      <c r="AM3" t="str">
        <f>Learn_Full!AG2</f>
        <v>Mob6_Learn2</v>
      </c>
      <c r="AN3" t="str">
        <f>Learn_Full!AH2</f>
        <v>Mob6_Learn3</v>
      </c>
      <c r="AO3" t="str">
        <f>Learn_Full!AI2</f>
        <v>Mob6_Learn4</v>
      </c>
      <c r="AP3" t="str">
        <f>Learn_Full!AJ2</f>
        <v>Mob6_Learn5</v>
      </c>
      <c r="AQ3" t="str">
        <f>Rich_Full!AF2</f>
        <v>Mob6_Rich1</v>
      </c>
      <c r="AR3" t="str">
        <f>Rich_Full!AG2</f>
        <v>Mob6_Rich2</v>
      </c>
      <c r="AS3" t="str">
        <f>Rich_Full!AH2</f>
        <v>Mob6_Rich3</v>
      </c>
      <c r="AT3" t="str">
        <f>Rich_Full!AI2</f>
        <v>Mob6_Rich4</v>
      </c>
      <c r="AU3" t="str">
        <f>Rich_Full!AJ2</f>
        <v>Mob6_Rich5</v>
      </c>
      <c r="AW3" t="s">
        <v>124</v>
      </c>
      <c r="AX3" t="s">
        <v>123</v>
      </c>
      <c r="AY3" t="s">
        <v>122</v>
      </c>
    </row>
    <row r="4" spans="1:51" x14ac:dyDescent="0.25">
      <c r="A4">
        <f>Baserun_Full!A3</f>
        <v>0</v>
      </c>
      <c r="B4">
        <f>Baserun_Full!L3</f>
        <v>100</v>
      </c>
      <c r="C4">
        <f>Baserun_Full!M3</f>
        <v>100</v>
      </c>
      <c r="D4">
        <f>Baserun_Full!N3</f>
        <v>100</v>
      </c>
      <c r="E4">
        <f>Baserun_Full!O3</f>
        <v>100</v>
      </c>
      <c r="F4">
        <f>Baserun_Full!P3</f>
        <v>100</v>
      </c>
      <c r="G4">
        <f>Aware_Full!L3</f>
        <v>100</v>
      </c>
      <c r="H4">
        <f>Aware_Full!M3</f>
        <v>100</v>
      </c>
      <c r="I4">
        <f>Aware_Full!N3</f>
        <v>100</v>
      </c>
      <c r="J4">
        <f>Aware_Full!O3</f>
        <v>100</v>
      </c>
      <c r="K4">
        <f>Aware_Full!P3</f>
        <v>100</v>
      </c>
      <c r="L4">
        <f>Learn_Full!L3</f>
        <v>100</v>
      </c>
      <c r="M4">
        <f>Learn_Full!M3</f>
        <v>100</v>
      </c>
      <c r="N4">
        <f>Learn_Full!N3</f>
        <v>100</v>
      </c>
      <c r="O4">
        <f>Learn_Full!O3</f>
        <v>100</v>
      </c>
      <c r="P4">
        <f>Learn_Full!P3</f>
        <v>100</v>
      </c>
      <c r="Q4">
        <f>Rich_Full!L3</f>
        <v>100</v>
      </c>
      <c r="R4">
        <f>Rich_Full!M3</f>
        <v>100</v>
      </c>
      <c r="S4">
        <f>Rich_Full!N3</f>
        <v>100</v>
      </c>
      <c r="T4">
        <f>Rich_Full!O3</f>
        <v>100</v>
      </c>
      <c r="U4">
        <f>Rich_Full!P3</f>
        <v>100</v>
      </c>
      <c r="W4">
        <f>PERCENTILE(B4:P4,0.25)</f>
        <v>100</v>
      </c>
      <c r="X4">
        <f>PERCENTILE(B4:P4,0.5)</f>
        <v>100</v>
      </c>
      <c r="Y4">
        <f>PERCENTILE(B4:P4,0.75)</f>
        <v>100</v>
      </c>
      <c r="AA4">
        <f>Baserun_Full!AE3</f>
        <v>0</v>
      </c>
      <c r="AB4">
        <f>Baserun_Full!AF3</f>
        <v>100</v>
      </c>
      <c r="AC4">
        <f>Baserun_Full!AG3</f>
        <v>100</v>
      </c>
      <c r="AD4">
        <f>Baserun_Full!AH3</f>
        <v>100</v>
      </c>
      <c r="AE4">
        <f>Baserun_Full!AI3</f>
        <v>100</v>
      </c>
      <c r="AF4">
        <f>Baserun_Full!AJ3</f>
        <v>100</v>
      </c>
      <c r="AG4">
        <f>Aware_Full!AF3</f>
        <v>100</v>
      </c>
      <c r="AH4">
        <f>Aware_Full!AG3</f>
        <v>100</v>
      </c>
      <c r="AI4">
        <f>Aware_Full!AH3</f>
        <v>100</v>
      </c>
      <c r="AJ4">
        <f>Aware_Full!AI3</f>
        <v>100</v>
      </c>
      <c r="AK4">
        <f>Aware_Full!AJ3</f>
        <v>100</v>
      </c>
      <c r="AL4">
        <f>Learn_Full!AF3</f>
        <v>100</v>
      </c>
      <c r="AM4">
        <f>Learn_Full!AG3</f>
        <v>100</v>
      </c>
      <c r="AN4">
        <f>Learn_Full!AH3</f>
        <v>100</v>
      </c>
      <c r="AO4">
        <f>Learn_Full!AI3</f>
        <v>100</v>
      </c>
      <c r="AP4">
        <f>Learn_Full!AJ3</f>
        <v>100</v>
      </c>
      <c r="AQ4">
        <f>Rich_Full!AF3</f>
        <v>100</v>
      </c>
      <c r="AR4">
        <f>Rich_Full!AG3</f>
        <v>100</v>
      </c>
      <c r="AS4">
        <f>Rich_Full!AH3</f>
        <v>100</v>
      </c>
      <c r="AT4">
        <f>Rich_Full!AI3</f>
        <v>100</v>
      </c>
      <c r="AU4">
        <f>Rich_Full!AJ3</f>
        <v>100</v>
      </c>
      <c r="AW4">
        <f>PERCENTILE(AB4:AP4,0.25)/100</f>
        <v>1</v>
      </c>
      <c r="AX4">
        <f>PERCENTILE(AB4:AP4,0.5)/100</f>
        <v>1</v>
      </c>
      <c r="AY4">
        <f>PERCENTILE(AB4:AP4,0.75)/100</f>
        <v>1</v>
      </c>
    </row>
    <row r="5" spans="1:51" x14ac:dyDescent="0.25">
      <c r="A5">
        <f>Baserun_Full!A4</f>
        <v>1</v>
      </c>
      <c r="B5">
        <f>Baserun_Full!L4</f>
        <v>100</v>
      </c>
      <c r="C5">
        <f>Baserun_Full!M4</f>
        <v>100</v>
      </c>
      <c r="D5">
        <f>Baserun_Full!N4</f>
        <v>100</v>
      </c>
      <c r="E5">
        <f>Baserun_Full!O4</f>
        <v>100</v>
      </c>
      <c r="F5">
        <f>Baserun_Full!P4</f>
        <v>99</v>
      </c>
      <c r="G5">
        <f>Aware_Full!L4</f>
        <v>100</v>
      </c>
      <c r="H5">
        <f>Aware_Full!M4</f>
        <v>100</v>
      </c>
      <c r="I5">
        <f>Aware_Full!N4</f>
        <v>100</v>
      </c>
      <c r="J5">
        <f>Aware_Full!O4</f>
        <v>100</v>
      </c>
      <c r="K5">
        <f>Aware_Full!P4</f>
        <v>100</v>
      </c>
      <c r="L5">
        <f>Learn_Full!L4</f>
        <v>100</v>
      </c>
      <c r="M5">
        <f>Learn_Full!M4</f>
        <v>100</v>
      </c>
      <c r="N5">
        <f>Learn_Full!N4</f>
        <v>98</v>
      </c>
      <c r="O5">
        <f>Learn_Full!O4</f>
        <v>98</v>
      </c>
      <c r="P5">
        <f>Learn_Full!P4</f>
        <v>98</v>
      </c>
      <c r="Q5">
        <f>Rich_Full!L4</f>
        <v>99</v>
      </c>
      <c r="R5">
        <f>Rich_Full!M4</f>
        <v>98</v>
      </c>
      <c r="S5">
        <f>Rich_Full!N4</f>
        <v>95</v>
      </c>
      <c r="T5">
        <f>Rich_Full!O4</f>
        <v>98</v>
      </c>
      <c r="U5">
        <f>Rich_Full!P4</f>
        <v>98</v>
      </c>
      <c r="W5">
        <f t="shared" ref="W5:W54" si="0">PERCENTILE(B5:P5,0.25)</f>
        <v>99.5</v>
      </c>
      <c r="X5">
        <f t="shared" ref="X5:X54" si="1">PERCENTILE(B5:P5,0.5)</f>
        <v>100</v>
      </c>
      <c r="Y5">
        <f t="shared" ref="Y5:Y54" si="2">PERCENTILE(B5:P5,0.75)</f>
        <v>100</v>
      </c>
      <c r="AA5">
        <f>Baserun_Full!AE4</f>
        <v>1</v>
      </c>
      <c r="AB5">
        <f>Baserun_Full!AF4</f>
        <v>100</v>
      </c>
      <c r="AC5">
        <f>Baserun_Full!AG4</f>
        <v>100</v>
      </c>
      <c r="AD5">
        <f>Baserun_Full!AH4</f>
        <v>100</v>
      </c>
      <c r="AE5">
        <f>Baserun_Full!AI4</f>
        <v>100</v>
      </c>
      <c r="AF5">
        <f>Baserun_Full!AJ4</f>
        <v>99.5</v>
      </c>
      <c r="AG5">
        <f>Aware_Full!AF4</f>
        <v>100</v>
      </c>
      <c r="AH5">
        <f>Aware_Full!AG4</f>
        <v>100</v>
      </c>
      <c r="AI5">
        <f>Aware_Full!AH4</f>
        <v>100</v>
      </c>
      <c r="AJ5">
        <f>Aware_Full!AI4</f>
        <v>100</v>
      </c>
      <c r="AK5">
        <f>Aware_Full!AJ4</f>
        <v>100</v>
      </c>
      <c r="AL5">
        <f>Learn_Full!AF4</f>
        <v>100</v>
      </c>
      <c r="AM5">
        <f>Learn_Full!AG4</f>
        <v>100</v>
      </c>
      <c r="AN5">
        <f>Learn_Full!AH4</f>
        <v>99</v>
      </c>
      <c r="AO5">
        <f>Learn_Full!AI4</f>
        <v>99</v>
      </c>
      <c r="AP5">
        <f>Learn_Full!AJ4</f>
        <v>99</v>
      </c>
      <c r="AQ5">
        <f>Rich_Full!AF4</f>
        <v>99.5</v>
      </c>
      <c r="AR5">
        <f>Rich_Full!AG4</f>
        <v>99</v>
      </c>
      <c r="AS5">
        <f>Rich_Full!AH4</f>
        <v>97.5</v>
      </c>
      <c r="AT5">
        <f>Rich_Full!AI4</f>
        <v>99</v>
      </c>
      <c r="AU5">
        <f>Rich_Full!AJ4</f>
        <v>99</v>
      </c>
      <c r="AW5">
        <f t="shared" ref="AW5:AW54" si="3">PERCENTILE(AB5:AP5,0.25)/100</f>
        <v>0.99750000000000005</v>
      </c>
      <c r="AX5">
        <f t="shared" ref="AX5:AX54" si="4">PERCENTILE(AB5:AP5,0.5)/100</f>
        <v>1</v>
      </c>
      <c r="AY5">
        <f t="shared" ref="AY5:AY54" si="5">PERCENTILE(AB5:AP5,0.75)/100</f>
        <v>1</v>
      </c>
    </row>
    <row r="6" spans="1:51" x14ac:dyDescent="0.25">
      <c r="A6">
        <f>Baserun_Full!A5</f>
        <v>2</v>
      </c>
      <c r="B6">
        <f>Baserun_Full!L5</f>
        <v>100</v>
      </c>
      <c r="C6">
        <f>Baserun_Full!M5</f>
        <v>100</v>
      </c>
      <c r="D6">
        <f>Baserun_Full!N5</f>
        <v>100</v>
      </c>
      <c r="E6">
        <f>Baserun_Full!O5</f>
        <v>100</v>
      </c>
      <c r="F6">
        <f>Baserun_Full!P5</f>
        <v>99</v>
      </c>
      <c r="G6">
        <f>Aware_Full!L5</f>
        <v>100</v>
      </c>
      <c r="H6">
        <f>Aware_Full!M5</f>
        <v>100</v>
      </c>
      <c r="I6">
        <f>Aware_Full!N5</f>
        <v>100</v>
      </c>
      <c r="J6">
        <f>Aware_Full!O5</f>
        <v>100</v>
      </c>
      <c r="K6">
        <f>Aware_Full!P5</f>
        <v>100</v>
      </c>
      <c r="L6">
        <f>Learn_Full!L5</f>
        <v>99</v>
      </c>
      <c r="M6">
        <f>Learn_Full!M5</f>
        <v>100</v>
      </c>
      <c r="N6">
        <f>Learn_Full!N5</f>
        <v>98</v>
      </c>
      <c r="O6">
        <f>Learn_Full!O5</f>
        <v>98</v>
      </c>
      <c r="P6">
        <f>Learn_Full!P5</f>
        <v>98</v>
      </c>
      <c r="Q6">
        <f>Rich_Full!L5</f>
        <v>99</v>
      </c>
      <c r="R6">
        <f>Rich_Full!M5</f>
        <v>97</v>
      </c>
      <c r="S6">
        <f>Rich_Full!N5</f>
        <v>95</v>
      </c>
      <c r="T6">
        <f>Rich_Full!O5</f>
        <v>95</v>
      </c>
      <c r="U6">
        <f>Rich_Full!P5</f>
        <v>98</v>
      </c>
      <c r="W6">
        <f t="shared" si="0"/>
        <v>99</v>
      </c>
      <c r="X6">
        <f t="shared" si="1"/>
        <v>100</v>
      </c>
      <c r="Y6">
        <f t="shared" si="2"/>
        <v>100</v>
      </c>
      <c r="AA6">
        <f>Baserun_Full!AE5</f>
        <v>2</v>
      </c>
      <c r="AB6">
        <f>Baserun_Full!AF5</f>
        <v>100</v>
      </c>
      <c r="AC6">
        <f>Baserun_Full!AG5</f>
        <v>100</v>
      </c>
      <c r="AD6">
        <f>Baserun_Full!AH5</f>
        <v>100</v>
      </c>
      <c r="AE6">
        <f>Baserun_Full!AI5</f>
        <v>100</v>
      </c>
      <c r="AF6">
        <f>Baserun_Full!AJ5</f>
        <v>99.333333333333329</v>
      </c>
      <c r="AG6">
        <f>Aware_Full!AF5</f>
        <v>100</v>
      </c>
      <c r="AH6">
        <f>Aware_Full!AG5</f>
        <v>100</v>
      </c>
      <c r="AI6">
        <f>Aware_Full!AH5</f>
        <v>100</v>
      </c>
      <c r="AJ6">
        <f>Aware_Full!AI5</f>
        <v>100</v>
      </c>
      <c r="AK6">
        <f>Aware_Full!AJ5</f>
        <v>100</v>
      </c>
      <c r="AL6">
        <f>Learn_Full!AF5</f>
        <v>99.666666666666671</v>
      </c>
      <c r="AM6">
        <f>Learn_Full!AG5</f>
        <v>100</v>
      </c>
      <c r="AN6">
        <f>Learn_Full!AH5</f>
        <v>98.666666666666671</v>
      </c>
      <c r="AO6">
        <f>Learn_Full!AI5</f>
        <v>98.666666666666671</v>
      </c>
      <c r="AP6">
        <f>Learn_Full!AJ5</f>
        <v>98.666666666666671</v>
      </c>
      <c r="AQ6">
        <f>Rich_Full!AF5</f>
        <v>99.333333333333329</v>
      </c>
      <c r="AR6">
        <f>Rich_Full!AG5</f>
        <v>98.333333333333329</v>
      </c>
      <c r="AS6">
        <f>Rich_Full!AH5</f>
        <v>96.666666666666671</v>
      </c>
      <c r="AT6">
        <f>Rich_Full!AI5</f>
        <v>97.666666666666671</v>
      </c>
      <c r="AU6">
        <f>Rich_Full!AJ5</f>
        <v>98.666666666666671</v>
      </c>
      <c r="AW6">
        <f t="shared" si="3"/>
        <v>0.995</v>
      </c>
      <c r="AX6">
        <f t="shared" si="4"/>
        <v>1</v>
      </c>
      <c r="AY6">
        <f t="shared" si="5"/>
        <v>1</v>
      </c>
    </row>
    <row r="7" spans="1:51" x14ac:dyDescent="0.25">
      <c r="A7">
        <f>Baserun_Full!A6</f>
        <v>3</v>
      </c>
      <c r="B7">
        <f>Baserun_Full!L6</f>
        <v>100</v>
      </c>
      <c r="C7">
        <f>Baserun_Full!M6</f>
        <v>99</v>
      </c>
      <c r="D7">
        <f>Baserun_Full!N6</f>
        <v>99</v>
      </c>
      <c r="E7">
        <f>Baserun_Full!O6</f>
        <v>99</v>
      </c>
      <c r="F7">
        <f>Baserun_Full!P6</f>
        <v>99</v>
      </c>
      <c r="G7">
        <f>Aware_Full!L6</f>
        <v>100</v>
      </c>
      <c r="H7">
        <f>Aware_Full!M6</f>
        <v>99</v>
      </c>
      <c r="I7">
        <f>Aware_Full!N6</f>
        <v>99</v>
      </c>
      <c r="J7">
        <f>Aware_Full!O6</f>
        <v>99</v>
      </c>
      <c r="K7">
        <f>Aware_Full!P6</f>
        <v>100</v>
      </c>
      <c r="L7">
        <f>Learn_Full!L6</f>
        <v>100</v>
      </c>
      <c r="M7">
        <f>Learn_Full!M6</f>
        <v>100</v>
      </c>
      <c r="N7">
        <f>Learn_Full!N6</f>
        <v>98</v>
      </c>
      <c r="O7">
        <f>Learn_Full!O6</f>
        <v>97</v>
      </c>
      <c r="P7">
        <f>Learn_Full!P6</f>
        <v>98</v>
      </c>
      <c r="Q7">
        <f>Rich_Full!L6</f>
        <v>97</v>
      </c>
      <c r="R7">
        <f>Rich_Full!M6</f>
        <v>97</v>
      </c>
      <c r="S7">
        <f>Rich_Full!N6</f>
        <v>95</v>
      </c>
      <c r="T7">
        <f>Rich_Full!O6</f>
        <v>98</v>
      </c>
      <c r="U7">
        <f>Rich_Full!P6</f>
        <v>96</v>
      </c>
      <c r="W7">
        <f t="shared" si="0"/>
        <v>99</v>
      </c>
      <c r="X7">
        <f t="shared" si="1"/>
        <v>99</v>
      </c>
      <c r="Y7">
        <f t="shared" si="2"/>
        <v>100</v>
      </c>
      <c r="AA7">
        <f>Baserun_Full!AE6</f>
        <v>3</v>
      </c>
      <c r="AB7">
        <f>Baserun_Full!AF6</f>
        <v>100</v>
      </c>
      <c r="AC7">
        <f>Baserun_Full!AG6</f>
        <v>99.75</v>
      </c>
      <c r="AD7">
        <f>Baserun_Full!AH6</f>
        <v>99.75</v>
      </c>
      <c r="AE7">
        <f>Baserun_Full!AI6</f>
        <v>99.75</v>
      </c>
      <c r="AF7">
        <f>Baserun_Full!AJ6</f>
        <v>99.25</v>
      </c>
      <c r="AG7">
        <f>Aware_Full!AF6</f>
        <v>100</v>
      </c>
      <c r="AH7">
        <f>Aware_Full!AG6</f>
        <v>99.75</v>
      </c>
      <c r="AI7">
        <f>Aware_Full!AH6</f>
        <v>99.75</v>
      </c>
      <c r="AJ7">
        <f>Aware_Full!AI6</f>
        <v>99.75</v>
      </c>
      <c r="AK7">
        <f>Aware_Full!AJ6</f>
        <v>100</v>
      </c>
      <c r="AL7">
        <f>Learn_Full!AF6</f>
        <v>99.75</v>
      </c>
      <c r="AM7">
        <f>Learn_Full!AG6</f>
        <v>100</v>
      </c>
      <c r="AN7">
        <f>Learn_Full!AH6</f>
        <v>98.5</v>
      </c>
      <c r="AO7">
        <f>Learn_Full!AI6</f>
        <v>98.25</v>
      </c>
      <c r="AP7">
        <f>Learn_Full!AJ6</f>
        <v>98.5</v>
      </c>
      <c r="AQ7">
        <f>Rich_Full!AF6</f>
        <v>98.75</v>
      </c>
      <c r="AR7">
        <f>Rich_Full!AG6</f>
        <v>98</v>
      </c>
      <c r="AS7">
        <f>Rich_Full!AH6</f>
        <v>96.25</v>
      </c>
      <c r="AT7">
        <f>Rich_Full!AI6</f>
        <v>97.75</v>
      </c>
      <c r="AU7">
        <f>Rich_Full!AJ6</f>
        <v>98</v>
      </c>
      <c r="AW7">
        <f t="shared" si="3"/>
        <v>0.995</v>
      </c>
      <c r="AX7">
        <f t="shared" si="4"/>
        <v>0.99750000000000005</v>
      </c>
      <c r="AY7">
        <f t="shared" si="5"/>
        <v>0.99875000000000003</v>
      </c>
    </row>
    <row r="8" spans="1:51" x14ac:dyDescent="0.25">
      <c r="A8">
        <f>Baserun_Full!A7</f>
        <v>4</v>
      </c>
      <c r="B8">
        <f>Baserun_Full!L7</f>
        <v>39</v>
      </c>
      <c r="C8">
        <f>Baserun_Full!M7</f>
        <v>37</v>
      </c>
      <c r="D8">
        <f>Baserun_Full!N7</f>
        <v>38</v>
      </c>
      <c r="E8">
        <f>Baserun_Full!O7</f>
        <v>37</v>
      </c>
      <c r="F8">
        <f>Baserun_Full!P7</f>
        <v>30</v>
      </c>
      <c r="G8">
        <f>Aware_Full!L7</f>
        <v>34</v>
      </c>
      <c r="H8">
        <f>Aware_Full!M7</f>
        <v>27</v>
      </c>
      <c r="I8">
        <f>Aware_Full!N7</f>
        <v>28</v>
      </c>
      <c r="J8">
        <f>Aware_Full!O7</f>
        <v>32</v>
      </c>
      <c r="K8">
        <f>Aware_Full!P7</f>
        <v>34</v>
      </c>
      <c r="L8">
        <f>Learn_Full!L7</f>
        <v>19</v>
      </c>
      <c r="M8">
        <f>Learn_Full!M7</f>
        <v>11</v>
      </c>
      <c r="N8">
        <f>Learn_Full!N7</f>
        <v>5</v>
      </c>
      <c r="O8">
        <f>Learn_Full!O7</f>
        <v>14</v>
      </c>
      <c r="P8">
        <f>Learn_Full!P7</f>
        <v>20</v>
      </c>
      <c r="Q8">
        <f>Rich_Full!L7</f>
        <v>50</v>
      </c>
      <c r="R8">
        <f>Rich_Full!M7</f>
        <v>54</v>
      </c>
      <c r="S8">
        <f>Rich_Full!N7</f>
        <v>54</v>
      </c>
      <c r="T8">
        <f>Rich_Full!O7</f>
        <v>48</v>
      </c>
      <c r="U8">
        <f>Rich_Full!P7</f>
        <v>41</v>
      </c>
      <c r="W8">
        <f t="shared" si="0"/>
        <v>19.5</v>
      </c>
      <c r="X8">
        <f t="shared" si="1"/>
        <v>30</v>
      </c>
      <c r="Y8">
        <f t="shared" si="2"/>
        <v>35.5</v>
      </c>
      <c r="AA8">
        <f>Baserun_Full!AE7</f>
        <v>4</v>
      </c>
      <c r="AB8">
        <f>Baserun_Full!AF7</f>
        <v>87.8</v>
      </c>
      <c r="AC8">
        <f>Baserun_Full!AG7</f>
        <v>87.2</v>
      </c>
      <c r="AD8">
        <f>Baserun_Full!AH7</f>
        <v>87.4</v>
      </c>
      <c r="AE8">
        <f>Baserun_Full!AI7</f>
        <v>87.2</v>
      </c>
      <c r="AF8">
        <f>Baserun_Full!AJ7</f>
        <v>85.4</v>
      </c>
      <c r="AG8">
        <f>Aware_Full!AF7</f>
        <v>86.8</v>
      </c>
      <c r="AH8">
        <f>Aware_Full!AG7</f>
        <v>85.2</v>
      </c>
      <c r="AI8">
        <f>Aware_Full!AH7</f>
        <v>85.4</v>
      </c>
      <c r="AJ8">
        <f>Aware_Full!AI7</f>
        <v>86.2</v>
      </c>
      <c r="AK8">
        <f>Aware_Full!AJ7</f>
        <v>86.8</v>
      </c>
      <c r="AL8">
        <f>Learn_Full!AF7</f>
        <v>83.6</v>
      </c>
      <c r="AM8">
        <f>Learn_Full!AG7</f>
        <v>82.2</v>
      </c>
      <c r="AN8">
        <f>Learn_Full!AH7</f>
        <v>79.8</v>
      </c>
      <c r="AO8">
        <f>Learn_Full!AI7</f>
        <v>81.400000000000006</v>
      </c>
      <c r="AP8">
        <f>Learn_Full!AJ7</f>
        <v>82.8</v>
      </c>
      <c r="AQ8">
        <f>Rich_Full!AF7</f>
        <v>89</v>
      </c>
      <c r="AR8">
        <f>Rich_Full!AG7</f>
        <v>89.2</v>
      </c>
      <c r="AS8">
        <f>Rich_Full!AH7</f>
        <v>87.8</v>
      </c>
      <c r="AT8">
        <f>Rich_Full!AI7</f>
        <v>87.8</v>
      </c>
      <c r="AU8">
        <f>Rich_Full!AJ7</f>
        <v>86.6</v>
      </c>
      <c r="AW8">
        <f t="shared" si="3"/>
        <v>0.83199999999999985</v>
      </c>
      <c r="AX8">
        <f t="shared" si="4"/>
        <v>0.85400000000000009</v>
      </c>
      <c r="AY8">
        <f t="shared" si="5"/>
        <v>0.87</v>
      </c>
    </row>
    <row r="9" spans="1:51" x14ac:dyDescent="0.25">
      <c r="A9">
        <f>Baserun_Full!A8</f>
        <v>5</v>
      </c>
      <c r="B9">
        <f>Baserun_Full!L8</f>
        <v>97</v>
      </c>
      <c r="C9">
        <f>Baserun_Full!M8</f>
        <v>36</v>
      </c>
      <c r="D9">
        <f>Baserun_Full!N8</f>
        <v>52</v>
      </c>
      <c r="E9">
        <f>Baserun_Full!O8</f>
        <v>42</v>
      </c>
      <c r="F9">
        <f>Baserun_Full!P8</f>
        <v>46</v>
      </c>
      <c r="G9">
        <f>Aware_Full!L8</f>
        <v>33</v>
      </c>
      <c r="H9">
        <f>Aware_Full!M8</f>
        <v>98</v>
      </c>
      <c r="I9">
        <f>Aware_Full!N8</f>
        <v>98</v>
      </c>
      <c r="J9">
        <f>Aware_Full!O8</f>
        <v>28</v>
      </c>
      <c r="K9">
        <f>Aware_Full!P8</f>
        <v>34</v>
      </c>
      <c r="L9">
        <f>Learn_Full!L8</f>
        <v>98</v>
      </c>
      <c r="M9">
        <f>Learn_Full!M8</f>
        <v>98</v>
      </c>
      <c r="N9">
        <f>Learn_Full!N8</f>
        <v>17</v>
      </c>
      <c r="O9">
        <f>Learn_Full!O8</f>
        <v>14</v>
      </c>
      <c r="P9">
        <f>Learn_Full!P8</f>
        <v>26</v>
      </c>
      <c r="Q9">
        <f>Rich_Full!L8</f>
        <v>45</v>
      </c>
      <c r="R9">
        <f>Rich_Full!M8</f>
        <v>79</v>
      </c>
      <c r="S9">
        <f>Rich_Full!N8</f>
        <v>49</v>
      </c>
      <c r="T9">
        <f>Rich_Full!O8</f>
        <v>42</v>
      </c>
      <c r="U9">
        <f>Rich_Full!P8</f>
        <v>41</v>
      </c>
      <c r="W9">
        <f t="shared" si="0"/>
        <v>30.5</v>
      </c>
      <c r="X9">
        <f t="shared" si="1"/>
        <v>42</v>
      </c>
      <c r="Y9">
        <f t="shared" si="2"/>
        <v>97.5</v>
      </c>
      <c r="AA9">
        <f>Baserun_Full!AE8</f>
        <v>5</v>
      </c>
      <c r="AB9">
        <f>Baserun_Full!AF8</f>
        <v>89.333333333333329</v>
      </c>
      <c r="AC9">
        <f>Baserun_Full!AG8</f>
        <v>78.666666666666671</v>
      </c>
      <c r="AD9">
        <f>Baserun_Full!AH8</f>
        <v>81.5</v>
      </c>
      <c r="AE9">
        <f>Baserun_Full!AI8</f>
        <v>79.666666666666671</v>
      </c>
      <c r="AF9">
        <f>Baserun_Full!AJ8</f>
        <v>78.833333333333329</v>
      </c>
      <c r="AG9">
        <f>Aware_Full!AF8</f>
        <v>77.833333333333329</v>
      </c>
      <c r="AH9">
        <f>Aware_Full!AG8</f>
        <v>87.333333333333329</v>
      </c>
      <c r="AI9">
        <f>Aware_Full!AH8</f>
        <v>87.5</v>
      </c>
      <c r="AJ9">
        <f>Aware_Full!AI8</f>
        <v>76.5</v>
      </c>
      <c r="AK9">
        <f>Aware_Full!AJ8</f>
        <v>78</v>
      </c>
      <c r="AL9">
        <f>Learn_Full!AF8</f>
        <v>86</v>
      </c>
      <c r="AM9">
        <f>Learn_Full!AG8</f>
        <v>84.833333333333329</v>
      </c>
      <c r="AN9">
        <f>Learn_Full!AH8</f>
        <v>69.333333333333329</v>
      </c>
      <c r="AO9">
        <f>Learn_Full!AI8</f>
        <v>70.166666666666671</v>
      </c>
      <c r="AP9">
        <f>Learn_Full!AJ8</f>
        <v>73.333333333333329</v>
      </c>
      <c r="AQ9">
        <f>Rich_Full!AF8</f>
        <v>81.666666666666671</v>
      </c>
      <c r="AR9">
        <f>Rich_Full!AG8</f>
        <v>87.5</v>
      </c>
      <c r="AS9">
        <f>Rich_Full!AH8</f>
        <v>81.333333333333329</v>
      </c>
      <c r="AT9">
        <f>Rich_Full!AI8</f>
        <v>80.166666666666671</v>
      </c>
      <c r="AU9">
        <f>Rich_Full!AJ8</f>
        <v>79</v>
      </c>
      <c r="AW9">
        <f t="shared" si="3"/>
        <v>0.77166666666666661</v>
      </c>
      <c r="AX9">
        <f t="shared" si="4"/>
        <v>0.78833333333333333</v>
      </c>
      <c r="AY9">
        <f t="shared" si="5"/>
        <v>0.85416666666666652</v>
      </c>
    </row>
    <row r="10" spans="1:51" x14ac:dyDescent="0.25">
      <c r="A10">
        <f>Baserun_Full!A9</f>
        <v>6</v>
      </c>
      <c r="B10">
        <f>Baserun_Full!L9</f>
        <v>37</v>
      </c>
      <c r="C10">
        <f>Baserun_Full!M9</f>
        <v>28</v>
      </c>
      <c r="D10">
        <f>Baserun_Full!N9</f>
        <v>37</v>
      </c>
      <c r="E10">
        <f>Baserun_Full!O9</f>
        <v>34</v>
      </c>
      <c r="F10">
        <f>Baserun_Full!P9</f>
        <v>29</v>
      </c>
      <c r="G10">
        <f>Aware_Full!L9</f>
        <v>33</v>
      </c>
      <c r="H10">
        <f>Aware_Full!M9</f>
        <v>99</v>
      </c>
      <c r="I10">
        <f>Aware_Full!N9</f>
        <v>50</v>
      </c>
      <c r="J10">
        <f>Aware_Full!O9</f>
        <v>28</v>
      </c>
      <c r="K10">
        <f>Aware_Full!P9</f>
        <v>20</v>
      </c>
      <c r="L10">
        <f>Learn_Full!L9</f>
        <v>23</v>
      </c>
      <c r="M10">
        <f>Learn_Full!M9</f>
        <v>20</v>
      </c>
      <c r="N10">
        <f>Learn_Full!N9</f>
        <v>16</v>
      </c>
      <c r="O10">
        <f>Learn_Full!O9</f>
        <v>15</v>
      </c>
      <c r="P10">
        <f>Learn_Full!P9</f>
        <v>18</v>
      </c>
      <c r="Q10">
        <f>Rich_Full!L9</f>
        <v>47</v>
      </c>
      <c r="R10">
        <f>Rich_Full!M9</f>
        <v>51</v>
      </c>
      <c r="S10">
        <f>Rich_Full!N9</f>
        <v>93</v>
      </c>
      <c r="T10">
        <f>Rich_Full!O9</f>
        <v>40</v>
      </c>
      <c r="U10">
        <f>Rich_Full!P9</f>
        <v>45</v>
      </c>
      <c r="W10">
        <f t="shared" si="0"/>
        <v>20</v>
      </c>
      <c r="X10">
        <f t="shared" si="1"/>
        <v>28</v>
      </c>
      <c r="Y10">
        <f t="shared" si="2"/>
        <v>35.5</v>
      </c>
      <c r="AA10">
        <f>Baserun_Full!AE9</f>
        <v>6</v>
      </c>
      <c r="AB10">
        <f>Baserun_Full!AF9</f>
        <v>78.833333333333329</v>
      </c>
      <c r="AC10">
        <f>Baserun_Full!AG9</f>
        <v>66.666666666666671</v>
      </c>
      <c r="AD10">
        <f>Baserun_Full!AH9</f>
        <v>71</v>
      </c>
      <c r="AE10">
        <f>Baserun_Full!AI9</f>
        <v>68.666666666666671</v>
      </c>
      <c r="AF10">
        <f>Baserun_Full!AJ9</f>
        <v>67</v>
      </c>
      <c r="AG10">
        <f>Aware_Full!AF9</f>
        <v>66.666666666666671</v>
      </c>
      <c r="AH10">
        <f>Aware_Full!AG9</f>
        <v>87.166666666666671</v>
      </c>
      <c r="AI10">
        <f>Aware_Full!AH9</f>
        <v>79.166666666666671</v>
      </c>
      <c r="AJ10">
        <f>Aware_Full!AI9</f>
        <v>64.5</v>
      </c>
      <c r="AK10">
        <f>Aware_Full!AJ9</f>
        <v>64.666666666666671</v>
      </c>
      <c r="AL10">
        <f>Learn_Full!AF9</f>
        <v>73.166666666666671</v>
      </c>
      <c r="AM10">
        <f>Learn_Full!AG9</f>
        <v>71.5</v>
      </c>
      <c r="AN10">
        <f>Learn_Full!AH9</f>
        <v>55.333333333333336</v>
      </c>
      <c r="AO10">
        <f>Learn_Full!AI9</f>
        <v>56</v>
      </c>
      <c r="AP10">
        <f>Learn_Full!AJ9</f>
        <v>59.666666666666664</v>
      </c>
      <c r="AQ10">
        <f>Rich_Full!AF9</f>
        <v>72.833333333333329</v>
      </c>
      <c r="AR10">
        <f>Rich_Full!AG9</f>
        <v>79.333333333333329</v>
      </c>
      <c r="AS10">
        <f>Rich_Full!AH9</f>
        <v>80.166666666666671</v>
      </c>
      <c r="AT10">
        <f>Rich_Full!AI9</f>
        <v>70.166666666666671</v>
      </c>
      <c r="AU10">
        <f>Rich_Full!AJ9</f>
        <v>69.833333333333329</v>
      </c>
      <c r="AW10">
        <f t="shared" si="3"/>
        <v>0.64583333333333348</v>
      </c>
      <c r="AX10">
        <f t="shared" si="4"/>
        <v>0.67</v>
      </c>
      <c r="AY10">
        <f t="shared" si="5"/>
        <v>0.72333333333333338</v>
      </c>
    </row>
    <row r="11" spans="1:51" x14ac:dyDescent="0.25">
      <c r="A11">
        <f>Baserun_Full!A10</f>
        <v>7</v>
      </c>
      <c r="B11">
        <f>Baserun_Full!L10</f>
        <v>30</v>
      </c>
      <c r="C11">
        <f>Baserun_Full!M10</f>
        <v>14</v>
      </c>
      <c r="D11">
        <f>Baserun_Full!N10</f>
        <v>34</v>
      </c>
      <c r="E11">
        <f>Baserun_Full!O10</f>
        <v>30</v>
      </c>
      <c r="F11">
        <f>Baserun_Full!P10</f>
        <v>26</v>
      </c>
      <c r="G11">
        <f>Aware_Full!L10</f>
        <v>25</v>
      </c>
      <c r="H11">
        <f>Aware_Full!M10</f>
        <v>61</v>
      </c>
      <c r="I11">
        <f>Aware_Full!N10</f>
        <v>30</v>
      </c>
      <c r="J11">
        <f>Aware_Full!O10</f>
        <v>33</v>
      </c>
      <c r="K11">
        <f>Aware_Full!P10</f>
        <v>20</v>
      </c>
      <c r="L11">
        <f>Learn_Full!L10</f>
        <v>14</v>
      </c>
      <c r="M11">
        <f>Learn_Full!M10</f>
        <v>13</v>
      </c>
      <c r="N11">
        <f>Learn_Full!N10</f>
        <v>10</v>
      </c>
      <c r="O11">
        <f>Learn_Full!O10</f>
        <v>14</v>
      </c>
      <c r="P11">
        <f>Learn_Full!P10</f>
        <v>19</v>
      </c>
      <c r="Q11">
        <f>Rich_Full!L10</f>
        <v>49</v>
      </c>
      <c r="R11">
        <f>Rich_Full!M10</f>
        <v>49</v>
      </c>
      <c r="S11">
        <f>Rich_Full!N10</f>
        <v>93</v>
      </c>
      <c r="T11">
        <f>Rich_Full!O10</f>
        <v>36</v>
      </c>
      <c r="U11">
        <f>Rich_Full!P10</f>
        <v>54</v>
      </c>
      <c r="W11">
        <f t="shared" si="0"/>
        <v>14</v>
      </c>
      <c r="X11">
        <f t="shared" si="1"/>
        <v>25</v>
      </c>
      <c r="Y11">
        <f t="shared" si="2"/>
        <v>30</v>
      </c>
      <c r="AA11">
        <f>Baserun_Full!AE10</f>
        <v>7</v>
      </c>
      <c r="AB11">
        <f>Baserun_Full!AF10</f>
        <v>67.166666666666671</v>
      </c>
      <c r="AC11">
        <f>Baserun_Full!AG10</f>
        <v>52.333333333333336</v>
      </c>
      <c r="AD11">
        <f>Baserun_Full!AH10</f>
        <v>60</v>
      </c>
      <c r="AE11">
        <f>Baserun_Full!AI10</f>
        <v>57</v>
      </c>
      <c r="AF11">
        <f>Baserun_Full!AJ10</f>
        <v>54.833333333333336</v>
      </c>
      <c r="AG11">
        <f>Aware_Full!AF10</f>
        <v>54.166666666666664</v>
      </c>
      <c r="AH11">
        <f>Aware_Full!AG10</f>
        <v>80.666666666666671</v>
      </c>
      <c r="AI11">
        <f>Aware_Full!AH10</f>
        <v>67.5</v>
      </c>
      <c r="AJ11">
        <f>Aware_Full!AI10</f>
        <v>53.333333333333336</v>
      </c>
      <c r="AK11">
        <f>Aware_Full!AJ10</f>
        <v>51.333333333333336</v>
      </c>
      <c r="AL11">
        <f>Learn_Full!AF10</f>
        <v>58.833333333333336</v>
      </c>
      <c r="AM11">
        <f>Learn_Full!AG10</f>
        <v>57</v>
      </c>
      <c r="AN11">
        <f>Learn_Full!AH10</f>
        <v>40.666666666666664</v>
      </c>
      <c r="AO11">
        <f>Learn_Full!AI10</f>
        <v>42</v>
      </c>
      <c r="AP11">
        <f>Learn_Full!AJ10</f>
        <v>46.5</v>
      </c>
      <c r="AQ11">
        <f>Rich_Full!AF10</f>
        <v>64.5</v>
      </c>
      <c r="AR11">
        <f>Rich_Full!AG10</f>
        <v>71.166666666666671</v>
      </c>
      <c r="AS11">
        <f>Rich_Full!AH10</f>
        <v>79.833333333333329</v>
      </c>
      <c r="AT11">
        <f>Rich_Full!AI10</f>
        <v>59.833333333333336</v>
      </c>
      <c r="AU11">
        <f>Rich_Full!AJ10</f>
        <v>62.5</v>
      </c>
      <c r="AW11">
        <f t="shared" si="3"/>
        <v>0.51833333333333331</v>
      </c>
      <c r="AX11">
        <f t="shared" si="4"/>
        <v>0.54833333333333334</v>
      </c>
      <c r="AY11">
        <f t="shared" si="5"/>
        <v>0.59416666666666673</v>
      </c>
    </row>
    <row r="12" spans="1:51" x14ac:dyDescent="0.25">
      <c r="A12">
        <f>Baserun_Full!A11</f>
        <v>8</v>
      </c>
      <c r="B12">
        <f>Baserun_Full!L11</f>
        <v>30</v>
      </c>
      <c r="C12">
        <f>Baserun_Full!M11</f>
        <v>26</v>
      </c>
      <c r="D12">
        <f>Baserun_Full!N11</f>
        <v>29</v>
      </c>
      <c r="E12">
        <f>Baserun_Full!O11</f>
        <v>32</v>
      </c>
      <c r="F12">
        <f>Baserun_Full!P11</f>
        <v>21</v>
      </c>
      <c r="G12">
        <f>Aware_Full!L11</f>
        <v>32</v>
      </c>
      <c r="H12">
        <f>Aware_Full!M11</f>
        <v>99</v>
      </c>
      <c r="I12">
        <f>Aware_Full!N11</f>
        <v>98</v>
      </c>
      <c r="J12">
        <f>Aware_Full!O11</f>
        <v>52</v>
      </c>
      <c r="K12">
        <f>Aware_Full!P11</f>
        <v>47</v>
      </c>
      <c r="L12">
        <f>Learn_Full!L11</f>
        <v>15</v>
      </c>
      <c r="M12">
        <f>Learn_Full!M11</f>
        <v>14</v>
      </c>
      <c r="N12">
        <f>Learn_Full!N11</f>
        <v>93</v>
      </c>
      <c r="O12">
        <f>Learn_Full!O11</f>
        <v>93</v>
      </c>
      <c r="P12">
        <f>Learn_Full!P11</f>
        <v>24</v>
      </c>
      <c r="Q12">
        <f>Rich_Full!L11</f>
        <v>39</v>
      </c>
      <c r="R12">
        <f>Rich_Full!M11</f>
        <v>51</v>
      </c>
      <c r="S12">
        <f>Rich_Full!N11</f>
        <v>43</v>
      </c>
      <c r="T12">
        <f>Rich_Full!O11</f>
        <v>34</v>
      </c>
      <c r="U12">
        <f>Rich_Full!P11</f>
        <v>46</v>
      </c>
      <c r="W12">
        <f t="shared" si="0"/>
        <v>25</v>
      </c>
      <c r="X12">
        <f t="shared" si="1"/>
        <v>32</v>
      </c>
      <c r="Y12">
        <f t="shared" si="2"/>
        <v>72.5</v>
      </c>
      <c r="AA12">
        <f>Baserun_Full!AE11</f>
        <v>8</v>
      </c>
      <c r="AB12">
        <f>Baserun_Full!AF11</f>
        <v>55.5</v>
      </c>
      <c r="AC12">
        <f>Baserun_Full!AG11</f>
        <v>40</v>
      </c>
      <c r="AD12">
        <f>Baserun_Full!AH11</f>
        <v>48.166666666666664</v>
      </c>
      <c r="AE12">
        <f>Baserun_Full!AI11</f>
        <v>45.666666666666664</v>
      </c>
      <c r="AF12">
        <f>Baserun_Full!AJ11</f>
        <v>41.833333333333336</v>
      </c>
      <c r="AG12">
        <f>Aware_Full!AF11</f>
        <v>42.833333333333336</v>
      </c>
      <c r="AH12">
        <f>Aware_Full!AG11</f>
        <v>80.5</v>
      </c>
      <c r="AI12">
        <f>Aware_Full!AH11</f>
        <v>67.166666666666671</v>
      </c>
      <c r="AJ12">
        <f>Aware_Full!AI11</f>
        <v>45.333333333333336</v>
      </c>
      <c r="AK12">
        <f>Aware_Full!AJ11</f>
        <v>42.5</v>
      </c>
      <c r="AL12">
        <f>Learn_Full!AF11</f>
        <v>44.833333333333336</v>
      </c>
      <c r="AM12">
        <f>Learn_Full!AG11</f>
        <v>42.666666666666664</v>
      </c>
      <c r="AN12">
        <f>Learn_Full!AH11</f>
        <v>39.833333333333336</v>
      </c>
      <c r="AO12">
        <f>Learn_Full!AI11</f>
        <v>41.166666666666664</v>
      </c>
      <c r="AP12">
        <f>Learn_Full!AJ11</f>
        <v>34.166666666666664</v>
      </c>
      <c r="AQ12">
        <f>Rich_Full!AF11</f>
        <v>54.5</v>
      </c>
      <c r="AR12">
        <f>Rich_Full!AG11</f>
        <v>63.5</v>
      </c>
      <c r="AS12">
        <f>Rich_Full!AH11</f>
        <v>71.166666666666671</v>
      </c>
      <c r="AT12">
        <f>Rich_Full!AI11</f>
        <v>49.666666666666664</v>
      </c>
      <c r="AU12">
        <f>Rich_Full!AJ11</f>
        <v>53.833333333333336</v>
      </c>
      <c r="AW12">
        <f t="shared" si="3"/>
        <v>0.41499999999999998</v>
      </c>
      <c r="AX12">
        <f t="shared" si="4"/>
        <v>0.42833333333333334</v>
      </c>
      <c r="AY12">
        <f t="shared" si="5"/>
        <v>0.46916666666666662</v>
      </c>
    </row>
    <row r="13" spans="1:51" x14ac:dyDescent="0.25">
      <c r="A13">
        <f>Baserun_Full!A12</f>
        <v>9</v>
      </c>
      <c r="B13">
        <f>Baserun_Full!L12</f>
        <v>22</v>
      </c>
      <c r="C13">
        <f>Baserun_Full!M12</f>
        <v>18</v>
      </c>
      <c r="D13">
        <f>Baserun_Full!N12</f>
        <v>32</v>
      </c>
      <c r="E13">
        <f>Baserun_Full!O12</f>
        <v>21</v>
      </c>
      <c r="F13">
        <f>Baserun_Full!P12</f>
        <v>23</v>
      </c>
      <c r="G13">
        <f>Aware_Full!L12</f>
        <v>95</v>
      </c>
      <c r="H13">
        <f>Aware_Full!M12</f>
        <v>56</v>
      </c>
      <c r="I13">
        <f>Aware_Full!N12</f>
        <v>47</v>
      </c>
      <c r="J13">
        <f>Aware_Full!O12</f>
        <v>33</v>
      </c>
      <c r="K13">
        <f>Aware_Full!P12</f>
        <v>9</v>
      </c>
      <c r="L13">
        <f>Learn_Full!L12</f>
        <v>10</v>
      </c>
      <c r="M13">
        <f>Learn_Full!M12</f>
        <v>14</v>
      </c>
      <c r="N13">
        <f>Learn_Full!N12</f>
        <v>99</v>
      </c>
      <c r="O13">
        <f>Learn_Full!O12</f>
        <v>98</v>
      </c>
      <c r="P13">
        <f>Learn_Full!P12</f>
        <v>17</v>
      </c>
      <c r="Q13">
        <f>Rich_Full!L12</f>
        <v>41</v>
      </c>
      <c r="R13">
        <f>Rich_Full!M12</f>
        <v>35</v>
      </c>
      <c r="S13">
        <f>Rich_Full!N12</f>
        <v>46</v>
      </c>
      <c r="T13">
        <f>Rich_Full!O12</f>
        <v>33</v>
      </c>
      <c r="U13">
        <f>Rich_Full!P12</f>
        <v>37</v>
      </c>
      <c r="W13">
        <f t="shared" si="0"/>
        <v>17.5</v>
      </c>
      <c r="X13">
        <f t="shared" si="1"/>
        <v>23</v>
      </c>
      <c r="Y13">
        <f t="shared" si="2"/>
        <v>51.5</v>
      </c>
      <c r="AA13">
        <f>Baserun_Full!AE12</f>
        <v>9</v>
      </c>
      <c r="AB13">
        <f>Baserun_Full!AF12</f>
        <v>42.5</v>
      </c>
      <c r="AC13">
        <f>Baserun_Full!AG12</f>
        <v>26.5</v>
      </c>
      <c r="AD13">
        <f>Baserun_Full!AH12</f>
        <v>37</v>
      </c>
      <c r="AE13">
        <f>Baserun_Full!AI12</f>
        <v>32.666666666666664</v>
      </c>
      <c r="AF13">
        <f>Baserun_Full!AJ12</f>
        <v>29.166666666666668</v>
      </c>
      <c r="AG13">
        <f>Aware_Full!AF12</f>
        <v>42</v>
      </c>
      <c r="AH13">
        <f>Aware_Full!AG12</f>
        <v>73.333333333333329</v>
      </c>
      <c r="AI13">
        <f>Aware_Full!AH12</f>
        <v>58.5</v>
      </c>
      <c r="AJ13">
        <f>Aware_Full!AI12</f>
        <v>34.333333333333336</v>
      </c>
      <c r="AK13">
        <f>Aware_Full!AJ12</f>
        <v>27.333333333333332</v>
      </c>
      <c r="AL13">
        <f>Learn_Full!AF12</f>
        <v>29.833333333333332</v>
      </c>
      <c r="AM13">
        <f>Learn_Full!AG12</f>
        <v>28.333333333333332</v>
      </c>
      <c r="AN13">
        <f>Learn_Full!AH12</f>
        <v>40</v>
      </c>
      <c r="AO13">
        <f>Learn_Full!AI12</f>
        <v>41.333333333333336</v>
      </c>
      <c r="AP13">
        <f>Learn_Full!AJ12</f>
        <v>20.666666666666668</v>
      </c>
      <c r="AQ13">
        <f>Rich_Full!AF12</f>
        <v>45.166666666666664</v>
      </c>
      <c r="AR13">
        <f>Rich_Full!AG12</f>
        <v>53.166666666666664</v>
      </c>
      <c r="AS13">
        <f>Rich_Full!AH12</f>
        <v>63</v>
      </c>
      <c r="AT13">
        <f>Rich_Full!AI12</f>
        <v>38.833333333333336</v>
      </c>
      <c r="AU13">
        <f>Rich_Full!AJ12</f>
        <v>44</v>
      </c>
      <c r="AW13">
        <f t="shared" si="3"/>
        <v>0.28749999999999998</v>
      </c>
      <c r="AX13">
        <f t="shared" si="4"/>
        <v>0.34333333333333338</v>
      </c>
      <c r="AY13">
        <f t="shared" si="5"/>
        <v>0.41666666666666674</v>
      </c>
    </row>
    <row r="14" spans="1:51" x14ac:dyDescent="0.25">
      <c r="A14">
        <f>Baserun_Full!A13</f>
        <v>10</v>
      </c>
      <c r="B14">
        <f>Baserun_Full!L13</f>
        <v>20</v>
      </c>
      <c r="C14">
        <f>Baserun_Full!M13</f>
        <v>27</v>
      </c>
      <c r="D14">
        <f>Baserun_Full!N13</f>
        <v>35</v>
      </c>
      <c r="E14">
        <f>Baserun_Full!O13</f>
        <v>23</v>
      </c>
      <c r="F14">
        <f>Baserun_Full!P13</f>
        <v>26</v>
      </c>
      <c r="G14">
        <f>Aware_Full!L13</f>
        <v>28</v>
      </c>
      <c r="H14">
        <f>Aware_Full!M13</f>
        <v>29</v>
      </c>
      <c r="I14">
        <f>Aware_Full!N13</f>
        <v>48</v>
      </c>
      <c r="J14">
        <f>Aware_Full!O13</f>
        <v>57</v>
      </c>
      <c r="K14">
        <f>Aware_Full!P13</f>
        <v>12</v>
      </c>
      <c r="L14">
        <f>Learn_Full!L13</f>
        <v>13</v>
      </c>
      <c r="M14">
        <f>Learn_Full!M13</f>
        <v>18</v>
      </c>
      <c r="N14">
        <f>Learn_Full!N13</f>
        <v>98</v>
      </c>
      <c r="O14">
        <f>Learn_Full!O13</f>
        <v>98</v>
      </c>
      <c r="P14">
        <f>Learn_Full!P13</f>
        <v>14</v>
      </c>
      <c r="Q14">
        <f>Rich_Full!L13</f>
        <v>46</v>
      </c>
      <c r="R14">
        <f>Rich_Full!M13</f>
        <v>39</v>
      </c>
      <c r="S14">
        <f>Rich_Full!N13</f>
        <v>35</v>
      </c>
      <c r="T14">
        <f>Rich_Full!O13</f>
        <v>26</v>
      </c>
      <c r="U14">
        <f>Rich_Full!P13</f>
        <v>40</v>
      </c>
      <c r="W14">
        <f t="shared" si="0"/>
        <v>19</v>
      </c>
      <c r="X14">
        <f t="shared" si="1"/>
        <v>27</v>
      </c>
      <c r="Y14">
        <f t="shared" si="2"/>
        <v>41.5</v>
      </c>
      <c r="AA14">
        <f>Baserun_Full!AE13</f>
        <v>10</v>
      </c>
      <c r="AB14">
        <f>Baserun_Full!AF13</f>
        <v>39.333333333333336</v>
      </c>
      <c r="AC14">
        <f>Baserun_Full!AG13</f>
        <v>24.833333333333332</v>
      </c>
      <c r="AD14">
        <f>Baserun_Full!AH13</f>
        <v>36.5</v>
      </c>
      <c r="AE14">
        <f>Baserun_Full!AI13</f>
        <v>30.333333333333332</v>
      </c>
      <c r="AF14">
        <f>Baserun_Full!AJ13</f>
        <v>28.5</v>
      </c>
      <c r="AG14">
        <f>Aware_Full!AF13</f>
        <v>41</v>
      </c>
      <c r="AH14">
        <f>Aware_Full!AG13</f>
        <v>73.666666666666671</v>
      </c>
      <c r="AI14">
        <f>Aware_Full!AH13</f>
        <v>61.833333333333336</v>
      </c>
      <c r="AJ14">
        <f>Aware_Full!AI13</f>
        <v>38.5</v>
      </c>
      <c r="AK14">
        <f>Aware_Full!AJ13</f>
        <v>23.666666666666668</v>
      </c>
      <c r="AL14">
        <f>Learn_Full!AF13</f>
        <v>28.833333333333332</v>
      </c>
      <c r="AM14">
        <f>Learn_Full!AG13</f>
        <v>29.5</v>
      </c>
      <c r="AN14">
        <f>Learn_Full!AH13</f>
        <v>55.5</v>
      </c>
      <c r="AO14">
        <f>Learn_Full!AI13</f>
        <v>55.333333333333336</v>
      </c>
      <c r="AP14">
        <f>Learn_Full!AJ13</f>
        <v>19.666666666666668</v>
      </c>
      <c r="AQ14">
        <f>Rich_Full!AF13</f>
        <v>44.5</v>
      </c>
      <c r="AR14">
        <f>Rich_Full!AG13</f>
        <v>50.666666666666664</v>
      </c>
      <c r="AS14">
        <f>Rich_Full!AH13</f>
        <v>59.833333333333336</v>
      </c>
      <c r="AT14">
        <f>Rich_Full!AI13</f>
        <v>35.166666666666664</v>
      </c>
      <c r="AU14">
        <f>Rich_Full!AJ13</f>
        <v>43.833333333333336</v>
      </c>
      <c r="AW14">
        <f t="shared" si="3"/>
        <v>0.28666666666666663</v>
      </c>
      <c r="AX14">
        <f t="shared" si="4"/>
        <v>0.36499999999999999</v>
      </c>
      <c r="AY14">
        <f t="shared" si="5"/>
        <v>0.48166666666666669</v>
      </c>
    </row>
    <row r="15" spans="1:51" x14ac:dyDescent="0.25">
      <c r="A15">
        <f>Baserun_Full!A14</f>
        <v>11</v>
      </c>
      <c r="B15">
        <f>Baserun_Full!L14</f>
        <v>18</v>
      </c>
      <c r="C15">
        <f>Baserun_Full!M14</f>
        <v>26</v>
      </c>
      <c r="D15">
        <f>Baserun_Full!N14</f>
        <v>41</v>
      </c>
      <c r="E15">
        <f>Baserun_Full!O14</f>
        <v>25</v>
      </c>
      <c r="F15">
        <f>Baserun_Full!P14</f>
        <v>26</v>
      </c>
      <c r="G15">
        <f>Aware_Full!L14</f>
        <v>19</v>
      </c>
      <c r="H15">
        <f>Aware_Full!M14</f>
        <v>25</v>
      </c>
      <c r="I15">
        <f>Aware_Full!N14</f>
        <v>23</v>
      </c>
      <c r="J15">
        <f>Aware_Full!O14</f>
        <v>24</v>
      </c>
      <c r="K15">
        <f>Aware_Full!P14</f>
        <v>18</v>
      </c>
      <c r="L15">
        <f>Learn_Full!L14</f>
        <v>14</v>
      </c>
      <c r="M15">
        <f>Learn_Full!M14</f>
        <v>10</v>
      </c>
      <c r="N15">
        <f>Learn_Full!N14</f>
        <v>98</v>
      </c>
      <c r="O15">
        <f>Learn_Full!O14</f>
        <v>19</v>
      </c>
      <c r="P15">
        <f>Learn_Full!P14</f>
        <v>11</v>
      </c>
      <c r="Q15">
        <f>Rich_Full!L14</f>
        <v>42</v>
      </c>
      <c r="R15">
        <f>Rich_Full!M14</f>
        <v>36</v>
      </c>
      <c r="S15">
        <f>Rich_Full!N14</f>
        <v>41</v>
      </c>
      <c r="T15">
        <f>Rich_Full!O14</f>
        <v>30</v>
      </c>
      <c r="U15">
        <f>Rich_Full!P14</f>
        <v>45</v>
      </c>
      <c r="W15">
        <f t="shared" si="0"/>
        <v>18</v>
      </c>
      <c r="X15">
        <f t="shared" si="1"/>
        <v>23</v>
      </c>
      <c r="Y15">
        <f t="shared" si="2"/>
        <v>25.5</v>
      </c>
      <c r="AA15">
        <f>Baserun_Full!AE14</f>
        <v>11</v>
      </c>
      <c r="AB15">
        <f>Baserun_Full!AF14</f>
        <v>26.166666666666668</v>
      </c>
      <c r="AC15">
        <f>Baserun_Full!AG14</f>
        <v>23.166666666666668</v>
      </c>
      <c r="AD15">
        <f>Baserun_Full!AH14</f>
        <v>34.666666666666664</v>
      </c>
      <c r="AE15">
        <f>Baserun_Full!AI14</f>
        <v>27.5</v>
      </c>
      <c r="AF15">
        <f>Baserun_Full!AJ14</f>
        <v>25.166666666666668</v>
      </c>
      <c r="AG15">
        <f>Aware_Full!AF14</f>
        <v>38.666666666666664</v>
      </c>
      <c r="AH15">
        <f>Aware_Full!AG14</f>
        <v>61.5</v>
      </c>
      <c r="AI15">
        <f>Aware_Full!AH14</f>
        <v>49.333333333333336</v>
      </c>
      <c r="AJ15">
        <f>Aware_Full!AI14</f>
        <v>37.833333333333336</v>
      </c>
      <c r="AK15">
        <f>Aware_Full!AJ14</f>
        <v>21</v>
      </c>
      <c r="AL15">
        <f>Learn_Full!AF14</f>
        <v>14.833333333333334</v>
      </c>
      <c r="AM15">
        <f>Learn_Full!AG14</f>
        <v>14.833333333333334</v>
      </c>
      <c r="AN15">
        <f>Learn_Full!AH14</f>
        <v>69</v>
      </c>
      <c r="AO15">
        <f>Learn_Full!AI14</f>
        <v>56.166666666666664</v>
      </c>
      <c r="AP15">
        <f>Learn_Full!AJ14</f>
        <v>17.166666666666668</v>
      </c>
      <c r="AQ15">
        <f>Rich_Full!AF14</f>
        <v>44</v>
      </c>
      <c r="AR15">
        <f>Rich_Full!AG14</f>
        <v>43.5</v>
      </c>
      <c r="AS15">
        <f>Rich_Full!AH14</f>
        <v>58.5</v>
      </c>
      <c r="AT15">
        <f>Rich_Full!AI14</f>
        <v>33.166666666666664</v>
      </c>
      <c r="AU15">
        <f>Rich_Full!AJ14</f>
        <v>44.5</v>
      </c>
      <c r="AW15">
        <f t="shared" si="3"/>
        <v>0.22083333333333335</v>
      </c>
      <c r="AX15">
        <f t="shared" si="4"/>
        <v>0.27500000000000002</v>
      </c>
      <c r="AY15">
        <f t="shared" si="5"/>
        <v>0.44</v>
      </c>
    </row>
    <row r="16" spans="1:51" x14ac:dyDescent="0.25">
      <c r="A16">
        <f>Baserun_Full!A15</f>
        <v>12</v>
      </c>
      <c r="B16">
        <f>Baserun_Full!L15</f>
        <v>17</v>
      </c>
      <c r="C16">
        <f>Baserun_Full!M15</f>
        <v>23</v>
      </c>
      <c r="D16">
        <f>Baserun_Full!N15</f>
        <v>30</v>
      </c>
      <c r="E16">
        <f>Baserun_Full!O15</f>
        <v>23</v>
      </c>
      <c r="F16">
        <f>Baserun_Full!P15</f>
        <v>21</v>
      </c>
      <c r="G16">
        <f>Aware_Full!L15</f>
        <v>26</v>
      </c>
      <c r="H16">
        <f>Aware_Full!M15</f>
        <v>23</v>
      </c>
      <c r="I16">
        <f>Aware_Full!N15</f>
        <v>20</v>
      </c>
      <c r="J16">
        <f>Aware_Full!O15</f>
        <v>28</v>
      </c>
      <c r="K16">
        <f>Aware_Full!P15</f>
        <v>16</v>
      </c>
      <c r="L16">
        <f>Learn_Full!L15</f>
        <v>14</v>
      </c>
      <c r="M16">
        <f>Learn_Full!M15</f>
        <v>14</v>
      </c>
      <c r="N16">
        <f>Learn_Full!N15</f>
        <v>15</v>
      </c>
      <c r="O16">
        <f>Learn_Full!O15</f>
        <v>14</v>
      </c>
      <c r="P16">
        <f>Learn_Full!P15</f>
        <v>9</v>
      </c>
      <c r="Q16">
        <f>Rich_Full!L15</f>
        <v>38</v>
      </c>
      <c r="R16">
        <f>Rich_Full!M15</f>
        <v>36</v>
      </c>
      <c r="S16">
        <f>Rich_Full!N15</f>
        <v>39</v>
      </c>
      <c r="T16">
        <f>Rich_Full!O15</f>
        <v>24</v>
      </c>
      <c r="U16">
        <f>Rich_Full!P15</f>
        <v>39</v>
      </c>
      <c r="W16">
        <f t="shared" si="0"/>
        <v>14.5</v>
      </c>
      <c r="X16">
        <f t="shared" si="1"/>
        <v>20</v>
      </c>
      <c r="Y16">
        <f t="shared" si="2"/>
        <v>23</v>
      </c>
      <c r="AA16">
        <f>Baserun_Full!AE15</f>
        <v>12</v>
      </c>
      <c r="AB16">
        <f>Baserun_Full!AF15</f>
        <v>22.833333333333332</v>
      </c>
      <c r="AC16">
        <f>Baserun_Full!AG15</f>
        <v>22.333333333333332</v>
      </c>
      <c r="AD16">
        <f>Baserun_Full!AH15</f>
        <v>33.5</v>
      </c>
      <c r="AE16">
        <f>Baserun_Full!AI15</f>
        <v>25.666666666666668</v>
      </c>
      <c r="AF16">
        <f>Baserun_Full!AJ15</f>
        <v>23.833333333333332</v>
      </c>
      <c r="AG16">
        <f>Aware_Full!AF15</f>
        <v>37.5</v>
      </c>
      <c r="AH16">
        <f>Aware_Full!AG15</f>
        <v>48.833333333333336</v>
      </c>
      <c r="AI16">
        <f>Aware_Full!AH15</f>
        <v>44.333333333333336</v>
      </c>
      <c r="AJ16">
        <f>Aware_Full!AI15</f>
        <v>37.833333333333336</v>
      </c>
      <c r="AK16">
        <f>Aware_Full!AJ15</f>
        <v>20.333333333333332</v>
      </c>
      <c r="AL16">
        <f>Learn_Full!AF15</f>
        <v>13.333333333333334</v>
      </c>
      <c r="AM16">
        <f>Learn_Full!AG15</f>
        <v>13.833333333333334</v>
      </c>
      <c r="AN16">
        <f>Learn_Full!AH15</f>
        <v>68.833333333333329</v>
      </c>
      <c r="AO16">
        <f>Learn_Full!AI15</f>
        <v>56</v>
      </c>
      <c r="AP16">
        <f>Learn_Full!AJ15</f>
        <v>15.666666666666666</v>
      </c>
      <c r="AQ16">
        <f>Rich_Full!AF15</f>
        <v>42.5</v>
      </c>
      <c r="AR16">
        <f>Rich_Full!AG15</f>
        <v>41</v>
      </c>
      <c r="AS16">
        <f>Rich_Full!AH15</f>
        <v>49.5</v>
      </c>
      <c r="AT16">
        <f>Rich_Full!AI15</f>
        <v>30.5</v>
      </c>
      <c r="AU16">
        <f>Rich_Full!AJ15</f>
        <v>43.5</v>
      </c>
      <c r="AW16">
        <f t="shared" si="3"/>
        <v>0.21333333333333332</v>
      </c>
      <c r="AX16">
        <f t="shared" si="4"/>
        <v>0.25666666666666665</v>
      </c>
      <c r="AY16">
        <f t="shared" si="5"/>
        <v>0.41083333333333338</v>
      </c>
    </row>
    <row r="17" spans="1:51" x14ac:dyDescent="0.25">
      <c r="A17">
        <f>Baserun_Full!A16</f>
        <v>13</v>
      </c>
      <c r="B17">
        <f>Baserun_Full!L16</f>
        <v>92</v>
      </c>
      <c r="C17">
        <f>Baserun_Full!M16</f>
        <v>27</v>
      </c>
      <c r="D17">
        <f>Baserun_Full!N16</f>
        <v>35</v>
      </c>
      <c r="E17">
        <f>Baserun_Full!O16</f>
        <v>34</v>
      </c>
      <c r="F17">
        <f>Baserun_Full!P16</f>
        <v>25</v>
      </c>
      <c r="G17">
        <f>Aware_Full!L16</f>
        <v>16</v>
      </c>
      <c r="H17">
        <f>Aware_Full!M16</f>
        <v>23</v>
      </c>
      <c r="I17">
        <f>Aware_Full!N16</f>
        <v>25</v>
      </c>
      <c r="J17">
        <f>Aware_Full!O16</f>
        <v>23</v>
      </c>
      <c r="K17">
        <f>Aware_Full!P16</f>
        <v>26</v>
      </c>
      <c r="L17">
        <f>Learn_Full!L16</f>
        <v>20</v>
      </c>
      <c r="M17">
        <f>Learn_Full!M16</f>
        <v>13</v>
      </c>
      <c r="N17">
        <f>Learn_Full!N16</f>
        <v>11</v>
      </c>
      <c r="O17">
        <f>Learn_Full!O16</f>
        <v>7</v>
      </c>
      <c r="P17">
        <f>Learn_Full!P16</f>
        <v>10</v>
      </c>
      <c r="Q17">
        <f>Rich_Full!L16</f>
        <v>35</v>
      </c>
      <c r="R17">
        <f>Rich_Full!M16</f>
        <v>47</v>
      </c>
      <c r="S17">
        <f>Rich_Full!N16</f>
        <v>41</v>
      </c>
      <c r="T17">
        <f>Rich_Full!O16</f>
        <v>43</v>
      </c>
      <c r="U17">
        <f>Rich_Full!P16</f>
        <v>37</v>
      </c>
      <c r="W17">
        <f t="shared" si="0"/>
        <v>14.5</v>
      </c>
      <c r="X17">
        <f t="shared" si="1"/>
        <v>23</v>
      </c>
      <c r="Y17">
        <f t="shared" si="2"/>
        <v>26.5</v>
      </c>
      <c r="AA17">
        <f>Baserun_Full!AE16</f>
        <v>13</v>
      </c>
      <c r="AB17">
        <f>Baserun_Full!AF16</f>
        <v>33.166666666666664</v>
      </c>
      <c r="AC17">
        <f>Baserun_Full!AG16</f>
        <v>24.5</v>
      </c>
      <c r="AD17">
        <f>Baserun_Full!AH16</f>
        <v>33.666666666666664</v>
      </c>
      <c r="AE17">
        <f>Baserun_Full!AI16</f>
        <v>26.333333333333332</v>
      </c>
      <c r="AF17">
        <f>Baserun_Full!AJ16</f>
        <v>23.666666666666668</v>
      </c>
      <c r="AG17">
        <f>Aware_Full!AF16</f>
        <v>36</v>
      </c>
      <c r="AH17">
        <f>Aware_Full!AG16</f>
        <v>42.5</v>
      </c>
      <c r="AI17">
        <f>Aware_Full!AH16</f>
        <v>43.5</v>
      </c>
      <c r="AJ17">
        <f>Aware_Full!AI16</f>
        <v>36.166666666666664</v>
      </c>
      <c r="AK17">
        <f>Aware_Full!AJ16</f>
        <v>21.333333333333332</v>
      </c>
      <c r="AL17">
        <f>Learn_Full!AF16</f>
        <v>14.333333333333334</v>
      </c>
      <c r="AM17">
        <f>Learn_Full!AG16</f>
        <v>13.833333333333334</v>
      </c>
      <c r="AN17">
        <f>Learn_Full!AH16</f>
        <v>69</v>
      </c>
      <c r="AO17">
        <f>Learn_Full!AI16</f>
        <v>54.833333333333336</v>
      </c>
      <c r="AP17">
        <f>Learn_Full!AJ16</f>
        <v>14.166666666666666</v>
      </c>
      <c r="AQ17">
        <f>Rich_Full!AF16</f>
        <v>40.166666666666664</v>
      </c>
      <c r="AR17">
        <f>Rich_Full!AG16</f>
        <v>40.666666666666664</v>
      </c>
      <c r="AS17">
        <f>Rich_Full!AH16</f>
        <v>40.833333333333336</v>
      </c>
      <c r="AT17">
        <f>Rich_Full!AI16</f>
        <v>31.666666666666668</v>
      </c>
      <c r="AU17">
        <f>Rich_Full!AJ16</f>
        <v>40.666666666666664</v>
      </c>
      <c r="AW17">
        <f t="shared" si="3"/>
        <v>0.22500000000000001</v>
      </c>
      <c r="AX17">
        <f t="shared" si="4"/>
        <v>0.33166666666666667</v>
      </c>
      <c r="AY17">
        <f t="shared" si="5"/>
        <v>0.39333333333333331</v>
      </c>
    </row>
    <row r="18" spans="1:51" x14ac:dyDescent="0.25">
      <c r="A18">
        <f>Baserun_Full!A17</f>
        <v>14</v>
      </c>
      <c r="B18">
        <f>Baserun_Full!L17</f>
        <v>97</v>
      </c>
      <c r="C18">
        <f>Baserun_Full!M17</f>
        <v>29</v>
      </c>
      <c r="D18">
        <f>Baserun_Full!N17</f>
        <v>36</v>
      </c>
      <c r="E18">
        <f>Baserun_Full!O17</f>
        <v>35</v>
      </c>
      <c r="F18">
        <f>Baserun_Full!P17</f>
        <v>31</v>
      </c>
      <c r="G18">
        <f>Aware_Full!L17</f>
        <v>17</v>
      </c>
      <c r="H18">
        <f>Aware_Full!M17</f>
        <v>47</v>
      </c>
      <c r="I18">
        <f>Aware_Full!N17</f>
        <v>22</v>
      </c>
      <c r="J18">
        <f>Aware_Full!O17</f>
        <v>28</v>
      </c>
      <c r="K18">
        <f>Aware_Full!P17</f>
        <v>28</v>
      </c>
      <c r="L18">
        <f>Learn_Full!L17</f>
        <v>13</v>
      </c>
      <c r="M18">
        <f>Learn_Full!M17</f>
        <v>23</v>
      </c>
      <c r="N18">
        <f>Learn_Full!N17</f>
        <v>12</v>
      </c>
      <c r="O18">
        <f>Learn_Full!O17</f>
        <v>9</v>
      </c>
      <c r="P18">
        <f>Learn_Full!P17</f>
        <v>11</v>
      </c>
      <c r="Q18">
        <f>Rich_Full!L17</f>
        <v>39</v>
      </c>
      <c r="R18">
        <f>Rich_Full!M17</f>
        <v>45</v>
      </c>
      <c r="S18">
        <f>Rich_Full!N17</f>
        <v>37</v>
      </c>
      <c r="T18">
        <f>Rich_Full!O17</f>
        <v>40</v>
      </c>
      <c r="U18">
        <f>Rich_Full!P17</f>
        <v>38</v>
      </c>
      <c r="W18">
        <f t="shared" si="0"/>
        <v>15</v>
      </c>
      <c r="X18">
        <f t="shared" si="1"/>
        <v>28</v>
      </c>
      <c r="Y18">
        <f t="shared" si="2"/>
        <v>33</v>
      </c>
      <c r="AA18">
        <f>Baserun_Full!AE17</f>
        <v>14</v>
      </c>
      <c r="AB18">
        <f>Baserun_Full!AF17</f>
        <v>44.333333333333336</v>
      </c>
      <c r="AC18">
        <f>Baserun_Full!AG17</f>
        <v>25</v>
      </c>
      <c r="AD18">
        <f>Baserun_Full!AH17</f>
        <v>34.833333333333336</v>
      </c>
      <c r="AE18">
        <f>Baserun_Full!AI17</f>
        <v>26.833333333333332</v>
      </c>
      <c r="AF18">
        <f>Baserun_Full!AJ17</f>
        <v>25.333333333333332</v>
      </c>
      <c r="AG18">
        <f>Aware_Full!AF17</f>
        <v>33.5</v>
      </c>
      <c r="AH18">
        <f>Aware_Full!AG17</f>
        <v>33.833333333333336</v>
      </c>
      <c r="AI18">
        <f>Aware_Full!AH17</f>
        <v>30.833333333333332</v>
      </c>
      <c r="AJ18">
        <f>Aware_Full!AI17</f>
        <v>32.166666666666664</v>
      </c>
      <c r="AK18">
        <f>Aware_Full!AJ17</f>
        <v>18.166666666666668</v>
      </c>
      <c r="AL18">
        <f>Learn_Full!AF17</f>
        <v>14</v>
      </c>
      <c r="AM18">
        <f>Learn_Full!AG17</f>
        <v>15.333333333333334</v>
      </c>
      <c r="AN18">
        <f>Learn_Full!AH17</f>
        <v>55.5</v>
      </c>
      <c r="AO18">
        <f>Learn_Full!AI17</f>
        <v>40.833333333333336</v>
      </c>
      <c r="AP18">
        <f>Learn_Full!AJ17</f>
        <v>12</v>
      </c>
      <c r="AQ18">
        <f>Rich_Full!AF17</f>
        <v>40.166666666666664</v>
      </c>
      <c r="AR18">
        <f>Rich_Full!AG17</f>
        <v>39.666666666666664</v>
      </c>
      <c r="AS18">
        <f>Rich_Full!AH17</f>
        <v>39.833333333333336</v>
      </c>
      <c r="AT18">
        <f>Rich_Full!AI17</f>
        <v>32.666666666666664</v>
      </c>
      <c r="AU18">
        <f>Rich_Full!AJ17</f>
        <v>39.333333333333336</v>
      </c>
      <c r="AW18">
        <f t="shared" si="3"/>
        <v>0.21583333333333335</v>
      </c>
      <c r="AX18">
        <f t="shared" si="4"/>
        <v>0.30833333333333335</v>
      </c>
      <c r="AY18">
        <f t="shared" si="5"/>
        <v>0.34333333333333338</v>
      </c>
    </row>
    <row r="19" spans="1:51" x14ac:dyDescent="0.25">
      <c r="A19">
        <f>Baserun_Full!A18</f>
        <v>15</v>
      </c>
      <c r="B19">
        <f>Baserun_Full!L18</f>
        <v>100</v>
      </c>
      <c r="C19">
        <f>Baserun_Full!M18</f>
        <v>95</v>
      </c>
      <c r="D19">
        <f>Baserun_Full!N18</f>
        <v>34</v>
      </c>
      <c r="E19">
        <f>Baserun_Full!O18</f>
        <v>32</v>
      </c>
      <c r="F19">
        <f>Baserun_Full!P18</f>
        <v>26</v>
      </c>
      <c r="G19">
        <f>Aware_Full!L18</f>
        <v>24</v>
      </c>
      <c r="H19">
        <f>Aware_Full!M18</f>
        <v>19</v>
      </c>
      <c r="I19">
        <f>Aware_Full!N18</f>
        <v>28</v>
      </c>
      <c r="J19">
        <f>Aware_Full!O18</f>
        <v>94</v>
      </c>
      <c r="K19">
        <f>Aware_Full!P18</f>
        <v>58</v>
      </c>
      <c r="L19">
        <f>Learn_Full!L18</f>
        <v>25</v>
      </c>
      <c r="M19">
        <f>Learn_Full!M18</f>
        <v>100</v>
      </c>
      <c r="N19">
        <f>Learn_Full!N18</f>
        <v>8</v>
      </c>
      <c r="O19">
        <f>Learn_Full!O18</f>
        <v>17</v>
      </c>
      <c r="P19">
        <f>Learn_Full!P18</f>
        <v>14</v>
      </c>
      <c r="Q19">
        <f>Rich_Full!L18</f>
        <v>46</v>
      </c>
      <c r="R19">
        <f>Rich_Full!M18</f>
        <v>46</v>
      </c>
      <c r="S19">
        <f>Rich_Full!N18</f>
        <v>35</v>
      </c>
      <c r="T19">
        <f>Rich_Full!O18</f>
        <v>45</v>
      </c>
      <c r="U19">
        <f>Rich_Full!P18</f>
        <v>44</v>
      </c>
      <c r="W19">
        <f t="shared" si="0"/>
        <v>21.5</v>
      </c>
      <c r="X19">
        <f t="shared" si="1"/>
        <v>28</v>
      </c>
      <c r="Y19">
        <f t="shared" si="2"/>
        <v>76</v>
      </c>
      <c r="AA19">
        <f>Baserun_Full!AE18</f>
        <v>15</v>
      </c>
      <c r="AB19">
        <f>Baserun_Full!AF18</f>
        <v>57.333333333333336</v>
      </c>
      <c r="AC19">
        <f>Baserun_Full!AG18</f>
        <v>37.833333333333336</v>
      </c>
      <c r="AD19">
        <f>Baserun_Full!AH18</f>
        <v>35.166666666666664</v>
      </c>
      <c r="AE19">
        <f>Baserun_Full!AI18</f>
        <v>28.666666666666668</v>
      </c>
      <c r="AF19">
        <f>Baserun_Full!AJ18</f>
        <v>25.833333333333332</v>
      </c>
      <c r="AG19">
        <f>Aware_Full!AF18</f>
        <v>21.666666666666668</v>
      </c>
      <c r="AH19">
        <f>Aware_Full!AG18</f>
        <v>27.666666666666668</v>
      </c>
      <c r="AI19">
        <f>Aware_Full!AH18</f>
        <v>27.666666666666668</v>
      </c>
      <c r="AJ19">
        <f>Aware_Full!AI18</f>
        <v>42.333333333333336</v>
      </c>
      <c r="AK19">
        <f>Aware_Full!AJ18</f>
        <v>26.333333333333332</v>
      </c>
      <c r="AL19">
        <f>Learn_Full!AF18</f>
        <v>16.5</v>
      </c>
      <c r="AM19">
        <f>Learn_Full!AG18</f>
        <v>29.666666666666668</v>
      </c>
      <c r="AN19">
        <f>Learn_Full!AH18</f>
        <v>40.333333333333336</v>
      </c>
      <c r="AO19">
        <f>Learn_Full!AI18</f>
        <v>27.333333333333332</v>
      </c>
      <c r="AP19">
        <f>Learn_Full!AJ18</f>
        <v>11.5</v>
      </c>
      <c r="AQ19">
        <f>Rich_Full!AF18</f>
        <v>41</v>
      </c>
      <c r="AR19">
        <f>Rich_Full!AG18</f>
        <v>41.5</v>
      </c>
      <c r="AS19">
        <f>Rich_Full!AH18</f>
        <v>38</v>
      </c>
      <c r="AT19">
        <f>Rich_Full!AI18</f>
        <v>34.666666666666664</v>
      </c>
      <c r="AU19">
        <f>Rich_Full!AJ18</f>
        <v>40.5</v>
      </c>
      <c r="AW19">
        <f t="shared" si="3"/>
        <v>0.26083333333333331</v>
      </c>
      <c r="AX19">
        <f t="shared" si="4"/>
        <v>0.27666666666666667</v>
      </c>
      <c r="AY19">
        <f t="shared" si="5"/>
        <v>0.36499999999999999</v>
      </c>
    </row>
    <row r="20" spans="1:51" x14ac:dyDescent="0.25">
      <c r="A20">
        <f>Baserun_Full!A19</f>
        <v>16</v>
      </c>
      <c r="B20">
        <f>Baserun_Full!L19</f>
        <v>56</v>
      </c>
      <c r="C20">
        <f>Baserun_Full!M19</f>
        <v>44</v>
      </c>
      <c r="D20">
        <f>Baserun_Full!N19</f>
        <v>34</v>
      </c>
      <c r="E20">
        <f>Baserun_Full!O19</f>
        <v>45</v>
      </c>
      <c r="F20">
        <f>Baserun_Full!P19</f>
        <v>96</v>
      </c>
      <c r="G20">
        <f>Aware_Full!L19</f>
        <v>27</v>
      </c>
      <c r="H20">
        <f>Aware_Full!M19</f>
        <v>20</v>
      </c>
      <c r="I20">
        <f>Aware_Full!N19</f>
        <v>98</v>
      </c>
      <c r="J20">
        <f>Aware_Full!O19</f>
        <v>30</v>
      </c>
      <c r="K20">
        <f>Aware_Full!P19</f>
        <v>98</v>
      </c>
      <c r="L20">
        <f>Learn_Full!L19</f>
        <v>100</v>
      </c>
      <c r="M20">
        <f>Learn_Full!M19</f>
        <v>100</v>
      </c>
      <c r="N20">
        <f>Learn_Full!N19</f>
        <v>16</v>
      </c>
      <c r="O20">
        <f>Learn_Full!O19</f>
        <v>94</v>
      </c>
      <c r="P20">
        <f>Learn_Full!P19</f>
        <v>16</v>
      </c>
      <c r="Q20">
        <f>Rich_Full!L19</f>
        <v>53</v>
      </c>
      <c r="R20">
        <f>Rich_Full!M19</f>
        <v>70</v>
      </c>
      <c r="S20">
        <f>Rich_Full!N19</f>
        <v>43</v>
      </c>
      <c r="T20">
        <f>Rich_Full!O19</f>
        <v>64</v>
      </c>
      <c r="U20">
        <f>Rich_Full!P19</f>
        <v>43</v>
      </c>
      <c r="W20">
        <f t="shared" si="0"/>
        <v>28.5</v>
      </c>
      <c r="X20">
        <f t="shared" si="1"/>
        <v>45</v>
      </c>
      <c r="Y20">
        <f t="shared" si="2"/>
        <v>97</v>
      </c>
      <c r="AA20">
        <f>Baserun_Full!AE19</f>
        <v>16</v>
      </c>
      <c r="AB20">
        <f>Baserun_Full!AF19</f>
        <v>63.333333333333336</v>
      </c>
      <c r="AC20">
        <f>Baserun_Full!AG19</f>
        <v>40.666666666666664</v>
      </c>
      <c r="AD20">
        <f>Baserun_Full!AH19</f>
        <v>35</v>
      </c>
      <c r="AE20">
        <f>Baserun_Full!AI19</f>
        <v>32.333333333333336</v>
      </c>
      <c r="AF20">
        <f>Baserun_Full!AJ19</f>
        <v>37.5</v>
      </c>
      <c r="AG20">
        <f>Aware_Full!AF19</f>
        <v>21.5</v>
      </c>
      <c r="AH20">
        <f>Aware_Full!AG19</f>
        <v>26.166666666666668</v>
      </c>
      <c r="AI20">
        <f>Aware_Full!AH19</f>
        <v>36</v>
      </c>
      <c r="AJ20">
        <f>Aware_Full!AI19</f>
        <v>37.833333333333336</v>
      </c>
      <c r="AK20">
        <f>Aware_Full!AJ19</f>
        <v>40.666666666666664</v>
      </c>
      <c r="AL20">
        <f>Learn_Full!AF19</f>
        <v>31</v>
      </c>
      <c r="AM20">
        <f>Learn_Full!AG19</f>
        <v>43.333333333333336</v>
      </c>
      <c r="AN20">
        <f>Learn_Full!AH19</f>
        <v>26.666666666666668</v>
      </c>
      <c r="AO20">
        <f>Learn_Full!AI19</f>
        <v>26.666666666666668</v>
      </c>
      <c r="AP20">
        <f>Learn_Full!AJ19</f>
        <v>11.833333333333334</v>
      </c>
      <c r="AQ20">
        <f>Rich_Full!AF19</f>
        <v>42.166666666666664</v>
      </c>
      <c r="AR20">
        <f>Rich_Full!AG19</f>
        <v>46.666666666666664</v>
      </c>
      <c r="AS20">
        <f>Rich_Full!AH19</f>
        <v>39.333333333333336</v>
      </c>
      <c r="AT20">
        <f>Rich_Full!AI19</f>
        <v>41</v>
      </c>
      <c r="AU20">
        <f>Rich_Full!AJ19</f>
        <v>41</v>
      </c>
      <c r="AW20">
        <f t="shared" si="3"/>
        <v>0.26666666666666666</v>
      </c>
      <c r="AX20">
        <f t="shared" si="4"/>
        <v>0.35</v>
      </c>
      <c r="AY20">
        <f t="shared" si="5"/>
        <v>0.39250000000000002</v>
      </c>
    </row>
    <row r="21" spans="1:51" x14ac:dyDescent="0.25">
      <c r="A21">
        <f>Baserun_Full!A20</f>
        <v>17</v>
      </c>
      <c r="B21">
        <f>Baserun_Full!L20</f>
        <v>33</v>
      </c>
      <c r="C21">
        <f>Baserun_Full!M20</f>
        <v>99</v>
      </c>
      <c r="D21">
        <f>Baserun_Full!N20</f>
        <v>31</v>
      </c>
      <c r="E21">
        <f>Baserun_Full!O20</f>
        <v>34</v>
      </c>
      <c r="F21">
        <f>Baserun_Full!P20</f>
        <v>30</v>
      </c>
      <c r="G21">
        <f>Aware_Full!L20</f>
        <v>55</v>
      </c>
      <c r="H21">
        <f>Aware_Full!M20</f>
        <v>23</v>
      </c>
      <c r="I21">
        <f>Aware_Full!N20</f>
        <v>35</v>
      </c>
      <c r="J21">
        <f>Aware_Full!O20</f>
        <v>25</v>
      </c>
      <c r="K21">
        <f>Aware_Full!P20</f>
        <v>100</v>
      </c>
      <c r="L21">
        <f>Learn_Full!L20</f>
        <v>100</v>
      </c>
      <c r="M21">
        <f>Learn_Full!M20</f>
        <v>100</v>
      </c>
      <c r="N21">
        <f>Learn_Full!N20</f>
        <v>2</v>
      </c>
      <c r="O21">
        <f>Learn_Full!O20</f>
        <v>99</v>
      </c>
      <c r="P21">
        <f>Learn_Full!P20</f>
        <v>95</v>
      </c>
      <c r="Q21">
        <f>Rich_Full!L20</f>
        <v>46</v>
      </c>
      <c r="R21">
        <f>Rich_Full!M20</f>
        <v>44</v>
      </c>
      <c r="S21">
        <f>Rich_Full!N20</f>
        <v>64</v>
      </c>
      <c r="T21">
        <f>Rich_Full!O20</f>
        <v>65</v>
      </c>
      <c r="U21">
        <f>Rich_Full!P20</f>
        <v>49</v>
      </c>
      <c r="W21">
        <f t="shared" si="0"/>
        <v>30.5</v>
      </c>
      <c r="X21">
        <f t="shared" si="1"/>
        <v>35</v>
      </c>
      <c r="Y21">
        <f t="shared" si="2"/>
        <v>99</v>
      </c>
      <c r="AA21">
        <f>Baserun_Full!AE20</f>
        <v>17</v>
      </c>
      <c r="AB21">
        <f>Baserun_Full!AF20</f>
        <v>65.833333333333329</v>
      </c>
      <c r="AC21">
        <f>Baserun_Full!AG20</f>
        <v>52.833333333333336</v>
      </c>
      <c r="AD21">
        <f>Baserun_Full!AH20</f>
        <v>33.333333333333336</v>
      </c>
      <c r="AE21">
        <f>Baserun_Full!AI20</f>
        <v>33.833333333333336</v>
      </c>
      <c r="AF21">
        <f>Baserun_Full!AJ20</f>
        <v>38.166666666666664</v>
      </c>
      <c r="AG21">
        <f>Aware_Full!AF20</f>
        <v>27.5</v>
      </c>
      <c r="AH21">
        <f>Aware_Full!AG20</f>
        <v>25.833333333333332</v>
      </c>
      <c r="AI21">
        <f>Aware_Full!AH20</f>
        <v>38</v>
      </c>
      <c r="AJ21">
        <f>Aware_Full!AI20</f>
        <v>38</v>
      </c>
      <c r="AK21">
        <f>Aware_Full!AJ20</f>
        <v>54.333333333333336</v>
      </c>
      <c r="AL21">
        <f>Learn_Full!AF20</f>
        <v>45.333333333333336</v>
      </c>
      <c r="AM21">
        <f>Learn_Full!AG20</f>
        <v>58.333333333333336</v>
      </c>
      <c r="AN21">
        <f>Learn_Full!AH20</f>
        <v>10.666666666666666</v>
      </c>
      <c r="AO21">
        <f>Learn_Full!AI20</f>
        <v>40</v>
      </c>
      <c r="AP21">
        <f>Learn_Full!AJ20</f>
        <v>25.833333333333332</v>
      </c>
      <c r="AQ21">
        <f>Rich_Full!AF20</f>
        <v>42.833333333333336</v>
      </c>
      <c r="AR21">
        <f>Rich_Full!AG20</f>
        <v>48</v>
      </c>
      <c r="AS21">
        <f>Rich_Full!AH20</f>
        <v>43.166666666666664</v>
      </c>
      <c r="AT21">
        <f>Rich_Full!AI20</f>
        <v>46.833333333333336</v>
      </c>
      <c r="AU21">
        <f>Rich_Full!AJ20</f>
        <v>41.666666666666664</v>
      </c>
      <c r="AW21">
        <f t="shared" si="3"/>
        <v>0.3041666666666667</v>
      </c>
      <c r="AX21">
        <f t="shared" si="4"/>
        <v>0.38</v>
      </c>
      <c r="AY21">
        <f t="shared" si="5"/>
        <v>0.49083333333333334</v>
      </c>
    </row>
    <row r="22" spans="1:51" x14ac:dyDescent="0.25">
      <c r="A22">
        <f>Baserun_Full!A21</f>
        <v>18</v>
      </c>
      <c r="B22">
        <f>Baserun_Full!L21</f>
        <v>35</v>
      </c>
      <c r="C22">
        <f>Baserun_Full!M21</f>
        <v>99</v>
      </c>
      <c r="D22">
        <f>Baserun_Full!N21</f>
        <v>52</v>
      </c>
      <c r="E22">
        <f>Baserun_Full!O21</f>
        <v>41</v>
      </c>
      <c r="F22">
        <f>Baserun_Full!P21</f>
        <v>98</v>
      </c>
      <c r="G22">
        <f>Aware_Full!L21</f>
        <v>57</v>
      </c>
      <c r="H22">
        <f>Aware_Full!M21</f>
        <v>20</v>
      </c>
      <c r="I22">
        <f>Aware_Full!N21</f>
        <v>45</v>
      </c>
      <c r="J22">
        <f>Aware_Full!O21</f>
        <v>52</v>
      </c>
      <c r="K22">
        <f>Aware_Full!P21</f>
        <v>100</v>
      </c>
      <c r="L22">
        <f>Learn_Full!L21</f>
        <v>100</v>
      </c>
      <c r="M22">
        <f>Learn_Full!M21</f>
        <v>100</v>
      </c>
      <c r="N22">
        <f>Learn_Full!N21</f>
        <v>13</v>
      </c>
      <c r="O22">
        <f>Learn_Full!O21</f>
        <v>11</v>
      </c>
      <c r="P22">
        <f>Learn_Full!P21</f>
        <v>98</v>
      </c>
      <c r="Q22">
        <f>Rich_Full!L21</f>
        <v>49</v>
      </c>
      <c r="R22">
        <f>Rich_Full!M21</f>
        <v>72</v>
      </c>
      <c r="S22">
        <f>Rich_Full!N21</f>
        <v>53</v>
      </c>
      <c r="T22">
        <f>Rich_Full!O21</f>
        <v>97</v>
      </c>
      <c r="U22">
        <f>Rich_Full!P21</f>
        <v>93</v>
      </c>
      <c r="W22">
        <f t="shared" si="0"/>
        <v>38</v>
      </c>
      <c r="X22">
        <f t="shared" si="1"/>
        <v>52</v>
      </c>
      <c r="Y22">
        <f t="shared" si="2"/>
        <v>98.5</v>
      </c>
      <c r="AA22">
        <f>Baserun_Full!AE21</f>
        <v>18</v>
      </c>
      <c r="AB22">
        <f>Baserun_Full!AF21</f>
        <v>68.833333333333329</v>
      </c>
      <c r="AC22">
        <f>Baserun_Full!AG21</f>
        <v>65.5</v>
      </c>
      <c r="AD22">
        <f>Baserun_Full!AH21</f>
        <v>37</v>
      </c>
      <c r="AE22">
        <f>Baserun_Full!AI21</f>
        <v>36.833333333333336</v>
      </c>
      <c r="AF22">
        <f>Baserun_Full!AJ21</f>
        <v>51</v>
      </c>
      <c r="AG22">
        <f>Aware_Full!AF21</f>
        <v>32.666666666666664</v>
      </c>
      <c r="AH22">
        <f>Aware_Full!AG21</f>
        <v>25.333333333333332</v>
      </c>
      <c r="AI22">
        <f>Aware_Full!AH21</f>
        <v>42.166666666666664</v>
      </c>
      <c r="AJ22">
        <f>Aware_Full!AI21</f>
        <v>42</v>
      </c>
      <c r="AK22">
        <f>Aware_Full!AJ21</f>
        <v>68.333333333333329</v>
      </c>
      <c r="AL22">
        <f>Learn_Full!AF21</f>
        <v>59.666666666666664</v>
      </c>
      <c r="AM22">
        <f>Learn_Full!AG21</f>
        <v>72.666666666666671</v>
      </c>
      <c r="AN22">
        <f>Learn_Full!AH21</f>
        <v>10.333333333333334</v>
      </c>
      <c r="AO22">
        <f>Learn_Full!AI21</f>
        <v>39.5</v>
      </c>
      <c r="AP22">
        <f>Learn_Full!AJ21</f>
        <v>40.666666666666664</v>
      </c>
      <c r="AQ22">
        <f>Rich_Full!AF21</f>
        <v>44.666666666666664</v>
      </c>
      <c r="AR22">
        <f>Rich_Full!AG21</f>
        <v>54</v>
      </c>
      <c r="AS22">
        <f>Rich_Full!AH21</f>
        <v>45.5</v>
      </c>
      <c r="AT22">
        <f>Rich_Full!AI21</f>
        <v>59</v>
      </c>
      <c r="AU22">
        <f>Rich_Full!AJ21</f>
        <v>50.666666666666664</v>
      </c>
      <c r="AW22">
        <f t="shared" si="3"/>
        <v>0.3691666666666667</v>
      </c>
      <c r="AX22">
        <f t="shared" si="4"/>
        <v>0.42</v>
      </c>
      <c r="AY22">
        <f t="shared" si="5"/>
        <v>0.62583333333333324</v>
      </c>
    </row>
    <row r="23" spans="1:51" x14ac:dyDescent="0.25">
      <c r="A23">
        <f>Baserun_Full!A22</f>
        <v>19</v>
      </c>
      <c r="B23">
        <f>Baserun_Full!L22</f>
        <v>34</v>
      </c>
      <c r="C23">
        <f>Baserun_Full!M22</f>
        <v>48</v>
      </c>
      <c r="D23">
        <f>Baserun_Full!N22</f>
        <v>55</v>
      </c>
      <c r="E23">
        <f>Baserun_Full!O22</f>
        <v>94</v>
      </c>
      <c r="F23">
        <f>Baserun_Full!P22</f>
        <v>46</v>
      </c>
      <c r="G23">
        <f>Aware_Full!L22</f>
        <v>60</v>
      </c>
      <c r="H23">
        <f>Aware_Full!M22</f>
        <v>50</v>
      </c>
      <c r="I23">
        <f>Aware_Full!N22</f>
        <v>20</v>
      </c>
      <c r="J23">
        <f>Aware_Full!O22</f>
        <v>28</v>
      </c>
      <c r="K23">
        <f>Aware_Full!P22</f>
        <v>100</v>
      </c>
      <c r="L23">
        <f>Learn_Full!L22</f>
        <v>100</v>
      </c>
      <c r="M23">
        <f>Learn_Full!M22</f>
        <v>20</v>
      </c>
      <c r="N23">
        <f>Learn_Full!N22</f>
        <v>1</v>
      </c>
      <c r="O23">
        <f>Learn_Full!O22</f>
        <v>10</v>
      </c>
      <c r="P23">
        <f>Learn_Full!P22</f>
        <v>98</v>
      </c>
      <c r="Q23">
        <f>Rich_Full!L22</f>
        <v>91</v>
      </c>
      <c r="R23">
        <f>Rich_Full!M22</f>
        <v>97</v>
      </c>
      <c r="S23">
        <f>Rich_Full!N22</f>
        <v>96</v>
      </c>
      <c r="T23">
        <f>Rich_Full!O22</f>
        <v>64</v>
      </c>
      <c r="U23">
        <f>Rich_Full!P22</f>
        <v>67</v>
      </c>
      <c r="W23">
        <f t="shared" si="0"/>
        <v>24</v>
      </c>
      <c r="X23">
        <f t="shared" si="1"/>
        <v>48</v>
      </c>
      <c r="Y23">
        <f t="shared" si="2"/>
        <v>77</v>
      </c>
      <c r="AA23">
        <f>Baserun_Full!AE22</f>
        <v>19</v>
      </c>
      <c r="AB23">
        <f>Baserun_Full!AF22</f>
        <v>59.166666666666664</v>
      </c>
      <c r="AC23">
        <f>Baserun_Full!AG22</f>
        <v>69</v>
      </c>
      <c r="AD23">
        <f>Baserun_Full!AH22</f>
        <v>40.333333333333336</v>
      </c>
      <c r="AE23">
        <f>Baserun_Full!AI22</f>
        <v>46.833333333333336</v>
      </c>
      <c r="AF23">
        <f>Baserun_Full!AJ22</f>
        <v>54.5</v>
      </c>
      <c r="AG23">
        <f>Aware_Full!AF22</f>
        <v>40</v>
      </c>
      <c r="AH23">
        <f>Aware_Full!AG22</f>
        <v>29.833333333333332</v>
      </c>
      <c r="AI23">
        <f>Aware_Full!AH22</f>
        <v>41.333333333333336</v>
      </c>
      <c r="AJ23">
        <f>Aware_Full!AI22</f>
        <v>42.833333333333336</v>
      </c>
      <c r="AK23">
        <f>Aware_Full!AJ22</f>
        <v>80.666666666666671</v>
      </c>
      <c r="AL23">
        <f>Learn_Full!AF22</f>
        <v>73</v>
      </c>
      <c r="AM23">
        <f>Learn_Full!AG22</f>
        <v>73.833333333333329</v>
      </c>
      <c r="AN23">
        <f>Learn_Full!AH22</f>
        <v>8.6666666666666661</v>
      </c>
      <c r="AO23">
        <f>Learn_Full!AI22</f>
        <v>40</v>
      </c>
      <c r="AP23">
        <f>Learn_Full!AJ22</f>
        <v>55.333333333333336</v>
      </c>
      <c r="AQ23">
        <f>Rich_Full!AF22</f>
        <v>54</v>
      </c>
      <c r="AR23">
        <f>Rich_Full!AG22</f>
        <v>62.333333333333336</v>
      </c>
      <c r="AS23">
        <f>Rich_Full!AH22</f>
        <v>54.666666666666664</v>
      </c>
      <c r="AT23">
        <f>Rich_Full!AI22</f>
        <v>62.5</v>
      </c>
      <c r="AU23">
        <f>Rich_Full!AJ22</f>
        <v>55.666666666666664</v>
      </c>
      <c r="AW23">
        <f t="shared" si="3"/>
        <v>0.40166666666666673</v>
      </c>
      <c r="AX23">
        <f t="shared" si="4"/>
        <v>0.46833333333333338</v>
      </c>
      <c r="AY23">
        <f t="shared" si="5"/>
        <v>0.64083333333333325</v>
      </c>
    </row>
    <row r="24" spans="1:51" x14ac:dyDescent="0.25">
      <c r="A24">
        <f>Baserun_Full!A23</f>
        <v>20</v>
      </c>
      <c r="B24">
        <f>Baserun_Full!L23</f>
        <v>51</v>
      </c>
      <c r="C24">
        <f>Baserun_Full!M23</f>
        <v>99</v>
      </c>
      <c r="D24">
        <f>Baserun_Full!N23</f>
        <v>99</v>
      </c>
      <c r="E24">
        <f>Baserun_Full!O23</f>
        <v>53</v>
      </c>
      <c r="F24">
        <f>Baserun_Full!P23</f>
        <v>99</v>
      </c>
      <c r="G24">
        <f>Aware_Full!L23</f>
        <v>99</v>
      </c>
      <c r="H24">
        <f>Aware_Full!M23</f>
        <v>27</v>
      </c>
      <c r="I24">
        <f>Aware_Full!N23</f>
        <v>17</v>
      </c>
      <c r="J24">
        <f>Aware_Full!O23</f>
        <v>55</v>
      </c>
      <c r="K24">
        <f>Aware_Full!P23</f>
        <v>62</v>
      </c>
      <c r="L24">
        <f>Learn_Full!L23</f>
        <v>18</v>
      </c>
      <c r="M24">
        <f>Learn_Full!M23</f>
        <v>30</v>
      </c>
      <c r="N24">
        <f>Learn_Full!N23</f>
        <v>15</v>
      </c>
      <c r="O24">
        <f>Learn_Full!O23</f>
        <v>14</v>
      </c>
      <c r="P24">
        <f>Learn_Full!P23</f>
        <v>98</v>
      </c>
      <c r="Q24">
        <f>Rich_Full!L23</f>
        <v>52</v>
      </c>
      <c r="R24">
        <f>Rich_Full!M23</f>
        <v>50</v>
      </c>
      <c r="S24">
        <f>Rich_Full!N23</f>
        <v>65</v>
      </c>
      <c r="T24">
        <f>Rich_Full!O23</f>
        <v>64</v>
      </c>
      <c r="U24">
        <f>Rich_Full!P23</f>
        <v>44</v>
      </c>
      <c r="W24">
        <f t="shared" si="0"/>
        <v>22.5</v>
      </c>
      <c r="X24">
        <f t="shared" si="1"/>
        <v>53</v>
      </c>
      <c r="Y24">
        <f t="shared" si="2"/>
        <v>98.5</v>
      </c>
      <c r="AA24">
        <f>Baserun_Full!AE23</f>
        <v>20</v>
      </c>
      <c r="AB24">
        <f>Baserun_Full!AF23</f>
        <v>51.5</v>
      </c>
      <c r="AC24">
        <f>Baserun_Full!AG23</f>
        <v>80.666666666666671</v>
      </c>
      <c r="AD24">
        <f>Baserun_Full!AH23</f>
        <v>50.833333333333336</v>
      </c>
      <c r="AE24">
        <f>Baserun_Full!AI23</f>
        <v>49.833333333333336</v>
      </c>
      <c r="AF24">
        <f>Baserun_Full!AJ23</f>
        <v>65.833333333333329</v>
      </c>
      <c r="AG24">
        <f>Aware_Full!AF23</f>
        <v>53.666666666666664</v>
      </c>
      <c r="AH24">
        <f>Aware_Full!AG23</f>
        <v>26.5</v>
      </c>
      <c r="AI24">
        <f>Aware_Full!AH23</f>
        <v>40.5</v>
      </c>
      <c r="AJ24">
        <f>Aware_Full!AI23</f>
        <v>47.333333333333336</v>
      </c>
      <c r="AK24">
        <f>Aware_Full!AJ23</f>
        <v>86.333333333333329</v>
      </c>
      <c r="AL24">
        <f>Learn_Full!AF23</f>
        <v>73.833333333333329</v>
      </c>
      <c r="AM24">
        <f>Learn_Full!AG23</f>
        <v>75</v>
      </c>
      <c r="AN24">
        <f>Learn_Full!AH23</f>
        <v>9.1666666666666661</v>
      </c>
      <c r="AO24">
        <f>Learn_Full!AI23</f>
        <v>40.833333333333336</v>
      </c>
      <c r="AP24">
        <f>Learn_Full!AJ23</f>
        <v>69.833333333333329</v>
      </c>
      <c r="AQ24">
        <f>Rich_Full!AF23</f>
        <v>56.166666666666664</v>
      </c>
      <c r="AR24">
        <f>Rich_Full!AG23</f>
        <v>63.166666666666664</v>
      </c>
      <c r="AS24">
        <f>Rich_Full!AH23</f>
        <v>59.333333333333336</v>
      </c>
      <c r="AT24">
        <f>Rich_Full!AI23</f>
        <v>66.5</v>
      </c>
      <c r="AU24">
        <f>Rich_Full!AJ23</f>
        <v>56.666666666666664</v>
      </c>
      <c r="AW24">
        <f t="shared" si="3"/>
        <v>0.44083333333333335</v>
      </c>
      <c r="AX24">
        <f t="shared" si="4"/>
        <v>0.51500000000000001</v>
      </c>
      <c r="AY24">
        <f t="shared" si="5"/>
        <v>0.71833333333333327</v>
      </c>
    </row>
    <row r="25" spans="1:51" x14ac:dyDescent="0.25">
      <c r="A25">
        <f>Baserun_Full!A24</f>
        <v>21</v>
      </c>
      <c r="B25">
        <f>Baserun_Full!L24</f>
        <v>98</v>
      </c>
      <c r="C25">
        <f>Baserun_Full!M24</f>
        <v>99</v>
      </c>
      <c r="D25">
        <f>Baserun_Full!N24</f>
        <v>59</v>
      </c>
      <c r="E25">
        <f>Baserun_Full!O24</f>
        <v>99</v>
      </c>
      <c r="F25">
        <f>Baserun_Full!P24</f>
        <v>98</v>
      </c>
      <c r="G25">
        <f>Aware_Full!L24</f>
        <v>100</v>
      </c>
      <c r="H25">
        <f>Aware_Full!M24</f>
        <v>99</v>
      </c>
      <c r="I25">
        <f>Aware_Full!N24</f>
        <v>44</v>
      </c>
      <c r="J25">
        <f>Aware_Full!O24</f>
        <v>97</v>
      </c>
      <c r="K25">
        <f>Aware_Full!P24</f>
        <v>99</v>
      </c>
      <c r="L25">
        <f>Learn_Full!L24</f>
        <v>23</v>
      </c>
      <c r="M25">
        <f>Learn_Full!M24</f>
        <v>99</v>
      </c>
      <c r="N25">
        <f>Learn_Full!N24</f>
        <v>97</v>
      </c>
      <c r="O25">
        <f>Learn_Full!O24</f>
        <v>19</v>
      </c>
      <c r="P25">
        <f>Learn_Full!P24</f>
        <v>26</v>
      </c>
      <c r="Q25">
        <f>Rich_Full!L24</f>
        <v>98</v>
      </c>
      <c r="R25">
        <f>Rich_Full!M24</f>
        <v>96</v>
      </c>
      <c r="S25">
        <f>Rich_Full!N24</f>
        <v>52</v>
      </c>
      <c r="T25">
        <f>Rich_Full!O24</f>
        <v>64</v>
      </c>
      <c r="U25">
        <f>Rich_Full!P24</f>
        <v>96</v>
      </c>
      <c r="W25">
        <f t="shared" si="0"/>
        <v>51.5</v>
      </c>
      <c r="X25">
        <f t="shared" si="1"/>
        <v>98</v>
      </c>
      <c r="Y25">
        <f t="shared" si="2"/>
        <v>99</v>
      </c>
      <c r="AA25">
        <f>Baserun_Full!AE24</f>
        <v>21</v>
      </c>
      <c r="AB25">
        <f>Baserun_Full!AF24</f>
        <v>51.166666666666664</v>
      </c>
      <c r="AC25">
        <f>Baserun_Full!AG24</f>
        <v>81.333333333333329</v>
      </c>
      <c r="AD25">
        <f>Baserun_Full!AH24</f>
        <v>55</v>
      </c>
      <c r="AE25">
        <f>Baserun_Full!AI24</f>
        <v>61</v>
      </c>
      <c r="AF25">
        <f>Baserun_Full!AJ24</f>
        <v>77.833333333333329</v>
      </c>
      <c r="AG25">
        <f>Aware_Full!AF24</f>
        <v>66.333333333333329</v>
      </c>
      <c r="AH25">
        <f>Aware_Full!AG24</f>
        <v>39.833333333333336</v>
      </c>
      <c r="AI25">
        <f>Aware_Full!AH24</f>
        <v>43.166666666666664</v>
      </c>
      <c r="AJ25">
        <f>Aware_Full!AI24</f>
        <v>47.833333333333336</v>
      </c>
      <c r="AK25">
        <f>Aware_Full!AJ24</f>
        <v>93.166666666666671</v>
      </c>
      <c r="AL25">
        <f>Learn_Full!AF24</f>
        <v>73.5</v>
      </c>
      <c r="AM25">
        <f>Learn_Full!AG24</f>
        <v>74.833333333333329</v>
      </c>
      <c r="AN25">
        <f>Learn_Full!AH24</f>
        <v>24</v>
      </c>
      <c r="AO25">
        <f>Learn_Full!AI24</f>
        <v>41.166666666666664</v>
      </c>
      <c r="AP25">
        <f>Learn_Full!AJ24</f>
        <v>71.833333333333329</v>
      </c>
      <c r="AQ25">
        <f>Rich_Full!AF24</f>
        <v>64.833333333333329</v>
      </c>
      <c r="AR25">
        <f>Rich_Full!AG24</f>
        <v>71.5</v>
      </c>
      <c r="AS25">
        <f>Rich_Full!AH24</f>
        <v>62.166666666666664</v>
      </c>
      <c r="AT25">
        <f>Rich_Full!AI24</f>
        <v>69.666666666666671</v>
      </c>
      <c r="AU25">
        <f>Rich_Full!AJ24</f>
        <v>65.333333333333329</v>
      </c>
      <c r="AW25">
        <f t="shared" si="3"/>
        <v>0.45500000000000002</v>
      </c>
      <c r="AX25">
        <f t="shared" si="4"/>
        <v>0.61</v>
      </c>
      <c r="AY25">
        <f t="shared" si="5"/>
        <v>0.74166666666666659</v>
      </c>
    </row>
    <row r="26" spans="1:51" x14ac:dyDescent="0.25">
      <c r="A26">
        <f>Baserun_Full!A25</f>
        <v>22</v>
      </c>
      <c r="B26">
        <f>Baserun_Full!L25</f>
        <v>100</v>
      </c>
      <c r="C26">
        <f>Baserun_Full!M25</f>
        <v>100</v>
      </c>
      <c r="D26">
        <f>Baserun_Full!N25</f>
        <v>62</v>
      </c>
      <c r="E26">
        <f>Baserun_Full!O25</f>
        <v>98</v>
      </c>
      <c r="F26">
        <f>Baserun_Full!P25</f>
        <v>40</v>
      </c>
      <c r="G26">
        <f>Aware_Full!L25</f>
        <v>100</v>
      </c>
      <c r="H26">
        <f>Aware_Full!M25</f>
        <v>99</v>
      </c>
      <c r="I26">
        <f>Aware_Full!N25</f>
        <v>96</v>
      </c>
      <c r="J26">
        <f>Aware_Full!O25</f>
        <v>100</v>
      </c>
      <c r="K26">
        <f>Aware_Full!P25</f>
        <v>99</v>
      </c>
      <c r="L26">
        <f>Learn_Full!L25</f>
        <v>99</v>
      </c>
      <c r="M26">
        <f>Learn_Full!M25</f>
        <v>13</v>
      </c>
      <c r="N26">
        <f>Learn_Full!N25</f>
        <v>98</v>
      </c>
      <c r="O26">
        <f>Learn_Full!O25</f>
        <v>95</v>
      </c>
      <c r="P26">
        <f>Learn_Full!P25</f>
        <v>97</v>
      </c>
      <c r="Q26">
        <f>Rich_Full!L25</f>
        <v>95</v>
      </c>
      <c r="R26">
        <f>Rich_Full!M25</f>
        <v>72</v>
      </c>
      <c r="S26">
        <f>Rich_Full!N25</f>
        <v>69</v>
      </c>
      <c r="T26">
        <f>Rich_Full!O25</f>
        <v>49</v>
      </c>
      <c r="U26">
        <f>Rich_Full!P25</f>
        <v>43</v>
      </c>
      <c r="W26">
        <f t="shared" si="0"/>
        <v>95.5</v>
      </c>
      <c r="X26">
        <f t="shared" si="1"/>
        <v>98</v>
      </c>
      <c r="Y26">
        <f t="shared" si="2"/>
        <v>99.5</v>
      </c>
      <c r="AA26">
        <f>Baserun_Full!AE25</f>
        <v>22</v>
      </c>
      <c r="AB26">
        <f>Baserun_Full!AF25</f>
        <v>58.5</v>
      </c>
      <c r="AC26">
        <f>Baserun_Full!AG25</f>
        <v>90.666666666666671</v>
      </c>
      <c r="AD26">
        <f>Baserun_Full!AH25</f>
        <v>59.666666666666664</v>
      </c>
      <c r="AE26">
        <f>Baserun_Full!AI25</f>
        <v>69.833333333333329</v>
      </c>
      <c r="AF26">
        <f>Baserun_Full!AJ25</f>
        <v>68.5</v>
      </c>
      <c r="AG26">
        <f>Aware_Full!AF25</f>
        <v>78.5</v>
      </c>
      <c r="AH26">
        <f>Aware_Full!AG25</f>
        <v>53</v>
      </c>
      <c r="AI26">
        <f>Aware_Full!AH25</f>
        <v>42.833333333333336</v>
      </c>
      <c r="AJ26">
        <f>Aware_Full!AI25</f>
        <v>59.5</v>
      </c>
      <c r="AK26">
        <f>Aware_Full!AJ25</f>
        <v>93.333333333333329</v>
      </c>
      <c r="AL26">
        <f>Learn_Full!AF25</f>
        <v>73.333333333333329</v>
      </c>
      <c r="AM26">
        <f>Learn_Full!AG25</f>
        <v>60.333333333333336</v>
      </c>
      <c r="AN26">
        <f>Learn_Full!AH25</f>
        <v>37.666666666666664</v>
      </c>
      <c r="AO26">
        <f>Learn_Full!AI25</f>
        <v>41.333333333333336</v>
      </c>
      <c r="AP26">
        <f>Learn_Full!AJ25</f>
        <v>85.333333333333329</v>
      </c>
      <c r="AQ26">
        <f>Rich_Full!AF25</f>
        <v>71.833333333333329</v>
      </c>
      <c r="AR26">
        <f>Rich_Full!AG25</f>
        <v>71.833333333333329</v>
      </c>
      <c r="AS26">
        <f>Rich_Full!AH25</f>
        <v>66.5</v>
      </c>
      <c r="AT26">
        <f>Rich_Full!AI25</f>
        <v>67.166666666666671</v>
      </c>
      <c r="AU26">
        <f>Rich_Full!AJ25</f>
        <v>65.333333333333329</v>
      </c>
      <c r="AW26">
        <f t="shared" si="3"/>
        <v>0.5575</v>
      </c>
      <c r="AX26">
        <f t="shared" si="4"/>
        <v>0.60333333333333339</v>
      </c>
      <c r="AY26">
        <f t="shared" si="5"/>
        <v>0.75916666666666655</v>
      </c>
    </row>
    <row r="27" spans="1:51" x14ac:dyDescent="0.25">
      <c r="A27">
        <f>Baserun_Full!A26</f>
        <v>23</v>
      </c>
      <c r="B27">
        <f>Baserun_Full!L26</f>
        <v>100</v>
      </c>
      <c r="C27">
        <f>Baserun_Full!M26</f>
        <v>100</v>
      </c>
      <c r="D27">
        <f>Baserun_Full!N26</f>
        <v>99</v>
      </c>
      <c r="E27">
        <f>Baserun_Full!O26</f>
        <v>35</v>
      </c>
      <c r="F27">
        <f>Baserun_Full!P26</f>
        <v>96</v>
      </c>
      <c r="G27">
        <f>Aware_Full!L26</f>
        <v>100</v>
      </c>
      <c r="H27">
        <f>Aware_Full!M26</f>
        <v>60</v>
      </c>
      <c r="I27">
        <f>Aware_Full!N26</f>
        <v>100</v>
      </c>
      <c r="J27">
        <f>Aware_Full!O26</f>
        <v>100</v>
      </c>
      <c r="K27">
        <f>Aware_Full!P26</f>
        <v>61</v>
      </c>
      <c r="L27">
        <f>Learn_Full!L26</f>
        <v>22</v>
      </c>
      <c r="M27">
        <f>Learn_Full!M26</f>
        <v>98</v>
      </c>
      <c r="N27">
        <f>Learn_Full!N26</f>
        <v>98</v>
      </c>
      <c r="O27">
        <f>Learn_Full!O26</f>
        <v>98</v>
      </c>
      <c r="P27">
        <f>Learn_Full!P26</f>
        <v>26</v>
      </c>
      <c r="Q27">
        <f>Rich_Full!L26</f>
        <v>100</v>
      </c>
      <c r="R27">
        <f>Rich_Full!M26</f>
        <v>76</v>
      </c>
      <c r="S27">
        <f>Rich_Full!N26</f>
        <v>71</v>
      </c>
      <c r="T27">
        <f>Rich_Full!O26</f>
        <v>70</v>
      </c>
      <c r="U27">
        <f>Rich_Full!P26</f>
        <v>65</v>
      </c>
      <c r="W27">
        <f t="shared" si="0"/>
        <v>60.5</v>
      </c>
      <c r="X27">
        <f t="shared" si="1"/>
        <v>98</v>
      </c>
      <c r="Y27">
        <f t="shared" si="2"/>
        <v>100</v>
      </c>
      <c r="AA27">
        <f>Baserun_Full!AE26</f>
        <v>23</v>
      </c>
      <c r="AB27">
        <f>Baserun_Full!AF26</f>
        <v>69.666666666666671</v>
      </c>
      <c r="AC27">
        <f>Baserun_Full!AG26</f>
        <v>90.833333333333329</v>
      </c>
      <c r="AD27">
        <f>Baserun_Full!AH26</f>
        <v>71</v>
      </c>
      <c r="AE27">
        <f>Baserun_Full!AI26</f>
        <v>70</v>
      </c>
      <c r="AF27">
        <f>Baserun_Full!AJ26</f>
        <v>79.5</v>
      </c>
      <c r="AG27">
        <f>Aware_Full!AF26</f>
        <v>86</v>
      </c>
      <c r="AH27">
        <f>Aware_Full!AG26</f>
        <v>59.166666666666664</v>
      </c>
      <c r="AI27">
        <f>Aware_Full!AH26</f>
        <v>53.666666666666664</v>
      </c>
      <c r="AJ27">
        <f>Aware_Full!AI26</f>
        <v>72</v>
      </c>
      <c r="AK27">
        <f>Aware_Full!AJ26</f>
        <v>86.833333333333329</v>
      </c>
      <c r="AL27">
        <f>Learn_Full!AF26</f>
        <v>60.333333333333336</v>
      </c>
      <c r="AM27">
        <f>Learn_Full!AG26</f>
        <v>60</v>
      </c>
      <c r="AN27">
        <f>Learn_Full!AH26</f>
        <v>53.666666666666664</v>
      </c>
      <c r="AO27">
        <f>Learn_Full!AI26</f>
        <v>41.166666666666664</v>
      </c>
      <c r="AP27">
        <f>Learn_Full!AJ26</f>
        <v>73.833333333333329</v>
      </c>
      <c r="AQ27">
        <f>Rich_Full!AF26</f>
        <v>80.833333333333329</v>
      </c>
      <c r="AR27">
        <f>Rich_Full!AG26</f>
        <v>77.166666666666671</v>
      </c>
      <c r="AS27">
        <f>Rich_Full!AH26</f>
        <v>67.666666666666671</v>
      </c>
      <c r="AT27">
        <f>Rich_Full!AI26</f>
        <v>68</v>
      </c>
      <c r="AU27">
        <f>Rich_Full!AJ26</f>
        <v>68</v>
      </c>
      <c r="AW27">
        <f t="shared" si="3"/>
        <v>0.59583333333333333</v>
      </c>
      <c r="AX27">
        <f t="shared" si="4"/>
        <v>0.7</v>
      </c>
      <c r="AY27">
        <f t="shared" si="5"/>
        <v>0.76666666666666661</v>
      </c>
    </row>
    <row r="28" spans="1:51" x14ac:dyDescent="0.25">
      <c r="A28">
        <f>Baserun_Full!A27</f>
        <v>24</v>
      </c>
      <c r="B28">
        <f>Baserun_Full!L27</f>
        <v>100</v>
      </c>
      <c r="C28">
        <f>Baserun_Full!M27</f>
        <v>100</v>
      </c>
      <c r="D28">
        <f>Baserun_Full!N27</f>
        <v>40</v>
      </c>
      <c r="E28">
        <f>Baserun_Full!O27</f>
        <v>98</v>
      </c>
      <c r="F28">
        <f>Baserun_Full!P27</f>
        <v>48</v>
      </c>
      <c r="G28">
        <f>Aware_Full!L27</f>
        <v>100</v>
      </c>
      <c r="H28">
        <f>Aware_Full!M27</f>
        <v>100</v>
      </c>
      <c r="I28">
        <f>Aware_Full!N27</f>
        <v>100</v>
      </c>
      <c r="J28">
        <f>Aware_Full!O27</f>
        <v>100</v>
      </c>
      <c r="K28">
        <f>Aware_Full!P27</f>
        <v>62</v>
      </c>
      <c r="L28">
        <f>Learn_Full!L27</f>
        <v>99</v>
      </c>
      <c r="M28">
        <f>Learn_Full!M27</f>
        <v>100</v>
      </c>
      <c r="N28">
        <f>Learn_Full!N27</f>
        <v>98</v>
      </c>
      <c r="O28">
        <f>Learn_Full!O27</f>
        <v>98</v>
      </c>
      <c r="P28">
        <f>Learn_Full!P27</f>
        <v>20</v>
      </c>
      <c r="Q28">
        <f>Rich_Full!L27</f>
        <v>100</v>
      </c>
      <c r="R28">
        <f>Rich_Full!M27</f>
        <v>95</v>
      </c>
      <c r="S28">
        <f>Rich_Full!N27</f>
        <v>94</v>
      </c>
      <c r="T28">
        <f>Rich_Full!O27</f>
        <v>63</v>
      </c>
      <c r="U28">
        <f>Rich_Full!P27</f>
        <v>95</v>
      </c>
      <c r="W28">
        <f t="shared" si="0"/>
        <v>80</v>
      </c>
      <c r="X28">
        <f t="shared" si="1"/>
        <v>99</v>
      </c>
      <c r="Y28">
        <f t="shared" si="2"/>
        <v>100</v>
      </c>
      <c r="AA28">
        <f>Baserun_Full!AE27</f>
        <v>24</v>
      </c>
      <c r="AB28">
        <f>Baserun_Full!AF27</f>
        <v>80.5</v>
      </c>
      <c r="AC28">
        <f>Baserun_Full!AG27</f>
        <v>91</v>
      </c>
      <c r="AD28">
        <f>Baserun_Full!AH27</f>
        <v>69</v>
      </c>
      <c r="AE28">
        <f>Baserun_Full!AI27</f>
        <v>79.5</v>
      </c>
      <c r="AF28">
        <f>Baserun_Full!AJ27</f>
        <v>71.166666666666671</v>
      </c>
      <c r="AG28">
        <f>Aware_Full!AF27</f>
        <v>93.166666666666671</v>
      </c>
      <c r="AH28">
        <f>Aware_Full!AG27</f>
        <v>72.5</v>
      </c>
      <c r="AI28">
        <f>Aware_Full!AH27</f>
        <v>62.833333333333336</v>
      </c>
      <c r="AJ28">
        <f>Aware_Full!AI27</f>
        <v>80</v>
      </c>
      <c r="AK28">
        <f>Aware_Full!AJ27</f>
        <v>80.5</v>
      </c>
      <c r="AL28">
        <f>Learn_Full!AF27</f>
        <v>60.166666666666664</v>
      </c>
      <c r="AM28">
        <f>Learn_Full!AG27</f>
        <v>60</v>
      </c>
      <c r="AN28">
        <f>Learn_Full!AH27</f>
        <v>67.833333333333329</v>
      </c>
      <c r="AO28">
        <f>Learn_Full!AI27</f>
        <v>55.666666666666664</v>
      </c>
      <c r="AP28">
        <f>Learn_Full!AJ27</f>
        <v>60.833333333333336</v>
      </c>
      <c r="AQ28">
        <f>Rich_Full!AF27</f>
        <v>89.333333333333329</v>
      </c>
      <c r="AR28">
        <f>Rich_Full!AG27</f>
        <v>81</v>
      </c>
      <c r="AS28">
        <f>Rich_Full!AH27</f>
        <v>74.5</v>
      </c>
      <c r="AT28">
        <f>Rich_Full!AI27</f>
        <v>62.333333333333336</v>
      </c>
      <c r="AU28">
        <f>Rich_Full!AJ27</f>
        <v>68.333333333333329</v>
      </c>
      <c r="AW28">
        <f t="shared" si="3"/>
        <v>0.6183333333333334</v>
      </c>
      <c r="AX28">
        <f t="shared" si="4"/>
        <v>0.71166666666666667</v>
      </c>
      <c r="AY28">
        <f t="shared" si="5"/>
        <v>0.80249999999999999</v>
      </c>
    </row>
    <row r="29" spans="1:51" x14ac:dyDescent="0.25">
      <c r="A29">
        <f>Baserun_Full!A28</f>
        <v>25</v>
      </c>
      <c r="B29">
        <f>Baserun_Full!L28</f>
        <v>100</v>
      </c>
      <c r="C29">
        <f>Baserun_Full!M28</f>
        <v>100</v>
      </c>
      <c r="D29">
        <f>Baserun_Full!N28</f>
        <v>99</v>
      </c>
      <c r="E29">
        <f>Baserun_Full!O28</f>
        <v>53</v>
      </c>
      <c r="F29">
        <f>Baserun_Full!P28</f>
        <v>40</v>
      </c>
      <c r="G29">
        <f>Aware_Full!L28</f>
        <v>60</v>
      </c>
      <c r="H29">
        <f>Aware_Full!M28</f>
        <v>26</v>
      </c>
      <c r="I29">
        <f>Aware_Full!N28</f>
        <v>99</v>
      </c>
      <c r="J29">
        <f>Aware_Full!O28</f>
        <v>100</v>
      </c>
      <c r="K29">
        <f>Aware_Full!P28</f>
        <v>98</v>
      </c>
      <c r="L29">
        <f>Learn_Full!L28</f>
        <v>99</v>
      </c>
      <c r="M29">
        <f>Learn_Full!M28</f>
        <v>10</v>
      </c>
      <c r="N29">
        <f>Learn_Full!N28</f>
        <v>17</v>
      </c>
      <c r="O29">
        <f>Learn_Full!O28</f>
        <v>98</v>
      </c>
      <c r="P29">
        <f>Learn_Full!P28</f>
        <v>97</v>
      </c>
      <c r="Q29">
        <f>Rich_Full!L28</f>
        <v>100</v>
      </c>
      <c r="R29">
        <f>Rich_Full!M28</f>
        <v>53</v>
      </c>
      <c r="S29">
        <f>Rich_Full!N28</f>
        <v>66</v>
      </c>
      <c r="T29">
        <f>Rich_Full!O28</f>
        <v>95</v>
      </c>
      <c r="U29">
        <f>Rich_Full!P28</f>
        <v>66</v>
      </c>
      <c r="W29">
        <f t="shared" si="0"/>
        <v>46.5</v>
      </c>
      <c r="X29">
        <f t="shared" si="1"/>
        <v>98</v>
      </c>
      <c r="Y29">
        <f t="shared" si="2"/>
        <v>99</v>
      </c>
      <c r="AA29">
        <f>Baserun_Full!AE28</f>
        <v>25</v>
      </c>
      <c r="AB29">
        <f>Baserun_Full!AF28</f>
        <v>91.5</v>
      </c>
      <c r="AC29">
        <f>Baserun_Full!AG28</f>
        <v>99.666666666666671</v>
      </c>
      <c r="AD29">
        <f>Baserun_Full!AH28</f>
        <v>76.333333333333329</v>
      </c>
      <c r="AE29">
        <f>Baserun_Full!AI28</f>
        <v>72.666666666666671</v>
      </c>
      <c r="AF29">
        <f>Baserun_Full!AJ28</f>
        <v>70.166666666666671</v>
      </c>
      <c r="AG29">
        <f>Aware_Full!AF28</f>
        <v>93.166666666666671</v>
      </c>
      <c r="AH29">
        <f>Aware_Full!AG28</f>
        <v>68.5</v>
      </c>
      <c r="AI29">
        <f>Aware_Full!AH28</f>
        <v>76</v>
      </c>
      <c r="AJ29">
        <f>Aware_Full!AI28</f>
        <v>92</v>
      </c>
      <c r="AK29">
        <f>Aware_Full!AJ28</f>
        <v>80.166666666666671</v>
      </c>
      <c r="AL29">
        <f>Learn_Full!AF28</f>
        <v>60</v>
      </c>
      <c r="AM29">
        <f>Learn_Full!AG28</f>
        <v>58.333333333333336</v>
      </c>
      <c r="AN29">
        <f>Learn_Full!AH28</f>
        <v>70.5</v>
      </c>
      <c r="AO29">
        <f>Learn_Full!AI28</f>
        <v>70.333333333333329</v>
      </c>
      <c r="AP29">
        <f>Learn_Full!AJ28</f>
        <v>60.666666666666664</v>
      </c>
      <c r="AQ29">
        <f>Rich_Full!AF28</f>
        <v>90.833333333333329</v>
      </c>
      <c r="AR29">
        <f>Rich_Full!AG28</f>
        <v>73.666666666666671</v>
      </c>
      <c r="AS29">
        <f>Rich_Full!AH28</f>
        <v>69.5</v>
      </c>
      <c r="AT29">
        <f>Rich_Full!AI28</f>
        <v>67.5</v>
      </c>
      <c r="AU29">
        <f>Rich_Full!AJ28</f>
        <v>68.166666666666671</v>
      </c>
      <c r="AW29">
        <f t="shared" si="3"/>
        <v>0.69333333333333347</v>
      </c>
      <c r="AX29">
        <f t="shared" si="4"/>
        <v>0.72666666666666668</v>
      </c>
      <c r="AY29">
        <f t="shared" si="5"/>
        <v>0.85833333333333339</v>
      </c>
    </row>
    <row r="30" spans="1:51" x14ac:dyDescent="0.25">
      <c r="A30">
        <f>Baserun_Full!A29</f>
        <v>26</v>
      </c>
      <c r="B30">
        <f>Baserun_Full!L29</f>
        <v>100</v>
      </c>
      <c r="C30">
        <f>Baserun_Full!M29</f>
        <v>100</v>
      </c>
      <c r="D30">
        <f>Baserun_Full!N29</f>
        <v>100</v>
      </c>
      <c r="E30">
        <f>Baserun_Full!O29</f>
        <v>38</v>
      </c>
      <c r="F30">
        <f>Baserun_Full!P29</f>
        <v>96</v>
      </c>
      <c r="G30">
        <f>Aware_Full!L29</f>
        <v>99</v>
      </c>
      <c r="H30">
        <f>Aware_Full!M29</f>
        <v>30</v>
      </c>
      <c r="I30">
        <f>Aware_Full!N29</f>
        <v>34</v>
      </c>
      <c r="J30">
        <f>Aware_Full!O29</f>
        <v>31</v>
      </c>
      <c r="K30">
        <f>Aware_Full!P29</f>
        <v>99</v>
      </c>
      <c r="L30">
        <f>Learn_Full!L29</f>
        <v>16</v>
      </c>
      <c r="M30">
        <f>Learn_Full!M29</f>
        <v>98</v>
      </c>
      <c r="N30">
        <f>Learn_Full!N29</f>
        <v>98</v>
      </c>
      <c r="O30">
        <f>Learn_Full!O29</f>
        <v>15</v>
      </c>
      <c r="P30">
        <f>Learn_Full!P29</f>
        <v>19</v>
      </c>
      <c r="Q30">
        <f>Rich_Full!L29</f>
        <v>100</v>
      </c>
      <c r="R30">
        <f>Rich_Full!M29</f>
        <v>96</v>
      </c>
      <c r="S30">
        <f>Rich_Full!N29</f>
        <v>50</v>
      </c>
      <c r="T30">
        <f>Rich_Full!O29</f>
        <v>48</v>
      </c>
      <c r="U30">
        <f>Rich_Full!P29</f>
        <v>97</v>
      </c>
      <c r="W30">
        <f t="shared" si="0"/>
        <v>30.5</v>
      </c>
      <c r="X30">
        <f t="shared" si="1"/>
        <v>96</v>
      </c>
      <c r="Y30">
        <f t="shared" si="2"/>
        <v>99</v>
      </c>
      <c r="AA30">
        <f>Baserun_Full!AE29</f>
        <v>26</v>
      </c>
      <c r="AB30">
        <f>Baserun_Full!AF29</f>
        <v>99.666666666666671</v>
      </c>
      <c r="AC30">
        <f>Baserun_Full!AG29</f>
        <v>99.833333333333329</v>
      </c>
      <c r="AD30">
        <f>Baserun_Full!AH29</f>
        <v>76.5</v>
      </c>
      <c r="AE30">
        <f>Baserun_Full!AI29</f>
        <v>70.166666666666671</v>
      </c>
      <c r="AF30">
        <f>Baserun_Full!AJ29</f>
        <v>69.666666666666671</v>
      </c>
      <c r="AG30">
        <f>Aware_Full!AF29</f>
        <v>93.166666666666671</v>
      </c>
      <c r="AH30">
        <f>Aware_Full!AG29</f>
        <v>69</v>
      </c>
      <c r="AI30">
        <f>Aware_Full!AH29</f>
        <v>78.833333333333329</v>
      </c>
      <c r="AJ30">
        <f>Aware_Full!AI29</f>
        <v>88</v>
      </c>
      <c r="AK30">
        <f>Aware_Full!AJ29</f>
        <v>86.333333333333329</v>
      </c>
      <c r="AL30">
        <f>Learn_Full!AF29</f>
        <v>59.666666666666664</v>
      </c>
      <c r="AM30">
        <f>Learn_Full!AG29</f>
        <v>69.666666666666671</v>
      </c>
      <c r="AN30">
        <f>Learn_Full!AH29</f>
        <v>84.333333333333329</v>
      </c>
      <c r="AO30">
        <f>Learn_Full!AI29</f>
        <v>70.5</v>
      </c>
      <c r="AP30">
        <f>Learn_Full!AJ29</f>
        <v>47.5</v>
      </c>
      <c r="AQ30">
        <f>Rich_Full!AF29</f>
        <v>98.833333333333329</v>
      </c>
      <c r="AR30">
        <f>Rich_Full!AG29</f>
        <v>81.333333333333329</v>
      </c>
      <c r="AS30">
        <f>Rich_Full!AH29</f>
        <v>67</v>
      </c>
      <c r="AT30">
        <f>Rich_Full!AI29</f>
        <v>64.833333333333329</v>
      </c>
      <c r="AU30">
        <f>Rich_Full!AJ29</f>
        <v>77</v>
      </c>
      <c r="AW30">
        <f t="shared" si="3"/>
        <v>0.69666666666666677</v>
      </c>
      <c r="AX30">
        <f t="shared" si="4"/>
        <v>0.76500000000000001</v>
      </c>
      <c r="AY30">
        <f t="shared" si="5"/>
        <v>0.87166666666666659</v>
      </c>
    </row>
    <row r="31" spans="1:51" x14ac:dyDescent="0.25">
      <c r="A31">
        <f>Baserun_Full!A30</f>
        <v>27</v>
      </c>
      <c r="B31">
        <f>Baserun_Full!L30</f>
        <v>100</v>
      </c>
      <c r="C31">
        <f>Baserun_Full!M30</f>
        <v>100</v>
      </c>
      <c r="D31">
        <f>Baserun_Full!N30</f>
        <v>56</v>
      </c>
      <c r="E31">
        <f>Baserun_Full!O30</f>
        <v>99</v>
      </c>
      <c r="F31">
        <f>Baserun_Full!P30</f>
        <v>35</v>
      </c>
      <c r="G31">
        <f>Aware_Full!L30</f>
        <v>100</v>
      </c>
      <c r="H31">
        <f>Aware_Full!M30</f>
        <v>59</v>
      </c>
      <c r="I31">
        <f>Aware_Full!N30</f>
        <v>96</v>
      </c>
      <c r="J31">
        <f>Aware_Full!O30</f>
        <v>58</v>
      </c>
      <c r="K31">
        <f>Aware_Full!P30</f>
        <v>100</v>
      </c>
      <c r="L31">
        <f>Learn_Full!L30</f>
        <v>95</v>
      </c>
      <c r="M31">
        <f>Learn_Full!M30</f>
        <v>100</v>
      </c>
      <c r="N31">
        <f>Learn_Full!N30</f>
        <v>99</v>
      </c>
      <c r="O31">
        <f>Learn_Full!O30</f>
        <v>14</v>
      </c>
      <c r="P31">
        <f>Learn_Full!P30</f>
        <v>96</v>
      </c>
      <c r="Q31">
        <f>Rich_Full!L30</f>
        <v>100</v>
      </c>
      <c r="R31">
        <f>Rich_Full!M30</f>
        <v>95</v>
      </c>
      <c r="S31">
        <f>Rich_Full!N30</f>
        <v>67</v>
      </c>
      <c r="T31">
        <f>Rich_Full!O30</f>
        <v>44</v>
      </c>
      <c r="U31">
        <f>Rich_Full!P30</f>
        <v>67</v>
      </c>
      <c r="W31">
        <f t="shared" si="0"/>
        <v>58.5</v>
      </c>
      <c r="X31">
        <f t="shared" si="1"/>
        <v>96</v>
      </c>
      <c r="Y31">
        <f t="shared" si="2"/>
        <v>100</v>
      </c>
      <c r="AA31">
        <f>Baserun_Full!AE30</f>
        <v>27</v>
      </c>
      <c r="AB31">
        <f>Baserun_Full!AF30</f>
        <v>100</v>
      </c>
      <c r="AC31">
        <f>Baserun_Full!AG30</f>
        <v>100</v>
      </c>
      <c r="AD31">
        <f>Baserun_Full!AH30</f>
        <v>76</v>
      </c>
      <c r="AE31">
        <f>Baserun_Full!AI30</f>
        <v>70.166666666666671</v>
      </c>
      <c r="AF31">
        <f>Baserun_Full!AJ30</f>
        <v>59.166666666666664</v>
      </c>
      <c r="AG31">
        <f>Aware_Full!AF30</f>
        <v>93.166666666666671</v>
      </c>
      <c r="AH31">
        <f>Aware_Full!AG30</f>
        <v>62.333333333333336</v>
      </c>
      <c r="AI31">
        <f>Aware_Full!AH30</f>
        <v>87.5</v>
      </c>
      <c r="AJ31">
        <f>Aware_Full!AI30</f>
        <v>81.5</v>
      </c>
      <c r="AK31">
        <f>Aware_Full!AJ30</f>
        <v>86.5</v>
      </c>
      <c r="AL31">
        <f>Learn_Full!AF30</f>
        <v>71.666666666666671</v>
      </c>
      <c r="AM31">
        <f>Learn_Full!AG30</f>
        <v>69.833333333333329</v>
      </c>
      <c r="AN31">
        <f>Learn_Full!AH30</f>
        <v>84.666666666666671</v>
      </c>
      <c r="AO31">
        <f>Learn_Full!AI30</f>
        <v>69.666666666666671</v>
      </c>
      <c r="AP31">
        <f>Learn_Full!AJ30</f>
        <v>59.166666666666664</v>
      </c>
      <c r="AQ31">
        <f>Rich_Full!AF30</f>
        <v>99.166666666666671</v>
      </c>
      <c r="AR31">
        <f>Rich_Full!AG30</f>
        <v>81.166666666666671</v>
      </c>
      <c r="AS31">
        <f>Rich_Full!AH30</f>
        <v>69.5</v>
      </c>
      <c r="AT31">
        <f>Rich_Full!AI30</f>
        <v>61.5</v>
      </c>
      <c r="AU31">
        <f>Rich_Full!AJ30</f>
        <v>72.166666666666671</v>
      </c>
      <c r="AW31">
        <f t="shared" si="3"/>
        <v>0.69750000000000001</v>
      </c>
      <c r="AX31">
        <f t="shared" si="4"/>
        <v>0.76</v>
      </c>
      <c r="AY31">
        <f t="shared" si="5"/>
        <v>0.87</v>
      </c>
    </row>
    <row r="32" spans="1:51" x14ac:dyDescent="0.25">
      <c r="A32">
        <f>Baserun_Full!A31</f>
        <v>28</v>
      </c>
      <c r="B32">
        <f>Baserun_Full!L31</f>
        <v>100</v>
      </c>
      <c r="C32">
        <f>Baserun_Full!M31</f>
        <v>100</v>
      </c>
      <c r="D32">
        <f>Baserun_Full!N31</f>
        <v>55</v>
      </c>
      <c r="E32">
        <f>Baserun_Full!O31</f>
        <v>53</v>
      </c>
      <c r="F32">
        <f>Baserun_Full!P31</f>
        <v>97</v>
      </c>
      <c r="G32">
        <f>Aware_Full!L31</f>
        <v>100</v>
      </c>
      <c r="H32">
        <f>Aware_Full!M31</f>
        <v>28</v>
      </c>
      <c r="I32">
        <f>Aware_Full!N31</f>
        <v>29</v>
      </c>
      <c r="J32">
        <f>Aware_Full!O31</f>
        <v>32</v>
      </c>
      <c r="K32">
        <f>Aware_Full!P31</f>
        <v>100</v>
      </c>
      <c r="L32">
        <f>Learn_Full!L31</f>
        <v>99</v>
      </c>
      <c r="M32">
        <f>Learn_Full!M31</f>
        <v>32</v>
      </c>
      <c r="N32">
        <f>Learn_Full!N31</f>
        <v>98</v>
      </c>
      <c r="O32">
        <f>Learn_Full!O31</f>
        <v>20</v>
      </c>
      <c r="P32">
        <f>Learn_Full!P31</f>
        <v>98</v>
      </c>
      <c r="Q32">
        <f>Rich_Full!L31</f>
        <v>100</v>
      </c>
      <c r="R32">
        <f>Rich_Full!M31</f>
        <v>100</v>
      </c>
      <c r="S32">
        <f>Rich_Full!N31</f>
        <v>72</v>
      </c>
      <c r="T32">
        <f>Rich_Full!O31</f>
        <v>49</v>
      </c>
      <c r="U32">
        <f>Rich_Full!P31</f>
        <v>67</v>
      </c>
      <c r="W32">
        <f t="shared" si="0"/>
        <v>32</v>
      </c>
      <c r="X32">
        <f t="shared" si="1"/>
        <v>97</v>
      </c>
      <c r="Y32">
        <f t="shared" si="2"/>
        <v>99.5</v>
      </c>
      <c r="AA32">
        <f>Baserun_Full!AE31</f>
        <v>28</v>
      </c>
      <c r="AB32">
        <f>Baserun_Full!AF31</f>
        <v>100</v>
      </c>
      <c r="AC32">
        <f>Baserun_Full!AG31</f>
        <v>100</v>
      </c>
      <c r="AD32">
        <f>Baserun_Full!AH31</f>
        <v>74.833333333333329</v>
      </c>
      <c r="AE32">
        <f>Baserun_Full!AI31</f>
        <v>62.666666666666664</v>
      </c>
      <c r="AF32">
        <f>Baserun_Full!AJ31</f>
        <v>68.666666666666671</v>
      </c>
      <c r="AG32">
        <f>Aware_Full!AF31</f>
        <v>93.166666666666671</v>
      </c>
      <c r="AH32">
        <f>Aware_Full!AG31</f>
        <v>50.5</v>
      </c>
      <c r="AI32">
        <f>Aware_Full!AH31</f>
        <v>76.333333333333329</v>
      </c>
      <c r="AJ32">
        <f>Aware_Full!AI31</f>
        <v>70.166666666666671</v>
      </c>
      <c r="AK32">
        <f>Aware_Full!AJ31</f>
        <v>86.666666666666671</v>
      </c>
      <c r="AL32">
        <f>Learn_Full!AF31</f>
        <v>71.666666666666671</v>
      </c>
      <c r="AM32">
        <f>Learn_Full!AG31</f>
        <v>73</v>
      </c>
      <c r="AN32">
        <f>Learn_Full!AH31</f>
        <v>84.666666666666671</v>
      </c>
      <c r="AO32">
        <f>Learn_Full!AI31</f>
        <v>57.166666666666664</v>
      </c>
      <c r="AP32">
        <f>Learn_Full!AJ31</f>
        <v>59.333333333333336</v>
      </c>
      <c r="AQ32">
        <f>Rich_Full!AF31</f>
        <v>100</v>
      </c>
      <c r="AR32">
        <f>Rich_Full!AG31</f>
        <v>85.833333333333329</v>
      </c>
      <c r="AS32">
        <f>Rich_Full!AH31</f>
        <v>70</v>
      </c>
      <c r="AT32">
        <f>Rich_Full!AI31</f>
        <v>61.5</v>
      </c>
      <c r="AU32">
        <f>Rich_Full!AJ31</f>
        <v>76.166666666666671</v>
      </c>
      <c r="AW32">
        <f t="shared" si="3"/>
        <v>0.65666666666666673</v>
      </c>
      <c r="AX32">
        <f t="shared" si="4"/>
        <v>0.73</v>
      </c>
      <c r="AY32">
        <f t="shared" si="5"/>
        <v>0.85666666666666669</v>
      </c>
    </row>
    <row r="33" spans="1:51" x14ac:dyDescent="0.25">
      <c r="A33">
        <f>Baserun_Full!A32</f>
        <v>29</v>
      </c>
      <c r="B33">
        <f>Baserun_Full!L32</f>
        <v>100</v>
      </c>
      <c r="C33">
        <f>Baserun_Full!M32</f>
        <v>100</v>
      </c>
      <c r="D33">
        <f>Baserun_Full!N32</f>
        <v>46</v>
      </c>
      <c r="E33">
        <f>Baserun_Full!O32</f>
        <v>99</v>
      </c>
      <c r="F33">
        <f>Baserun_Full!P32</f>
        <v>98</v>
      </c>
      <c r="G33">
        <f>Aware_Full!L32</f>
        <v>100</v>
      </c>
      <c r="H33">
        <f>Aware_Full!M32</f>
        <v>98</v>
      </c>
      <c r="I33">
        <f>Aware_Full!N32</f>
        <v>24</v>
      </c>
      <c r="J33">
        <f>Aware_Full!O32</f>
        <v>33</v>
      </c>
      <c r="K33">
        <f>Aware_Full!P32</f>
        <v>100</v>
      </c>
      <c r="L33">
        <f>Learn_Full!L32</f>
        <v>17</v>
      </c>
      <c r="M33">
        <f>Learn_Full!M32</f>
        <v>100</v>
      </c>
      <c r="N33">
        <f>Learn_Full!N32</f>
        <v>98</v>
      </c>
      <c r="O33">
        <f>Learn_Full!O32</f>
        <v>8</v>
      </c>
      <c r="P33">
        <f>Learn_Full!P32</f>
        <v>19</v>
      </c>
      <c r="Q33">
        <f>Rich_Full!L32</f>
        <v>100</v>
      </c>
      <c r="R33">
        <f>Rich_Full!M32</f>
        <v>100</v>
      </c>
      <c r="S33">
        <f>Rich_Full!N32</f>
        <v>70</v>
      </c>
      <c r="T33">
        <f>Rich_Full!O32</f>
        <v>47</v>
      </c>
      <c r="U33">
        <f>Rich_Full!P32</f>
        <v>95</v>
      </c>
      <c r="W33">
        <f t="shared" si="0"/>
        <v>28.5</v>
      </c>
      <c r="X33">
        <f t="shared" si="1"/>
        <v>98</v>
      </c>
      <c r="Y33">
        <f t="shared" si="2"/>
        <v>100</v>
      </c>
      <c r="AA33">
        <f>Baserun_Full!AE32</f>
        <v>29</v>
      </c>
      <c r="AB33">
        <f>Baserun_Full!AF32</f>
        <v>100</v>
      </c>
      <c r="AC33">
        <f>Baserun_Full!AG32</f>
        <v>100</v>
      </c>
      <c r="AD33">
        <f>Baserun_Full!AH32</f>
        <v>66</v>
      </c>
      <c r="AE33">
        <f>Baserun_Full!AI32</f>
        <v>73.333333333333329</v>
      </c>
      <c r="AF33">
        <f>Baserun_Full!AJ32</f>
        <v>69</v>
      </c>
      <c r="AG33">
        <f>Aware_Full!AF32</f>
        <v>93.166666666666671</v>
      </c>
      <c r="AH33">
        <f>Aware_Full!AG32</f>
        <v>56.833333333333336</v>
      </c>
      <c r="AI33">
        <f>Aware_Full!AH32</f>
        <v>63.666666666666664</v>
      </c>
      <c r="AJ33">
        <f>Aware_Full!AI32</f>
        <v>59</v>
      </c>
      <c r="AK33">
        <f>Aware_Full!AJ32</f>
        <v>93.166666666666671</v>
      </c>
      <c r="AL33">
        <f>Learn_Full!AF32</f>
        <v>70.833333333333329</v>
      </c>
      <c r="AM33">
        <f>Learn_Full!AG32</f>
        <v>73.333333333333329</v>
      </c>
      <c r="AN33">
        <f>Learn_Full!AH32</f>
        <v>84.666666666666671</v>
      </c>
      <c r="AO33">
        <f>Learn_Full!AI32</f>
        <v>42.166666666666664</v>
      </c>
      <c r="AP33">
        <f>Learn_Full!AJ32</f>
        <v>58.166666666666664</v>
      </c>
      <c r="AQ33">
        <f>Rich_Full!AF32</f>
        <v>100</v>
      </c>
      <c r="AR33">
        <f>Rich_Full!AG32</f>
        <v>89.833333333333329</v>
      </c>
      <c r="AS33">
        <f>Rich_Full!AH32</f>
        <v>69.833333333333329</v>
      </c>
      <c r="AT33">
        <f>Rich_Full!AI32</f>
        <v>57.666666666666664</v>
      </c>
      <c r="AU33">
        <f>Rich_Full!AJ32</f>
        <v>81.166666666666671</v>
      </c>
      <c r="AW33">
        <f t="shared" si="3"/>
        <v>0.61333333333333329</v>
      </c>
      <c r="AX33">
        <f t="shared" si="4"/>
        <v>0.70833333333333326</v>
      </c>
      <c r="AY33">
        <f t="shared" si="5"/>
        <v>0.88916666666666666</v>
      </c>
    </row>
    <row r="34" spans="1:51" x14ac:dyDescent="0.25">
      <c r="A34">
        <f>Baserun_Full!A33</f>
        <v>30</v>
      </c>
      <c r="B34">
        <f>Baserun_Full!L33</f>
        <v>100</v>
      </c>
      <c r="C34">
        <f>Baserun_Full!M33</f>
        <v>100</v>
      </c>
      <c r="D34">
        <f>Baserun_Full!N33</f>
        <v>40</v>
      </c>
      <c r="E34">
        <f>Baserun_Full!O33</f>
        <v>100</v>
      </c>
      <c r="F34">
        <f>Baserun_Full!P33</f>
        <v>31</v>
      </c>
      <c r="G34">
        <f>Aware_Full!L33</f>
        <v>100</v>
      </c>
      <c r="H34">
        <f>Aware_Full!M33</f>
        <v>100</v>
      </c>
      <c r="I34">
        <f>Aware_Full!N33</f>
        <v>28</v>
      </c>
      <c r="J34">
        <f>Aware_Full!O33</f>
        <v>97</v>
      </c>
      <c r="K34">
        <f>Aware_Full!P33</f>
        <v>100</v>
      </c>
      <c r="L34">
        <f>Learn_Full!L33</f>
        <v>98</v>
      </c>
      <c r="M34">
        <f>Learn_Full!M33</f>
        <v>32</v>
      </c>
      <c r="N34">
        <f>Learn_Full!N33</f>
        <v>18</v>
      </c>
      <c r="O34">
        <f>Learn_Full!O33</f>
        <v>94</v>
      </c>
      <c r="P34">
        <f>Learn_Full!P33</f>
        <v>97</v>
      </c>
      <c r="Q34">
        <f>Rich_Full!L33</f>
        <v>100</v>
      </c>
      <c r="R34">
        <f>Rich_Full!M33</f>
        <v>100</v>
      </c>
      <c r="S34">
        <f>Rich_Full!N33</f>
        <v>66</v>
      </c>
      <c r="T34">
        <f>Rich_Full!O33</f>
        <v>94</v>
      </c>
      <c r="U34">
        <f>Rich_Full!P33</f>
        <v>68</v>
      </c>
      <c r="W34">
        <f t="shared" si="0"/>
        <v>36</v>
      </c>
      <c r="X34">
        <f t="shared" si="1"/>
        <v>97</v>
      </c>
      <c r="Y34">
        <f t="shared" si="2"/>
        <v>100</v>
      </c>
      <c r="AA34">
        <f>Baserun_Full!AE33</f>
        <v>30</v>
      </c>
      <c r="AB34">
        <f>Baserun_Full!AF33</f>
        <v>100</v>
      </c>
      <c r="AC34">
        <f>Baserun_Full!AG33</f>
        <v>100</v>
      </c>
      <c r="AD34">
        <f>Baserun_Full!AH33</f>
        <v>66</v>
      </c>
      <c r="AE34">
        <f>Baserun_Full!AI33</f>
        <v>73.666666666666671</v>
      </c>
      <c r="AF34">
        <f>Baserun_Full!AJ33</f>
        <v>66.166666666666671</v>
      </c>
      <c r="AG34">
        <f>Aware_Full!AF33</f>
        <v>93.166666666666671</v>
      </c>
      <c r="AH34">
        <f>Aware_Full!AG33</f>
        <v>56.833333333333336</v>
      </c>
      <c r="AI34">
        <f>Aware_Full!AH33</f>
        <v>51.666666666666664</v>
      </c>
      <c r="AJ34">
        <f>Aware_Full!AI33</f>
        <v>58.5</v>
      </c>
      <c r="AK34">
        <f>Aware_Full!AJ33</f>
        <v>99.5</v>
      </c>
      <c r="AL34">
        <f>Learn_Full!AF33</f>
        <v>70.666666666666671</v>
      </c>
      <c r="AM34">
        <f>Learn_Full!AG33</f>
        <v>62</v>
      </c>
      <c r="AN34">
        <f>Learn_Full!AH33</f>
        <v>71.333333333333329</v>
      </c>
      <c r="AO34">
        <f>Learn_Full!AI33</f>
        <v>41.5</v>
      </c>
      <c r="AP34">
        <f>Learn_Full!AJ33</f>
        <v>71</v>
      </c>
      <c r="AQ34">
        <f>Rich_Full!AF33</f>
        <v>100</v>
      </c>
      <c r="AR34">
        <f>Rich_Full!AG33</f>
        <v>90.666666666666671</v>
      </c>
      <c r="AS34">
        <f>Rich_Full!AH33</f>
        <v>65.166666666666671</v>
      </c>
      <c r="AT34">
        <f>Rich_Full!AI33</f>
        <v>62.833333333333336</v>
      </c>
      <c r="AU34">
        <f>Rich_Full!AJ33</f>
        <v>76.666666666666671</v>
      </c>
      <c r="AW34">
        <f t="shared" si="3"/>
        <v>0.60250000000000004</v>
      </c>
      <c r="AX34">
        <f t="shared" si="4"/>
        <v>0.70666666666666667</v>
      </c>
      <c r="AY34">
        <f t="shared" si="5"/>
        <v>0.83416666666666672</v>
      </c>
    </row>
    <row r="35" spans="1:51" x14ac:dyDescent="0.25">
      <c r="A35">
        <f>Baserun_Full!A34</f>
        <v>31</v>
      </c>
      <c r="B35">
        <f>Baserun_Full!L34</f>
        <v>100</v>
      </c>
      <c r="C35">
        <f>Baserun_Full!M34</f>
        <v>100</v>
      </c>
      <c r="D35">
        <f>Baserun_Full!N34</f>
        <v>97</v>
      </c>
      <c r="E35">
        <f>Baserun_Full!O34</f>
        <v>52</v>
      </c>
      <c r="F35">
        <f>Baserun_Full!P34</f>
        <v>98</v>
      </c>
      <c r="G35">
        <f>Aware_Full!L34</f>
        <v>62</v>
      </c>
      <c r="H35">
        <f>Aware_Full!M34</f>
        <v>100</v>
      </c>
      <c r="I35">
        <f>Aware_Full!N34</f>
        <v>20</v>
      </c>
      <c r="J35">
        <f>Aware_Full!O34</f>
        <v>60</v>
      </c>
      <c r="K35">
        <f>Aware_Full!P34</f>
        <v>100</v>
      </c>
      <c r="L35">
        <f>Learn_Full!L34</f>
        <v>100</v>
      </c>
      <c r="M35">
        <f>Learn_Full!M34</f>
        <v>13</v>
      </c>
      <c r="N35">
        <f>Learn_Full!N34</f>
        <v>5</v>
      </c>
      <c r="O35">
        <f>Learn_Full!O34</f>
        <v>98</v>
      </c>
      <c r="P35">
        <f>Learn_Full!P34</f>
        <v>20</v>
      </c>
      <c r="Q35">
        <f>Rich_Full!L34</f>
        <v>100</v>
      </c>
      <c r="R35">
        <f>Rich_Full!M34</f>
        <v>100</v>
      </c>
      <c r="S35">
        <f>Rich_Full!N34</f>
        <v>95</v>
      </c>
      <c r="T35">
        <f>Rich_Full!O34</f>
        <v>94</v>
      </c>
      <c r="U35">
        <f>Rich_Full!P34</f>
        <v>98</v>
      </c>
      <c r="W35">
        <f t="shared" si="0"/>
        <v>36</v>
      </c>
      <c r="X35">
        <f t="shared" si="1"/>
        <v>97</v>
      </c>
      <c r="Y35">
        <f t="shared" si="2"/>
        <v>100</v>
      </c>
      <c r="AA35">
        <f>Baserun_Full!AE34</f>
        <v>31</v>
      </c>
      <c r="AB35">
        <f>Baserun_Full!AF34</f>
        <v>100</v>
      </c>
      <c r="AC35">
        <f>Baserun_Full!AG34</f>
        <v>100</v>
      </c>
      <c r="AD35">
        <f>Baserun_Full!AH34</f>
        <v>65.666666666666671</v>
      </c>
      <c r="AE35">
        <f>Baserun_Full!AI34</f>
        <v>73.5</v>
      </c>
      <c r="AF35">
        <f>Baserun_Full!AJ34</f>
        <v>75.833333333333329</v>
      </c>
      <c r="AG35">
        <f>Aware_Full!AF34</f>
        <v>93.5</v>
      </c>
      <c r="AH35">
        <f>Aware_Full!AG34</f>
        <v>69.166666666666671</v>
      </c>
      <c r="AI35">
        <f>Aware_Full!AH34</f>
        <v>38.5</v>
      </c>
      <c r="AJ35">
        <f>Aware_Full!AI34</f>
        <v>51.833333333333336</v>
      </c>
      <c r="AK35">
        <f>Aware_Full!AJ34</f>
        <v>99.833333333333329</v>
      </c>
      <c r="AL35">
        <f>Learn_Full!AF34</f>
        <v>70.833333333333329</v>
      </c>
      <c r="AM35">
        <f>Learn_Full!AG34</f>
        <v>62.5</v>
      </c>
      <c r="AN35">
        <f>Learn_Full!AH34</f>
        <v>69.333333333333329</v>
      </c>
      <c r="AO35">
        <f>Learn_Full!AI34</f>
        <v>41.5</v>
      </c>
      <c r="AP35">
        <f>Learn_Full!AJ34</f>
        <v>58.166666666666664</v>
      </c>
      <c r="AQ35">
        <f>Rich_Full!AF34</f>
        <v>100</v>
      </c>
      <c r="AR35">
        <f>Rich_Full!AG34</f>
        <v>98.5</v>
      </c>
      <c r="AS35">
        <f>Rich_Full!AH34</f>
        <v>70</v>
      </c>
      <c r="AT35">
        <f>Rich_Full!AI34</f>
        <v>62.666666666666664</v>
      </c>
      <c r="AU35">
        <f>Rich_Full!AJ34</f>
        <v>82</v>
      </c>
      <c r="AW35">
        <f t="shared" si="3"/>
        <v>0.60333333333333328</v>
      </c>
      <c r="AX35">
        <f t="shared" si="4"/>
        <v>0.69333333333333325</v>
      </c>
      <c r="AY35">
        <f t="shared" si="5"/>
        <v>0.84666666666666657</v>
      </c>
    </row>
    <row r="36" spans="1:51" x14ac:dyDescent="0.25">
      <c r="A36">
        <f>Baserun_Full!A35</f>
        <v>32</v>
      </c>
      <c r="B36">
        <f>Baserun_Full!L35</f>
        <v>100</v>
      </c>
      <c r="C36">
        <f>Baserun_Full!M35</f>
        <v>100</v>
      </c>
      <c r="D36">
        <f>Baserun_Full!N35</f>
        <v>97</v>
      </c>
      <c r="E36">
        <f>Baserun_Full!O35</f>
        <v>99</v>
      </c>
      <c r="F36">
        <f>Baserun_Full!P35</f>
        <v>29</v>
      </c>
      <c r="G36">
        <f>Aware_Full!L35</f>
        <v>99</v>
      </c>
      <c r="H36">
        <f>Aware_Full!M35</f>
        <v>98</v>
      </c>
      <c r="I36">
        <f>Aware_Full!N35</f>
        <v>52</v>
      </c>
      <c r="J36">
        <f>Aware_Full!O35</f>
        <v>100</v>
      </c>
      <c r="K36">
        <f>Aware_Full!P35</f>
        <v>100</v>
      </c>
      <c r="L36">
        <f>Learn_Full!L35</f>
        <v>18</v>
      </c>
      <c r="M36">
        <f>Learn_Full!M35</f>
        <v>98</v>
      </c>
      <c r="N36">
        <f>Learn_Full!N35</f>
        <v>97</v>
      </c>
      <c r="O36">
        <f>Learn_Full!O35</f>
        <v>98</v>
      </c>
      <c r="P36">
        <f>Learn_Full!P35</f>
        <v>18</v>
      </c>
      <c r="Q36">
        <f>Rich_Full!L35</f>
        <v>100</v>
      </c>
      <c r="R36">
        <f>Rich_Full!M35</f>
        <v>100</v>
      </c>
      <c r="S36">
        <f>Rich_Full!N35</f>
        <v>95</v>
      </c>
      <c r="T36">
        <f>Rich_Full!O35</f>
        <v>66</v>
      </c>
      <c r="U36">
        <f>Rich_Full!P35</f>
        <v>67</v>
      </c>
      <c r="W36">
        <f t="shared" si="0"/>
        <v>74.5</v>
      </c>
      <c r="X36">
        <f t="shared" si="1"/>
        <v>98</v>
      </c>
      <c r="Y36">
        <f t="shared" si="2"/>
        <v>99.5</v>
      </c>
      <c r="AA36">
        <f>Baserun_Full!AE35</f>
        <v>32</v>
      </c>
      <c r="AB36">
        <f>Baserun_Full!AF35</f>
        <v>100</v>
      </c>
      <c r="AC36">
        <f>Baserun_Full!AG35</f>
        <v>100</v>
      </c>
      <c r="AD36">
        <f>Baserun_Full!AH35</f>
        <v>65.166666666666671</v>
      </c>
      <c r="AE36">
        <f>Baserun_Full!AI35</f>
        <v>83.666666666666671</v>
      </c>
      <c r="AF36">
        <f>Baserun_Full!AJ35</f>
        <v>64.666666666666671</v>
      </c>
      <c r="AG36">
        <f>Aware_Full!AF35</f>
        <v>93.5</v>
      </c>
      <c r="AH36">
        <f>Aware_Full!AG35</f>
        <v>80.5</v>
      </c>
      <c r="AI36">
        <f>Aware_Full!AH35</f>
        <v>41.5</v>
      </c>
      <c r="AJ36">
        <f>Aware_Full!AI35</f>
        <v>63.333333333333336</v>
      </c>
      <c r="AK36">
        <f>Aware_Full!AJ35</f>
        <v>100</v>
      </c>
      <c r="AL36">
        <f>Learn_Full!AF35</f>
        <v>71.166666666666671</v>
      </c>
      <c r="AM36">
        <f>Learn_Full!AG35</f>
        <v>62.5</v>
      </c>
      <c r="AN36">
        <f>Learn_Full!AH35</f>
        <v>69.166666666666671</v>
      </c>
      <c r="AO36">
        <f>Learn_Full!AI35</f>
        <v>55.333333333333336</v>
      </c>
      <c r="AP36">
        <f>Learn_Full!AJ35</f>
        <v>58</v>
      </c>
      <c r="AQ36">
        <f>Rich_Full!AF35</f>
        <v>100</v>
      </c>
      <c r="AR36">
        <f>Rich_Full!AG35</f>
        <v>99.166666666666671</v>
      </c>
      <c r="AS36">
        <f>Rich_Full!AH35</f>
        <v>77.5</v>
      </c>
      <c r="AT36">
        <f>Rich_Full!AI35</f>
        <v>65.666666666666671</v>
      </c>
      <c r="AU36">
        <f>Rich_Full!AJ35</f>
        <v>77</v>
      </c>
      <c r="AW36">
        <f t="shared" si="3"/>
        <v>0.62916666666666676</v>
      </c>
      <c r="AX36">
        <f t="shared" si="4"/>
        <v>0.69166666666666676</v>
      </c>
      <c r="AY36">
        <f t="shared" si="5"/>
        <v>0.88583333333333347</v>
      </c>
    </row>
    <row r="37" spans="1:51" x14ac:dyDescent="0.25">
      <c r="A37">
        <f>Baserun_Full!A36</f>
        <v>33</v>
      </c>
      <c r="B37">
        <f>Baserun_Full!L36</f>
        <v>100</v>
      </c>
      <c r="C37">
        <f>Baserun_Full!M36</f>
        <v>100</v>
      </c>
      <c r="D37">
        <f>Baserun_Full!N36</f>
        <v>100</v>
      </c>
      <c r="E37">
        <f>Baserun_Full!O36</f>
        <v>99</v>
      </c>
      <c r="F37">
        <f>Baserun_Full!P36</f>
        <v>29</v>
      </c>
      <c r="G37">
        <f>Aware_Full!L36</f>
        <v>57</v>
      </c>
      <c r="H37">
        <f>Aware_Full!M36</f>
        <v>29</v>
      </c>
      <c r="I37">
        <f>Aware_Full!N36</f>
        <v>48</v>
      </c>
      <c r="J37">
        <f>Aware_Full!O36</f>
        <v>100</v>
      </c>
      <c r="K37">
        <f>Aware_Full!P36</f>
        <v>100</v>
      </c>
      <c r="L37">
        <f>Learn_Full!L36</f>
        <v>97</v>
      </c>
      <c r="M37">
        <f>Learn_Full!M36</f>
        <v>28</v>
      </c>
      <c r="N37">
        <f>Learn_Full!N36</f>
        <v>20</v>
      </c>
      <c r="O37">
        <f>Learn_Full!O36</f>
        <v>98</v>
      </c>
      <c r="P37">
        <f>Learn_Full!P36</f>
        <v>93</v>
      </c>
      <c r="Q37">
        <f>Rich_Full!L36</f>
        <v>100</v>
      </c>
      <c r="R37">
        <f>Rich_Full!M36</f>
        <v>100</v>
      </c>
      <c r="S37">
        <f>Rich_Full!N36</f>
        <v>100</v>
      </c>
      <c r="T37">
        <f>Rich_Full!O36</f>
        <v>98</v>
      </c>
      <c r="U37">
        <f>Rich_Full!P36</f>
        <v>98</v>
      </c>
      <c r="W37">
        <f t="shared" si="0"/>
        <v>38.5</v>
      </c>
      <c r="X37">
        <f t="shared" si="1"/>
        <v>97</v>
      </c>
      <c r="Y37">
        <f t="shared" si="2"/>
        <v>100</v>
      </c>
      <c r="AA37">
        <f>Baserun_Full!AE36</f>
        <v>33</v>
      </c>
      <c r="AB37">
        <f>Baserun_Full!AF36</f>
        <v>100</v>
      </c>
      <c r="AC37">
        <f>Baserun_Full!AG36</f>
        <v>100</v>
      </c>
      <c r="AD37">
        <f>Baserun_Full!AH36</f>
        <v>72.5</v>
      </c>
      <c r="AE37">
        <f>Baserun_Full!AI36</f>
        <v>83.666666666666671</v>
      </c>
      <c r="AF37">
        <f>Baserun_Full!AJ36</f>
        <v>63.666666666666664</v>
      </c>
      <c r="AG37">
        <f>Aware_Full!AF36</f>
        <v>86.333333333333329</v>
      </c>
      <c r="AH37">
        <f>Aware_Full!AG36</f>
        <v>75.5</v>
      </c>
      <c r="AI37">
        <f>Aware_Full!AH36</f>
        <v>33.5</v>
      </c>
      <c r="AJ37">
        <f>Aware_Full!AI36</f>
        <v>70.333333333333329</v>
      </c>
      <c r="AK37">
        <f>Aware_Full!AJ36</f>
        <v>100</v>
      </c>
      <c r="AL37">
        <f>Learn_Full!AF36</f>
        <v>71.5</v>
      </c>
      <c r="AM37">
        <f>Learn_Full!AG36</f>
        <v>50.5</v>
      </c>
      <c r="AN37">
        <f>Learn_Full!AH36</f>
        <v>56</v>
      </c>
      <c r="AO37">
        <f>Learn_Full!AI36</f>
        <v>69.333333333333329</v>
      </c>
      <c r="AP37">
        <f>Learn_Full!AJ36</f>
        <v>57.5</v>
      </c>
      <c r="AQ37">
        <f>Rich_Full!AF36</f>
        <v>100</v>
      </c>
      <c r="AR37">
        <f>Rich_Full!AG36</f>
        <v>100</v>
      </c>
      <c r="AS37">
        <f>Rich_Full!AH36</f>
        <v>83</v>
      </c>
      <c r="AT37">
        <f>Rich_Full!AI36</f>
        <v>74.666666666666671</v>
      </c>
      <c r="AU37">
        <f>Rich_Full!AJ36</f>
        <v>82.166666666666671</v>
      </c>
      <c r="AW37">
        <f t="shared" si="3"/>
        <v>0.60583333333333333</v>
      </c>
      <c r="AX37">
        <f t="shared" si="4"/>
        <v>0.71499999999999997</v>
      </c>
      <c r="AY37">
        <f t="shared" si="5"/>
        <v>0.85</v>
      </c>
    </row>
    <row r="38" spans="1:51" x14ac:dyDescent="0.25">
      <c r="A38">
        <f>Baserun_Full!A37</f>
        <v>34</v>
      </c>
      <c r="B38">
        <f>Baserun_Full!L37</f>
        <v>100</v>
      </c>
      <c r="C38">
        <f>Baserun_Full!M37</f>
        <v>100</v>
      </c>
      <c r="D38">
        <f>Baserun_Full!N37</f>
        <v>100</v>
      </c>
      <c r="E38">
        <f>Baserun_Full!O37</f>
        <v>50</v>
      </c>
      <c r="F38">
        <f>Baserun_Full!P37</f>
        <v>98</v>
      </c>
      <c r="G38">
        <f>Aware_Full!L37</f>
        <v>55</v>
      </c>
      <c r="H38">
        <f>Aware_Full!M37</f>
        <v>34</v>
      </c>
      <c r="I38">
        <f>Aware_Full!N37</f>
        <v>98</v>
      </c>
      <c r="J38">
        <f>Aware_Full!O37</f>
        <v>31</v>
      </c>
      <c r="K38">
        <f>Aware_Full!P37</f>
        <v>100</v>
      </c>
      <c r="L38">
        <f>Learn_Full!L37</f>
        <v>15</v>
      </c>
      <c r="M38">
        <f>Learn_Full!M37</f>
        <v>99</v>
      </c>
      <c r="N38">
        <f>Learn_Full!N37</f>
        <v>97</v>
      </c>
      <c r="O38">
        <f>Learn_Full!O37</f>
        <v>98</v>
      </c>
      <c r="P38">
        <f>Learn_Full!P37</f>
        <v>21</v>
      </c>
      <c r="Q38">
        <f>Rich_Full!L37</f>
        <v>100</v>
      </c>
      <c r="R38">
        <f>Rich_Full!M37</f>
        <v>100</v>
      </c>
      <c r="S38">
        <f>Rich_Full!N37</f>
        <v>100</v>
      </c>
      <c r="T38">
        <f>Rich_Full!O37</f>
        <v>96</v>
      </c>
      <c r="U38">
        <f>Rich_Full!P37</f>
        <v>97</v>
      </c>
      <c r="W38">
        <f t="shared" si="0"/>
        <v>42</v>
      </c>
      <c r="X38">
        <f t="shared" si="1"/>
        <v>98</v>
      </c>
      <c r="Y38">
        <f t="shared" si="2"/>
        <v>99.5</v>
      </c>
      <c r="AA38">
        <f>Baserun_Full!AE37</f>
        <v>34</v>
      </c>
      <c r="AB38">
        <f>Baserun_Full!AF37</f>
        <v>100</v>
      </c>
      <c r="AC38">
        <f>Baserun_Full!AG37</f>
        <v>100</v>
      </c>
      <c r="AD38">
        <f>Baserun_Full!AH37</f>
        <v>80</v>
      </c>
      <c r="AE38">
        <f>Baserun_Full!AI37</f>
        <v>83.166666666666671</v>
      </c>
      <c r="AF38">
        <f>Baserun_Full!AJ37</f>
        <v>63.833333333333336</v>
      </c>
      <c r="AG38">
        <f>Aware_Full!AF37</f>
        <v>78.833333333333329</v>
      </c>
      <c r="AH38">
        <f>Aware_Full!AG37</f>
        <v>76.5</v>
      </c>
      <c r="AI38">
        <f>Aware_Full!AH37</f>
        <v>45</v>
      </c>
      <c r="AJ38">
        <f>Aware_Full!AI37</f>
        <v>70.166666666666671</v>
      </c>
      <c r="AK38">
        <f>Aware_Full!AJ37</f>
        <v>100</v>
      </c>
      <c r="AL38">
        <f>Learn_Full!AF37</f>
        <v>57.5</v>
      </c>
      <c r="AM38">
        <f>Learn_Full!AG37</f>
        <v>61.666666666666664</v>
      </c>
      <c r="AN38">
        <f>Learn_Full!AH37</f>
        <v>55.833333333333336</v>
      </c>
      <c r="AO38">
        <f>Learn_Full!AI37</f>
        <v>82.333333333333329</v>
      </c>
      <c r="AP38">
        <f>Learn_Full!AJ37</f>
        <v>44.666666666666664</v>
      </c>
      <c r="AQ38">
        <f>Rich_Full!AF37</f>
        <v>100</v>
      </c>
      <c r="AR38">
        <f>Rich_Full!AG37</f>
        <v>100</v>
      </c>
      <c r="AS38">
        <f>Rich_Full!AH37</f>
        <v>87.666666666666671</v>
      </c>
      <c r="AT38">
        <f>Rich_Full!AI37</f>
        <v>82.5</v>
      </c>
      <c r="AU38">
        <f>Rich_Full!AJ37</f>
        <v>87.166666666666671</v>
      </c>
      <c r="AW38">
        <f t="shared" si="3"/>
        <v>0.59583333333333333</v>
      </c>
      <c r="AX38">
        <f t="shared" si="4"/>
        <v>0.76500000000000001</v>
      </c>
      <c r="AY38">
        <f t="shared" si="5"/>
        <v>0.82750000000000001</v>
      </c>
    </row>
    <row r="39" spans="1:51" x14ac:dyDescent="0.25">
      <c r="A39">
        <f>Baserun_Full!A38</f>
        <v>35</v>
      </c>
      <c r="B39">
        <f>Baserun_Full!L38</f>
        <v>100</v>
      </c>
      <c r="C39">
        <f>Baserun_Full!M38</f>
        <v>100</v>
      </c>
      <c r="D39">
        <f>Baserun_Full!N38</f>
        <v>100</v>
      </c>
      <c r="E39">
        <f>Baserun_Full!O38</f>
        <v>99</v>
      </c>
      <c r="F39">
        <f>Baserun_Full!P38</f>
        <v>30</v>
      </c>
      <c r="G39">
        <f>Aware_Full!L38</f>
        <v>32</v>
      </c>
      <c r="H39">
        <f>Aware_Full!M38</f>
        <v>31</v>
      </c>
      <c r="I39">
        <f>Aware_Full!N38</f>
        <v>99</v>
      </c>
      <c r="J39">
        <f>Aware_Full!O38</f>
        <v>56</v>
      </c>
      <c r="K39">
        <f>Aware_Full!P38</f>
        <v>100</v>
      </c>
      <c r="L39">
        <f>Learn_Full!L38</f>
        <v>19</v>
      </c>
      <c r="M39">
        <f>Learn_Full!M38</f>
        <v>100</v>
      </c>
      <c r="N39">
        <f>Learn_Full!N38</f>
        <v>98</v>
      </c>
      <c r="O39">
        <f>Learn_Full!O38</f>
        <v>14</v>
      </c>
      <c r="P39">
        <f>Learn_Full!P38</f>
        <v>96</v>
      </c>
      <c r="Q39">
        <f>Rich_Full!L38</f>
        <v>100</v>
      </c>
      <c r="R39">
        <f>Rich_Full!M38</f>
        <v>100</v>
      </c>
      <c r="S39">
        <f>Rich_Full!N38</f>
        <v>100</v>
      </c>
      <c r="T39">
        <f>Rich_Full!O38</f>
        <v>50</v>
      </c>
      <c r="U39">
        <f>Rich_Full!P38</f>
        <v>100</v>
      </c>
      <c r="W39">
        <f t="shared" si="0"/>
        <v>31.5</v>
      </c>
      <c r="X39">
        <f t="shared" si="1"/>
        <v>98</v>
      </c>
      <c r="Y39">
        <f t="shared" si="2"/>
        <v>100</v>
      </c>
      <c r="AA39">
        <f>Baserun_Full!AE38</f>
        <v>35</v>
      </c>
      <c r="AB39">
        <f>Baserun_Full!AF38</f>
        <v>100</v>
      </c>
      <c r="AC39">
        <f>Baserun_Full!AG38</f>
        <v>100</v>
      </c>
      <c r="AD39">
        <f>Baserun_Full!AH38</f>
        <v>89</v>
      </c>
      <c r="AE39">
        <f>Baserun_Full!AI38</f>
        <v>83.166666666666671</v>
      </c>
      <c r="AF39">
        <f>Baserun_Full!AJ38</f>
        <v>52.5</v>
      </c>
      <c r="AG39">
        <f>Aware_Full!AF38</f>
        <v>67.5</v>
      </c>
      <c r="AH39">
        <f>Aware_Full!AG38</f>
        <v>65.333333333333329</v>
      </c>
      <c r="AI39">
        <f>Aware_Full!AH38</f>
        <v>57.5</v>
      </c>
      <c r="AJ39">
        <f>Aware_Full!AI38</f>
        <v>74</v>
      </c>
      <c r="AK39">
        <f>Aware_Full!AJ38</f>
        <v>100</v>
      </c>
      <c r="AL39">
        <f>Learn_Full!AF38</f>
        <v>57.833333333333336</v>
      </c>
      <c r="AM39">
        <f>Learn_Full!AG38</f>
        <v>61.666666666666664</v>
      </c>
      <c r="AN39">
        <f>Learn_Full!AH38</f>
        <v>55.833333333333336</v>
      </c>
      <c r="AO39">
        <f>Learn_Full!AI38</f>
        <v>83.333333333333329</v>
      </c>
      <c r="AP39">
        <f>Learn_Full!AJ38</f>
        <v>57.5</v>
      </c>
      <c r="AQ39">
        <f>Rich_Full!AF38</f>
        <v>100</v>
      </c>
      <c r="AR39">
        <f>Rich_Full!AG38</f>
        <v>100</v>
      </c>
      <c r="AS39">
        <f>Rich_Full!AH38</f>
        <v>92.666666666666671</v>
      </c>
      <c r="AT39">
        <f>Rich_Full!AI38</f>
        <v>83</v>
      </c>
      <c r="AU39">
        <f>Rich_Full!AJ38</f>
        <v>88</v>
      </c>
      <c r="AW39">
        <f t="shared" si="3"/>
        <v>0.57666666666666666</v>
      </c>
      <c r="AX39">
        <f t="shared" si="4"/>
        <v>0.67500000000000004</v>
      </c>
      <c r="AY39">
        <f t="shared" si="5"/>
        <v>0.86166666666666658</v>
      </c>
    </row>
    <row r="40" spans="1:51" x14ac:dyDescent="0.25">
      <c r="A40">
        <f>Baserun_Full!A39</f>
        <v>36</v>
      </c>
      <c r="B40">
        <f>Baserun_Full!L39</f>
        <v>100</v>
      </c>
      <c r="C40">
        <f>Baserun_Full!M39</f>
        <v>100</v>
      </c>
      <c r="D40">
        <f>Baserun_Full!N39</f>
        <v>100</v>
      </c>
      <c r="E40">
        <f>Baserun_Full!O39</f>
        <v>55</v>
      </c>
      <c r="F40">
        <f>Baserun_Full!P39</f>
        <v>98</v>
      </c>
      <c r="G40">
        <f>Aware_Full!L39</f>
        <v>58</v>
      </c>
      <c r="H40">
        <f>Aware_Full!M39</f>
        <v>32</v>
      </c>
      <c r="I40">
        <f>Aware_Full!N39</f>
        <v>49</v>
      </c>
      <c r="J40">
        <f>Aware_Full!O39</f>
        <v>25</v>
      </c>
      <c r="K40">
        <f>Aware_Full!P39</f>
        <v>100</v>
      </c>
      <c r="L40">
        <f>Learn_Full!L39</f>
        <v>93</v>
      </c>
      <c r="M40">
        <f>Learn_Full!M39</f>
        <v>30</v>
      </c>
      <c r="N40">
        <f>Learn_Full!N39</f>
        <v>100</v>
      </c>
      <c r="O40">
        <f>Learn_Full!O39</f>
        <v>22</v>
      </c>
      <c r="P40">
        <f>Learn_Full!P39</f>
        <v>98</v>
      </c>
      <c r="Q40">
        <f>Rich_Full!L39</f>
        <v>100</v>
      </c>
      <c r="R40">
        <f>Rich_Full!M39</f>
        <v>100</v>
      </c>
      <c r="S40">
        <f>Rich_Full!N39</f>
        <v>100</v>
      </c>
      <c r="T40">
        <f>Rich_Full!O39</f>
        <v>97</v>
      </c>
      <c r="U40">
        <f>Rich_Full!P39</f>
        <v>100</v>
      </c>
      <c r="W40">
        <f t="shared" si="0"/>
        <v>40.5</v>
      </c>
      <c r="X40">
        <f t="shared" si="1"/>
        <v>93</v>
      </c>
      <c r="Y40">
        <f t="shared" si="2"/>
        <v>100</v>
      </c>
      <c r="AA40">
        <f>Baserun_Full!AE39</f>
        <v>36</v>
      </c>
      <c r="AB40">
        <f>Baserun_Full!AF39</f>
        <v>100</v>
      </c>
      <c r="AC40">
        <f>Baserun_Full!AG39</f>
        <v>100</v>
      </c>
      <c r="AD40">
        <f>Baserun_Full!AH39</f>
        <v>99</v>
      </c>
      <c r="AE40">
        <f>Baserun_Full!AI39</f>
        <v>75.666666666666671</v>
      </c>
      <c r="AF40">
        <f>Baserun_Full!AJ39</f>
        <v>63.666666666666664</v>
      </c>
      <c r="AG40">
        <f>Aware_Full!AF39</f>
        <v>60.5</v>
      </c>
      <c r="AH40">
        <f>Aware_Full!AG39</f>
        <v>54</v>
      </c>
      <c r="AI40">
        <f>Aware_Full!AH39</f>
        <v>61</v>
      </c>
      <c r="AJ40">
        <f>Aware_Full!AI39</f>
        <v>62</v>
      </c>
      <c r="AK40">
        <f>Aware_Full!AJ39</f>
        <v>100</v>
      </c>
      <c r="AL40">
        <f>Learn_Full!AF39</f>
        <v>57</v>
      </c>
      <c r="AM40">
        <f>Learn_Full!AG39</f>
        <v>61.333333333333336</v>
      </c>
      <c r="AN40">
        <f>Learn_Full!AH39</f>
        <v>69.5</v>
      </c>
      <c r="AO40">
        <f>Learn_Full!AI39</f>
        <v>71.333333333333329</v>
      </c>
      <c r="AP40">
        <f>Learn_Full!AJ39</f>
        <v>57.666666666666664</v>
      </c>
      <c r="AQ40">
        <f>Rich_Full!AF39</f>
        <v>100</v>
      </c>
      <c r="AR40">
        <f>Rich_Full!AG39</f>
        <v>100</v>
      </c>
      <c r="AS40">
        <f>Rich_Full!AH39</f>
        <v>98.333333333333329</v>
      </c>
      <c r="AT40">
        <f>Rich_Full!AI39</f>
        <v>83.5</v>
      </c>
      <c r="AU40">
        <f>Rich_Full!AJ39</f>
        <v>93.333333333333329</v>
      </c>
      <c r="AW40">
        <f t="shared" si="3"/>
        <v>0.60750000000000004</v>
      </c>
      <c r="AX40">
        <f t="shared" si="4"/>
        <v>0.6366666666666666</v>
      </c>
      <c r="AY40">
        <f t="shared" si="5"/>
        <v>0.87333333333333341</v>
      </c>
    </row>
    <row r="41" spans="1:51" x14ac:dyDescent="0.25">
      <c r="A41">
        <f>Baserun_Full!A40</f>
        <v>37</v>
      </c>
      <c r="B41">
        <f>Baserun_Full!L40</f>
        <v>100</v>
      </c>
      <c r="C41">
        <f>Baserun_Full!M40</f>
        <v>100</v>
      </c>
      <c r="D41">
        <f>Baserun_Full!N40</f>
        <v>100</v>
      </c>
      <c r="E41">
        <f>Baserun_Full!O40</f>
        <v>99</v>
      </c>
      <c r="F41">
        <f>Baserun_Full!P40</f>
        <v>99</v>
      </c>
      <c r="G41">
        <f>Aware_Full!L40</f>
        <v>98</v>
      </c>
      <c r="H41">
        <f>Aware_Full!M40</f>
        <v>95</v>
      </c>
      <c r="I41">
        <f>Aware_Full!N40</f>
        <v>99</v>
      </c>
      <c r="J41">
        <f>Aware_Full!O40</f>
        <v>29</v>
      </c>
      <c r="K41">
        <f>Aware_Full!P40</f>
        <v>100</v>
      </c>
      <c r="L41">
        <f>Learn_Full!L40</f>
        <v>26</v>
      </c>
      <c r="M41">
        <f>Learn_Full!M40</f>
        <v>99</v>
      </c>
      <c r="N41">
        <f>Learn_Full!N40</f>
        <v>100</v>
      </c>
      <c r="O41">
        <f>Learn_Full!O40</f>
        <v>98</v>
      </c>
      <c r="P41">
        <f>Learn_Full!P40</f>
        <v>24</v>
      </c>
      <c r="Q41">
        <f>Rich_Full!L40</f>
        <v>100</v>
      </c>
      <c r="R41">
        <f>Rich_Full!M40</f>
        <v>100</v>
      </c>
      <c r="S41">
        <f>Rich_Full!N40</f>
        <v>100</v>
      </c>
      <c r="T41">
        <f>Rich_Full!O40</f>
        <v>96</v>
      </c>
      <c r="U41">
        <f>Rich_Full!P40</f>
        <v>100</v>
      </c>
      <c r="W41">
        <f t="shared" si="0"/>
        <v>96.5</v>
      </c>
      <c r="X41">
        <f t="shared" si="1"/>
        <v>99</v>
      </c>
      <c r="Y41">
        <f t="shared" si="2"/>
        <v>100</v>
      </c>
      <c r="AA41">
        <f>Baserun_Full!AE40</f>
        <v>37</v>
      </c>
      <c r="AB41">
        <f>Baserun_Full!AF40</f>
        <v>100</v>
      </c>
      <c r="AC41">
        <f>Baserun_Full!AG40</f>
        <v>100</v>
      </c>
      <c r="AD41">
        <f>Baserun_Full!AH40</f>
        <v>99.5</v>
      </c>
      <c r="AE41">
        <f>Baserun_Full!AI40</f>
        <v>83.5</v>
      </c>
      <c r="AF41">
        <f>Baserun_Full!AJ40</f>
        <v>63.833333333333336</v>
      </c>
      <c r="AG41">
        <f>Aware_Full!AF40</f>
        <v>66.5</v>
      </c>
      <c r="AH41">
        <f>Aware_Full!AG40</f>
        <v>53.166666666666664</v>
      </c>
      <c r="AI41">
        <f>Aware_Full!AH40</f>
        <v>74.166666666666671</v>
      </c>
      <c r="AJ41">
        <f>Aware_Full!AI40</f>
        <v>56.833333333333336</v>
      </c>
      <c r="AK41">
        <f>Aware_Full!AJ40</f>
        <v>100</v>
      </c>
      <c r="AL41">
        <f>Learn_Full!AF40</f>
        <v>44.666666666666664</v>
      </c>
      <c r="AM41">
        <f>Learn_Full!AG40</f>
        <v>75.666666666666671</v>
      </c>
      <c r="AN41">
        <f>Learn_Full!AH40</f>
        <v>85.333333333333329</v>
      </c>
      <c r="AO41">
        <f>Learn_Full!AI40</f>
        <v>71.333333333333329</v>
      </c>
      <c r="AP41">
        <f>Learn_Full!AJ40</f>
        <v>58.333333333333336</v>
      </c>
      <c r="AQ41">
        <f>Rich_Full!AF40</f>
        <v>100</v>
      </c>
      <c r="AR41">
        <f>Rich_Full!AG40</f>
        <v>100</v>
      </c>
      <c r="AS41">
        <f>Rich_Full!AH40</f>
        <v>99.166666666666671</v>
      </c>
      <c r="AT41">
        <f>Rich_Full!AI40</f>
        <v>83.833333333333329</v>
      </c>
      <c r="AU41">
        <f>Rich_Full!AJ40</f>
        <v>93.666666666666671</v>
      </c>
      <c r="AW41">
        <f t="shared" si="3"/>
        <v>0.61083333333333334</v>
      </c>
      <c r="AX41">
        <f t="shared" si="4"/>
        <v>0.7416666666666667</v>
      </c>
      <c r="AY41">
        <f t="shared" si="5"/>
        <v>0.92416666666666658</v>
      </c>
    </row>
    <row r="42" spans="1:51" x14ac:dyDescent="0.25">
      <c r="A42">
        <f>Baserun_Full!A41</f>
        <v>38</v>
      </c>
      <c r="B42">
        <f>Baserun_Full!L41</f>
        <v>100</v>
      </c>
      <c r="C42">
        <f>Baserun_Full!M41</f>
        <v>100</v>
      </c>
      <c r="D42">
        <f>Baserun_Full!N41</f>
        <v>100</v>
      </c>
      <c r="E42">
        <f>Baserun_Full!O41</f>
        <v>100</v>
      </c>
      <c r="F42">
        <f>Baserun_Full!P41</f>
        <v>42</v>
      </c>
      <c r="G42">
        <f>Aware_Full!L41</f>
        <v>100</v>
      </c>
      <c r="H42">
        <f>Aware_Full!M41</f>
        <v>98</v>
      </c>
      <c r="I42">
        <f>Aware_Full!N41</f>
        <v>100</v>
      </c>
      <c r="J42">
        <f>Aware_Full!O41</f>
        <v>97</v>
      </c>
      <c r="K42">
        <f>Aware_Full!P41</f>
        <v>100</v>
      </c>
      <c r="L42">
        <f>Learn_Full!L41</f>
        <v>99</v>
      </c>
      <c r="M42">
        <f>Learn_Full!M41</f>
        <v>100</v>
      </c>
      <c r="N42">
        <f>Learn_Full!N41</f>
        <v>100</v>
      </c>
      <c r="O42">
        <f>Learn_Full!O41</f>
        <v>15</v>
      </c>
      <c r="P42">
        <f>Learn_Full!P41</f>
        <v>96</v>
      </c>
      <c r="Q42">
        <f>Rich_Full!L41</f>
        <v>100</v>
      </c>
      <c r="R42">
        <f>Rich_Full!M41</f>
        <v>100</v>
      </c>
      <c r="S42">
        <f>Rich_Full!N41</f>
        <v>100</v>
      </c>
      <c r="T42">
        <f>Rich_Full!O41</f>
        <v>100</v>
      </c>
      <c r="U42">
        <f>Rich_Full!P41</f>
        <v>100</v>
      </c>
      <c r="W42">
        <f t="shared" si="0"/>
        <v>97.5</v>
      </c>
      <c r="X42">
        <f t="shared" si="1"/>
        <v>100</v>
      </c>
      <c r="Y42">
        <f t="shared" si="2"/>
        <v>100</v>
      </c>
      <c r="AA42">
        <f>Baserun_Full!AE41</f>
        <v>38</v>
      </c>
      <c r="AB42">
        <f>Baserun_Full!AF41</f>
        <v>100</v>
      </c>
      <c r="AC42">
        <f>Baserun_Full!AG41</f>
        <v>100</v>
      </c>
      <c r="AD42">
        <f>Baserun_Full!AH41</f>
        <v>100</v>
      </c>
      <c r="AE42">
        <f>Baserun_Full!AI41</f>
        <v>83.666666666666671</v>
      </c>
      <c r="AF42">
        <f>Baserun_Full!AJ41</f>
        <v>66</v>
      </c>
      <c r="AG42">
        <f>Aware_Full!AF41</f>
        <v>66.666666666666671</v>
      </c>
      <c r="AH42">
        <f>Aware_Full!AG41</f>
        <v>53.166666666666664</v>
      </c>
      <c r="AI42">
        <f>Aware_Full!AH41</f>
        <v>82.166666666666671</v>
      </c>
      <c r="AJ42">
        <f>Aware_Full!AI41</f>
        <v>56.333333333333336</v>
      </c>
      <c r="AK42">
        <f>Aware_Full!AJ41</f>
        <v>100</v>
      </c>
      <c r="AL42">
        <f>Learn_Full!AF41</f>
        <v>58.166666666666664</v>
      </c>
      <c r="AM42">
        <f>Learn_Full!AG41</f>
        <v>76</v>
      </c>
      <c r="AN42">
        <f>Learn_Full!AH41</f>
        <v>85.833333333333329</v>
      </c>
      <c r="AO42">
        <f>Learn_Full!AI41</f>
        <v>57.5</v>
      </c>
      <c r="AP42">
        <f>Learn_Full!AJ41</f>
        <v>71.333333333333329</v>
      </c>
      <c r="AQ42">
        <f>Rich_Full!AF41</f>
        <v>100</v>
      </c>
      <c r="AR42">
        <f>Rich_Full!AG41</f>
        <v>100</v>
      </c>
      <c r="AS42">
        <f>Rich_Full!AH41</f>
        <v>100</v>
      </c>
      <c r="AT42">
        <f>Rich_Full!AI41</f>
        <v>89.5</v>
      </c>
      <c r="AU42">
        <f>Rich_Full!AJ41</f>
        <v>99.166666666666671</v>
      </c>
      <c r="AW42">
        <f t="shared" si="3"/>
        <v>0.62083333333333324</v>
      </c>
      <c r="AX42">
        <f t="shared" si="4"/>
        <v>0.76</v>
      </c>
      <c r="AY42">
        <f t="shared" si="5"/>
        <v>0.92916666666666659</v>
      </c>
    </row>
    <row r="43" spans="1:51" x14ac:dyDescent="0.25">
      <c r="A43">
        <f>Baserun_Full!A42</f>
        <v>39</v>
      </c>
      <c r="B43">
        <f>Baserun_Full!L42</f>
        <v>100</v>
      </c>
      <c r="C43">
        <f>Baserun_Full!M42</f>
        <v>100</v>
      </c>
      <c r="D43">
        <f>Baserun_Full!N42</f>
        <v>100</v>
      </c>
      <c r="E43">
        <f>Baserun_Full!O42</f>
        <v>100</v>
      </c>
      <c r="F43">
        <f>Baserun_Full!P42</f>
        <v>97</v>
      </c>
      <c r="G43">
        <f>Aware_Full!L42</f>
        <v>100</v>
      </c>
      <c r="H43">
        <f>Aware_Full!M42</f>
        <v>100</v>
      </c>
      <c r="I43">
        <f>Aware_Full!N42</f>
        <v>100</v>
      </c>
      <c r="J43">
        <f>Aware_Full!O42</f>
        <v>100</v>
      </c>
      <c r="K43">
        <f>Aware_Full!P42</f>
        <v>100</v>
      </c>
      <c r="L43">
        <f>Learn_Full!L42</f>
        <v>99</v>
      </c>
      <c r="M43">
        <f>Learn_Full!M42</f>
        <v>11</v>
      </c>
      <c r="N43">
        <f>Learn_Full!N42</f>
        <v>100</v>
      </c>
      <c r="O43">
        <f>Learn_Full!O42</f>
        <v>97</v>
      </c>
      <c r="P43">
        <f>Learn_Full!P42</f>
        <v>23</v>
      </c>
      <c r="Q43">
        <f>Rich_Full!L42</f>
        <v>100</v>
      </c>
      <c r="R43">
        <f>Rich_Full!M42</f>
        <v>100</v>
      </c>
      <c r="S43">
        <f>Rich_Full!N42</f>
        <v>100</v>
      </c>
      <c r="T43">
        <f>Rich_Full!O42</f>
        <v>100</v>
      </c>
      <c r="U43">
        <f>Rich_Full!P42</f>
        <v>100</v>
      </c>
      <c r="W43">
        <f t="shared" si="0"/>
        <v>98</v>
      </c>
      <c r="X43">
        <f t="shared" si="1"/>
        <v>100</v>
      </c>
      <c r="Y43">
        <f t="shared" si="2"/>
        <v>100</v>
      </c>
      <c r="AA43">
        <f>Baserun_Full!AE42</f>
        <v>39</v>
      </c>
      <c r="AB43">
        <f>Baserun_Full!AF42</f>
        <v>100</v>
      </c>
      <c r="AC43">
        <f>Baserun_Full!AG42</f>
        <v>100</v>
      </c>
      <c r="AD43">
        <f>Baserun_Full!AH42</f>
        <v>100</v>
      </c>
      <c r="AE43">
        <f>Baserun_Full!AI42</f>
        <v>83.833333333333329</v>
      </c>
      <c r="AF43">
        <f>Baserun_Full!AJ42</f>
        <v>77.333333333333329</v>
      </c>
      <c r="AG43">
        <f>Aware_Full!AF42</f>
        <v>73.833333333333329</v>
      </c>
      <c r="AH43">
        <f>Aware_Full!AG42</f>
        <v>65</v>
      </c>
      <c r="AI43">
        <f>Aware_Full!AH42</f>
        <v>90.833333333333329</v>
      </c>
      <c r="AJ43">
        <f>Aware_Full!AI42</f>
        <v>56.333333333333336</v>
      </c>
      <c r="AK43">
        <f>Aware_Full!AJ42</f>
        <v>100</v>
      </c>
      <c r="AL43">
        <f>Learn_Full!AF42</f>
        <v>58.5</v>
      </c>
      <c r="AM43">
        <f>Learn_Full!AG42</f>
        <v>73.166666666666671</v>
      </c>
      <c r="AN43">
        <f>Learn_Full!AH42</f>
        <v>99.166666666666671</v>
      </c>
      <c r="AO43">
        <f>Learn_Full!AI42</f>
        <v>57.333333333333336</v>
      </c>
      <c r="AP43">
        <f>Learn_Full!AJ42</f>
        <v>59.666666666666664</v>
      </c>
      <c r="AQ43">
        <f>Rich_Full!AF42</f>
        <v>100</v>
      </c>
      <c r="AR43">
        <f>Rich_Full!AG42</f>
        <v>100</v>
      </c>
      <c r="AS43">
        <f>Rich_Full!AH42</f>
        <v>100</v>
      </c>
      <c r="AT43">
        <f>Rich_Full!AI42</f>
        <v>89.833333333333329</v>
      </c>
      <c r="AU43">
        <f>Rich_Full!AJ42</f>
        <v>99.5</v>
      </c>
      <c r="AW43">
        <f t="shared" si="3"/>
        <v>0.62333333333333329</v>
      </c>
      <c r="AX43">
        <f t="shared" si="4"/>
        <v>0.77333333333333332</v>
      </c>
      <c r="AY43">
        <f t="shared" si="5"/>
        <v>0.99583333333333346</v>
      </c>
    </row>
    <row r="44" spans="1:51" x14ac:dyDescent="0.25">
      <c r="A44">
        <f>Baserun_Full!A43</f>
        <v>40</v>
      </c>
      <c r="B44">
        <f>Baserun_Full!L43</f>
        <v>100</v>
      </c>
      <c r="C44">
        <f>Baserun_Full!M43</f>
        <v>100</v>
      </c>
      <c r="D44">
        <f>Baserun_Full!N43</f>
        <v>100</v>
      </c>
      <c r="E44">
        <f>Baserun_Full!O43</f>
        <v>50</v>
      </c>
      <c r="F44">
        <f>Baserun_Full!P43</f>
        <v>45</v>
      </c>
      <c r="G44">
        <f>Aware_Full!L43</f>
        <v>99</v>
      </c>
      <c r="H44">
        <f>Aware_Full!M43</f>
        <v>100</v>
      </c>
      <c r="I44">
        <f>Aware_Full!N43</f>
        <v>100</v>
      </c>
      <c r="J44">
        <f>Aware_Full!O43</f>
        <v>100</v>
      </c>
      <c r="K44">
        <f>Aware_Full!P43</f>
        <v>100</v>
      </c>
      <c r="L44">
        <f>Learn_Full!L43</f>
        <v>17</v>
      </c>
      <c r="M44">
        <f>Learn_Full!M43</f>
        <v>99</v>
      </c>
      <c r="N44">
        <f>Learn_Full!N43</f>
        <v>100</v>
      </c>
      <c r="O44">
        <f>Learn_Full!O43</f>
        <v>99</v>
      </c>
      <c r="P44">
        <f>Learn_Full!P43</f>
        <v>21</v>
      </c>
      <c r="Q44">
        <f>Rich_Full!L43</f>
        <v>100</v>
      </c>
      <c r="R44">
        <f>Rich_Full!M43</f>
        <v>100</v>
      </c>
      <c r="S44">
        <f>Rich_Full!N43</f>
        <v>100</v>
      </c>
      <c r="T44">
        <f>Rich_Full!O43</f>
        <v>100</v>
      </c>
      <c r="U44">
        <f>Rich_Full!P43</f>
        <v>100</v>
      </c>
      <c r="W44">
        <f t="shared" si="0"/>
        <v>74.5</v>
      </c>
      <c r="X44">
        <f t="shared" si="1"/>
        <v>100</v>
      </c>
      <c r="Y44">
        <f t="shared" si="2"/>
        <v>100</v>
      </c>
      <c r="AA44">
        <f>Baserun_Full!AE43</f>
        <v>40</v>
      </c>
      <c r="AB44">
        <f>Baserun_Full!AF43</f>
        <v>100</v>
      </c>
      <c r="AC44">
        <f>Baserun_Full!AG43</f>
        <v>100</v>
      </c>
      <c r="AD44">
        <f>Baserun_Full!AH43</f>
        <v>100</v>
      </c>
      <c r="AE44">
        <f>Baserun_Full!AI43</f>
        <v>83.833333333333329</v>
      </c>
      <c r="AF44">
        <f>Baserun_Full!AJ43</f>
        <v>68.5</v>
      </c>
      <c r="AG44">
        <f>Aware_Full!AF43</f>
        <v>81.166666666666671</v>
      </c>
      <c r="AH44">
        <f>Aware_Full!AG43</f>
        <v>76</v>
      </c>
      <c r="AI44">
        <f>Aware_Full!AH43</f>
        <v>91.166666666666671</v>
      </c>
      <c r="AJ44">
        <f>Aware_Full!AI43</f>
        <v>67.833333333333329</v>
      </c>
      <c r="AK44">
        <f>Aware_Full!AJ43</f>
        <v>100</v>
      </c>
      <c r="AL44">
        <f>Learn_Full!AF43</f>
        <v>58.833333333333336</v>
      </c>
      <c r="AM44">
        <f>Learn_Full!AG43</f>
        <v>73.166666666666671</v>
      </c>
      <c r="AN44">
        <f>Learn_Full!AH43</f>
        <v>99.666666666666671</v>
      </c>
      <c r="AO44">
        <f>Learn_Full!AI43</f>
        <v>57.5</v>
      </c>
      <c r="AP44">
        <f>Learn_Full!AJ43</f>
        <v>59.666666666666664</v>
      </c>
      <c r="AQ44">
        <f>Rich_Full!AF43</f>
        <v>100</v>
      </c>
      <c r="AR44">
        <f>Rich_Full!AG43</f>
        <v>100</v>
      </c>
      <c r="AS44">
        <f>Rich_Full!AH43</f>
        <v>100</v>
      </c>
      <c r="AT44">
        <f>Rich_Full!AI43</f>
        <v>90.5</v>
      </c>
      <c r="AU44">
        <f>Rich_Full!AJ43</f>
        <v>100</v>
      </c>
      <c r="AW44">
        <f t="shared" si="3"/>
        <v>0.68166666666666653</v>
      </c>
      <c r="AX44">
        <f t="shared" si="4"/>
        <v>0.81166666666666676</v>
      </c>
      <c r="AY44">
        <f t="shared" si="5"/>
        <v>0.99833333333333341</v>
      </c>
    </row>
    <row r="45" spans="1:51" x14ac:dyDescent="0.25">
      <c r="A45">
        <f>Baserun_Full!A44</f>
        <v>41</v>
      </c>
      <c r="B45">
        <f>Baserun_Full!L44</f>
        <v>100</v>
      </c>
      <c r="C45">
        <f>Baserun_Full!M44</f>
        <v>100</v>
      </c>
      <c r="D45">
        <f>Baserun_Full!N44</f>
        <v>100</v>
      </c>
      <c r="E45">
        <f>Baserun_Full!O44</f>
        <v>51</v>
      </c>
      <c r="F45">
        <f>Baserun_Full!P44</f>
        <v>43</v>
      </c>
      <c r="G45">
        <f>Aware_Full!L44</f>
        <v>36</v>
      </c>
      <c r="H45">
        <f>Aware_Full!M44</f>
        <v>62</v>
      </c>
      <c r="I45">
        <f>Aware_Full!N44</f>
        <v>100</v>
      </c>
      <c r="J45">
        <f>Aware_Full!O44</f>
        <v>98</v>
      </c>
      <c r="K45">
        <f>Aware_Full!P44</f>
        <v>100</v>
      </c>
      <c r="L45">
        <f>Learn_Full!L44</f>
        <v>95</v>
      </c>
      <c r="M45">
        <f>Learn_Full!M44</f>
        <v>100</v>
      </c>
      <c r="N45">
        <f>Learn_Full!N44</f>
        <v>100</v>
      </c>
      <c r="O45">
        <f>Learn_Full!O44</f>
        <v>100</v>
      </c>
      <c r="P45">
        <f>Learn_Full!P44</f>
        <v>94</v>
      </c>
      <c r="Q45">
        <f>Rich_Full!L44</f>
        <v>100</v>
      </c>
      <c r="R45">
        <f>Rich_Full!M44</f>
        <v>100</v>
      </c>
      <c r="S45">
        <f>Rich_Full!N44</f>
        <v>100</v>
      </c>
      <c r="T45">
        <f>Rich_Full!O44</f>
        <v>100</v>
      </c>
      <c r="U45">
        <f>Rich_Full!P44</f>
        <v>100</v>
      </c>
      <c r="W45">
        <f t="shared" si="0"/>
        <v>78</v>
      </c>
      <c r="X45">
        <f t="shared" si="1"/>
        <v>100</v>
      </c>
      <c r="Y45">
        <f t="shared" si="2"/>
        <v>100</v>
      </c>
      <c r="AA45">
        <f>Baserun_Full!AE44</f>
        <v>41</v>
      </c>
      <c r="AB45">
        <f>Baserun_Full!AF44</f>
        <v>100</v>
      </c>
      <c r="AC45">
        <f>Baserun_Full!AG44</f>
        <v>100</v>
      </c>
      <c r="AD45">
        <f>Baserun_Full!AH44</f>
        <v>100</v>
      </c>
      <c r="AE45">
        <f>Baserun_Full!AI44</f>
        <v>75.833333333333329</v>
      </c>
      <c r="AF45">
        <f>Baserun_Full!AJ44</f>
        <v>70.666666666666671</v>
      </c>
      <c r="AG45">
        <f>Aware_Full!AF44</f>
        <v>81.833333333333329</v>
      </c>
      <c r="AH45">
        <f>Aware_Full!AG44</f>
        <v>81.166666666666671</v>
      </c>
      <c r="AI45">
        <f>Aware_Full!AH44</f>
        <v>91.333333333333329</v>
      </c>
      <c r="AJ45">
        <f>Aware_Full!AI44</f>
        <v>74.833333333333329</v>
      </c>
      <c r="AK45">
        <f>Aware_Full!AJ44</f>
        <v>100</v>
      </c>
      <c r="AL45">
        <f>Learn_Full!AF44</f>
        <v>71.5</v>
      </c>
      <c r="AM45">
        <f>Learn_Full!AG44</f>
        <v>73.166666666666671</v>
      </c>
      <c r="AN45">
        <f>Learn_Full!AH44</f>
        <v>100</v>
      </c>
      <c r="AO45">
        <f>Learn_Full!AI44</f>
        <v>71.833333333333329</v>
      </c>
      <c r="AP45">
        <f>Learn_Full!AJ44</f>
        <v>59.333333333333336</v>
      </c>
      <c r="AQ45">
        <f>Rich_Full!AF44</f>
        <v>100</v>
      </c>
      <c r="AR45">
        <f>Rich_Full!AG44</f>
        <v>100</v>
      </c>
      <c r="AS45">
        <f>Rich_Full!AH44</f>
        <v>100</v>
      </c>
      <c r="AT45">
        <f>Rich_Full!AI44</f>
        <v>98.833333333333329</v>
      </c>
      <c r="AU45">
        <f>Rich_Full!AJ44</f>
        <v>100</v>
      </c>
      <c r="AW45">
        <f t="shared" si="3"/>
        <v>0.72499999999999998</v>
      </c>
      <c r="AX45">
        <f t="shared" si="4"/>
        <v>0.81166666666666676</v>
      </c>
      <c r="AY45">
        <f t="shared" si="5"/>
        <v>1</v>
      </c>
    </row>
    <row r="46" spans="1:51" x14ac:dyDescent="0.25">
      <c r="A46">
        <f>Baserun_Full!A45</f>
        <v>42</v>
      </c>
      <c r="B46">
        <f>Baserun_Full!L45</f>
        <v>100</v>
      </c>
      <c r="C46">
        <f>Baserun_Full!M45</f>
        <v>100</v>
      </c>
      <c r="D46">
        <f>Baserun_Full!N45</f>
        <v>100</v>
      </c>
      <c r="E46">
        <f>Baserun_Full!O45</f>
        <v>50</v>
      </c>
      <c r="F46">
        <f>Baserun_Full!P45</f>
        <v>48</v>
      </c>
      <c r="G46">
        <f>Aware_Full!L45</f>
        <v>59</v>
      </c>
      <c r="H46">
        <f>Aware_Full!M45</f>
        <v>60</v>
      </c>
      <c r="I46">
        <f>Aware_Full!N45</f>
        <v>49</v>
      </c>
      <c r="J46">
        <f>Aware_Full!O45</f>
        <v>32</v>
      </c>
      <c r="K46">
        <f>Aware_Full!P45</f>
        <v>100</v>
      </c>
      <c r="L46">
        <f>Learn_Full!L45</f>
        <v>17</v>
      </c>
      <c r="M46">
        <f>Learn_Full!M45</f>
        <v>28</v>
      </c>
      <c r="N46">
        <f>Learn_Full!N45</f>
        <v>100</v>
      </c>
      <c r="O46">
        <f>Learn_Full!O45</f>
        <v>100</v>
      </c>
      <c r="P46">
        <f>Learn_Full!P45</f>
        <v>22</v>
      </c>
      <c r="Q46">
        <f>Rich_Full!L45</f>
        <v>100</v>
      </c>
      <c r="R46">
        <f>Rich_Full!M45</f>
        <v>100</v>
      </c>
      <c r="S46">
        <f>Rich_Full!N45</f>
        <v>100</v>
      </c>
      <c r="T46">
        <f>Rich_Full!O45</f>
        <v>100</v>
      </c>
      <c r="U46">
        <f>Rich_Full!P45</f>
        <v>100</v>
      </c>
      <c r="W46">
        <f t="shared" si="0"/>
        <v>40</v>
      </c>
      <c r="X46">
        <f t="shared" si="1"/>
        <v>59</v>
      </c>
      <c r="Y46">
        <f t="shared" si="2"/>
        <v>100</v>
      </c>
      <c r="AA46">
        <f>Baserun_Full!AE45</f>
        <v>42</v>
      </c>
      <c r="AB46">
        <f>Baserun_Full!AF45</f>
        <v>100</v>
      </c>
      <c r="AC46">
        <f>Baserun_Full!AG45</f>
        <v>100</v>
      </c>
      <c r="AD46">
        <f>Baserun_Full!AH45</f>
        <v>100</v>
      </c>
      <c r="AE46">
        <f>Baserun_Full!AI45</f>
        <v>75</v>
      </c>
      <c r="AF46">
        <f>Baserun_Full!AJ45</f>
        <v>62.333333333333336</v>
      </c>
      <c r="AG46">
        <f>Aware_Full!AF45</f>
        <v>82</v>
      </c>
      <c r="AH46">
        <f>Aware_Full!AG45</f>
        <v>85.833333333333329</v>
      </c>
      <c r="AI46">
        <f>Aware_Full!AH45</f>
        <v>91.333333333333329</v>
      </c>
      <c r="AJ46">
        <f>Aware_Full!AI45</f>
        <v>76</v>
      </c>
      <c r="AK46">
        <f>Aware_Full!AJ45</f>
        <v>100</v>
      </c>
      <c r="AL46">
        <f>Learn_Full!AF45</f>
        <v>58.833333333333336</v>
      </c>
      <c r="AM46">
        <f>Learn_Full!AG45</f>
        <v>72.833333333333329</v>
      </c>
      <c r="AN46">
        <f>Learn_Full!AH45</f>
        <v>100</v>
      </c>
      <c r="AO46">
        <f>Learn_Full!AI45</f>
        <v>84.833333333333329</v>
      </c>
      <c r="AP46">
        <f>Learn_Full!AJ45</f>
        <v>46.666666666666664</v>
      </c>
      <c r="AQ46">
        <f>Rich_Full!AF45</f>
        <v>100</v>
      </c>
      <c r="AR46">
        <f>Rich_Full!AG45</f>
        <v>100</v>
      </c>
      <c r="AS46">
        <f>Rich_Full!AH45</f>
        <v>100</v>
      </c>
      <c r="AT46">
        <f>Rich_Full!AI45</f>
        <v>99.333333333333329</v>
      </c>
      <c r="AU46">
        <f>Rich_Full!AJ45</f>
        <v>100</v>
      </c>
      <c r="AW46">
        <f t="shared" si="3"/>
        <v>0.73916666666666653</v>
      </c>
      <c r="AX46">
        <f t="shared" si="4"/>
        <v>0.84833333333333327</v>
      </c>
      <c r="AY46">
        <f t="shared" si="5"/>
        <v>1</v>
      </c>
    </row>
    <row r="47" spans="1:51" x14ac:dyDescent="0.25">
      <c r="A47">
        <f>Baserun_Full!A46</f>
        <v>43</v>
      </c>
      <c r="B47">
        <f>Baserun_Full!L46</f>
        <v>100</v>
      </c>
      <c r="C47">
        <f>Baserun_Full!M46</f>
        <v>100</v>
      </c>
      <c r="D47">
        <f>Baserun_Full!N46</f>
        <v>100</v>
      </c>
      <c r="E47">
        <f>Baserun_Full!O46</f>
        <v>100</v>
      </c>
      <c r="F47">
        <f>Baserun_Full!P46</f>
        <v>49</v>
      </c>
      <c r="G47">
        <f>Aware_Full!L46</f>
        <v>35</v>
      </c>
      <c r="H47">
        <f>Aware_Full!M46</f>
        <v>100</v>
      </c>
      <c r="I47">
        <f>Aware_Full!N46</f>
        <v>100</v>
      </c>
      <c r="J47">
        <f>Aware_Full!O46</f>
        <v>31</v>
      </c>
      <c r="K47">
        <f>Aware_Full!P46</f>
        <v>100</v>
      </c>
      <c r="L47">
        <f>Learn_Full!L46</f>
        <v>17</v>
      </c>
      <c r="M47">
        <f>Learn_Full!M46</f>
        <v>99</v>
      </c>
      <c r="N47">
        <f>Learn_Full!N46</f>
        <v>100</v>
      </c>
      <c r="O47">
        <f>Learn_Full!O46</f>
        <v>100</v>
      </c>
      <c r="P47">
        <f>Learn_Full!P46</f>
        <v>94</v>
      </c>
      <c r="Q47">
        <f>Rich_Full!L46</f>
        <v>100</v>
      </c>
      <c r="R47">
        <f>Rich_Full!M46</f>
        <v>100</v>
      </c>
      <c r="S47">
        <f>Rich_Full!N46</f>
        <v>100</v>
      </c>
      <c r="T47">
        <f>Rich_Full!O46</f>
        <v>100</v>
      </c>
      <c r="U47">
        <f>Rich_Full!P46</f>
        <v>100</v>
      </c>
      <c r="W47">
        <f t="shared" si="0"/>
        <v>71.5</v>
      </c>
      <c r="X47">
        <f t="shared" si="1"/>
        <v>100</v>
      </c>
      <c r="Y47">
        <f t="shared" si="2"/>
        <v>100</v>
      </c>
      <c r="AA47">
        <f>Baserun_Full!AE46</f>
        <v>43</v>
      </c>
      <c r="AB47">
        <f>Baserun_Full!AF46</f>
        <v>100</v>
      </c>
      <c r="AC47">
        <f>Baserun_Full!AG46</f>
        <v>100</v>
      </c>
      <c r="AD47">
        <f>Baserun_Full!AH46</f>
        <v>100</v>
      </c>
      <c r="AE47">
        <f>Baserun_Full!AI46</f>
        <v>75.166666666666671</v>
      </c>
      <c r="AF47">
        <f>Baserun_Full!AJ46</f>
        <v>54</v>
      </c>
      <c r="AG47">
        <f>Aware_Full!AF46</f>
        <v>71.5</v>
      </c>
      <c r="AH47">
        <f>Aware_Full!AG46</f>
        <v>86.666666666666671</v>
      </c>
      <c r="AI47">
        <f>Aware_Full!AH46</f>
        <v>91.5</v>
      </c>
      <c r="AJ47">
        <f>Aware_Full!AI46</f>
        <v>76.333333333333329</v>
      </c>
      <c r="AK47">
        <f>Aware_Full!AJ46</f>
        <v>100</v>
      </c>
      <c r="AL47">
        <f>Learn_Full!AF46</f>
        <v>57.333333333333336</v>
      </c>
      <c r="AM47">
        <f>Learn_Full!AG46</f>
        <v>72.833333333333329</v>
      </c>
      <c r="AN47">
        <f>Learn_Full!AH46</f>
        <v>100</v>
      </c>
      <c r="AO47">
        <f>Learn_Full!AI46</f>
        <v>85.166666666666671</v>
      </c>
      <c r="AP47">
        <f>Learn_Full!AJ46</f>
        <v>58.333333333333336</v>
      </c>
      <c r="AQ47">
        <f>Rich_Full!AF46</f>
        <v>100</v>
      </c>
      <c r="AR47">
        <f>Rich_Full!AG46</f>
        <v>100</v>
      </c>
      <c r="AS47">
        <f>Rich_Full!AH46</f>
        <v>100</v>
      </c>
      <c r="AT47">
        <f>Rich_Full!AI46</f>
        <v>100</v>
      </c>
      <c r="AU47">
        <f>Rich_Full!AJ46</f>
        <v>100</v>
      </c>
      <c r="AW47">
        <f t="shared" si="3"/>
        <v>0.72166666666666657</v>
      </c>
      <c r="AX47">
        <f t="shared" si="4"/>
        <v>0.85166666666666668</v>
      </c>
      <c r="AY47">
        <f t="shared" si="5"/>
        <v>1</v>
      </c>
    </row>
    <row r="48" spans="1:51" x14ac:dyDescent="0.25">
      <c r="A48">
        <f>Baserun_Full!A47</f>
        <v>44</v>
      </c>
      <c r="B48">
        <f>Baserun_Full!L47</f>
        <v>100</v>
      </c>
      <c r="C48">
        <f>Baserun_Full!M47</f>
        <v>100</v>
      </c>
      <c r="D48">
        <f>Baserun_Full!N47</f>
        <v>100</v>
      </c>
      <c r="E48">
        <f>Baserun_Full!O47</f>
        <v>100</v>
      </c>
      <c r="F48">
        <f>Baserun_Full!P47</f>
        <v>98</v>
      </c>
      <c r="G48">
        <f>Aware_Full!L47</f>
        <v>57</v>
      </c>
      <c r="H48">
        <f>Aware_Full!M47</f>
        <v>62</v>
      </c>
      <c r="I48">
        <f>Aware_Full!N47</f>
        <v>100</v>
      </c>
      <c r="J48">
        <f>Aware_Full!O47</f>
        <v>26</v>
      </c>
      <c r="K48">
        <f>Aware_Full!P47</f>
        <v>100</v>
      </c>
      <c r="L48">
        <f>Learn_Full!L47</f>
        <v>98</v>
      </c>
      <c r="M48">
        <f>Learn_Full!M47</f>
        <v>12</v>
      </c>
      <c r="N48">
        <f>Learn_Full!N47</f>
        <v>100</v>
      </c>
      <c r="O48">
        <f>Learn_Full!O47</f>
        <v>100</v>
      </c>
      <c r="P48">
        <f>Learn_Full!P47</f>
        <v>98</v>
      </c>
      <c r="Q48">
        <f>Rich_Full!L47</f>
        <v>100</v>
      </c>
      <c r="R48">
        <f>Rich_Full!M47</f>
        <v>100</v>
      </c>
      <c r="S48">
        <f>Rich_Full!N47</f>
        <v>100</v>
      </c>
      <c r="T48">
        <f>Rich_Full!O47</f>
        <v>100</v>
      </c>
      <c r="U48">
        <f>Rich_Full!P47</f>
        <v>100</v>
      </c>
      <c r="W48">
        <f t="shared" si="0"/>
        <v>80</v>
      </c>
      <c r="X48">
        <f t="shared" si="1"/>
        <v>100</v>
      </c>
      <c r="Y48">
        <f t="shared" si="2"/>
        <v>100</v>
      </c>
      <c r="AA48">
        <f>Baserun_Full!AE47</f>
        <v>44</v>
      </c>
      <c r="AB48">
        <f>Baserun_Full!AF47</f>
        <v>100</v>
      </c>
      <c r="AC48">
        <f>Baserun_Full!AG47</f>
        <v>100</v>
      </c>
      <c r="AD48">
        <f>Baserun_Full!AH47</f>
        <v>100</v>
      </c>
      <c r="AE48">
        <f>Baserun_Full!AI47</f>
        <v>75.166666666666671</v>
      </c>
      <c r="AF48">
        <f>Baserun_Full!AJ47</f>
        <v>63.333333333333336</v>
      </c>
      <c r="AG48">
        <f>Aware_Full!AF47</f>
        <v>64.333333333333329</v>
      </c>
      <c r="AH48">
        <f>Aware_Full!AG47</f>
        <v>80.666666666666671</v>
      </c>
      <c r="AI48">
        <f>Aware_Full!AH47</f>
        <v>91.5</v>
      </c>
      <c r="AJ48">
        <f>Aware_Full!AI47</f>
        <v>64.5</v>
      </c>
      <c r="AK48">
        <f>Aware_Full!AJ47</f>
        <v>100</v>
      </c>
      <c r="AL48">
        <f>Learn_Full!AF47</f>
        <v>57.166666666666664</v>
      </c>
      <c r="AM48">
        <f>Learn_Full!AG47</f>
        <v>58.166666666666664</v>
      </c>
      <c r="AN48">
        <f>Learn_Full!AH47</f>
        <v>100</v>
      </c>
      <c r="AO48">
        <f>Learn_Full!AI47</f>
        <v>99.333333333333329</v>
      </c>
      <c r="AP48">
        <f>Learn_Full!AJ47</f>
        <v>58.666666666666664</v>
      </c>
      <c r="AQ48">
        <f>Rich_Full!AF47</f>
        <v>100</v>
      </c>
      <c r="AR48">
        <f>Rich_Full!AG47</f>
        <v>100</v>
      </c>
      <c r="AS48">
        <f>Rich_Full!AH47</f>
        <v>100</v>
      </c>
      <c r="AT48">
        <f>Rich_Full!AI47</f>
        <v>100</v>
      </c>
      <c r="AU48">
        <f>Rich_Full!AJ47</f>
        <v>100</v>
      </c>
      <c r="AW48">
        <f t="shared" si="3"/>
        <v>0.63833333333333331</v>
      </c>
      <c r="AX48">
        <f t="shared" si="4"/>
        <v>0.80666666666666675</v>
      </c>
      <c r="AY48">
        <f t="shared" si="5"/>
        <v>1</v>
      </c>
    </row>
    <row r="49" spans="1:51" x14ac:dyDescent="0.25">
      <c r="A49">
        <f>Baserun_Full!A48</f>
        <v>45</v>
      </c>
      <c r="B49">
        <f>Baserun_Full!L48</f>
        <v>100</v>
      </c>
      <c r="C49">
        <f>Baserun_Full!M48</f>
        <v>100</v>
      </c>
      <c r="D49">
        <f>Baserun_Full!N48</f>
        <v>100</v>
      </c>
      <c r="E49">
        <f>Baserun_Full!O48</f>
        <v>100</v>
      </c>
      <c r="F49">
        <f>Baserun_Full!P48</f>
        <v>99</v>
      </c>
      <c r="G49">
        <f>Aware_Full!L48</f>
        <v>32</v>
      </c>
      <c r="H49">
        <f>Aware_Full!M48</f>
        <v>100</v>
      </c>
      <c r="I49">
        <f>Aware_Full!N48</f>
        <v>51</v>
      </c>
      <c r="J49">
        <f>Aware_Full!O48</f>
        <v>33</v>
      </c>
      <c r="K49">
        <f>Aware_Full!P48</f>
        <v>100</v>
      </c>
      <c r="L49">
        <f>Learn_Full!L48</f>
        <v>17</v>
      </c>
      <c r="M49">
        <f>Learn_Full!M48</f>
        <v>18</v>
      </c>
      <c r="N49">
        <f>Learn_Full!N48</f>
        <v>100</v>
      </c>
      <c r="O49">
        <f>Learn_Full!O48</f>
        <v>100</v>
      </c>
      <c r="P49">
        <f>Learn_Full!P48</f>
        <v>100</v>
      </c>
      <c r="Q49">
        <f>Rich_Full!L48</f>
        <v>100</v>
      </c>
      <c r="R49">
        <f>Rich_Full!M48</f>
        <v>100</v>
      </c>
      <c r="S49">
        <f>Rich_Full!N48</f>
        <v>100</v>
      </c>
      <c r="T49">
        <f>Rich_Full!O48</f>
        <v>100</v>
      </c>
      <c r="U49">
        <f>Rich_Full!P48</f>
        <v>100</v>
      </c>
      <c r="W49">
        <f t="shared" si="0"/>
        <v>42</v>
      </c>
      <c r="X49">
        <f t="shared" si="1"/>
        <v>100</v>
      </c>
      <c r="Y49">
        <f t="shared" si="2"/>
        <v>100</v>
      </c>
      <c r="AA49">
        <f>Baserun_Full!AE48</f>
        <v>45</v>
      </c>
      <c r="AB49">
        <f>Baserun_Full!AF48</f>
        <v>100</v>
      </c>
      <c r="AC49">
        <f>Baserun_Full!AG48</f>
        <v>100</v>
      </c>
      <c r="AD49">
        <f>Baserun_Full!AH48</f>
        <v>100</v>
      </c>
      <c r="AE49">
        <f>Baserun_Full!AI48</f>
        <v>75.166666666666671</v>
      </c>
      <c r="AF49">
        <f>Baserun_Full!AJ48</f>
        <v>63.666666666666664</v>
      </c>
      <c r="AG49">
        <f>Aware_Full!AF48</f>
        <v>53</v>
      </c>
      <c r="AH49">
        <f>Aware_Full!AG48</f>
        <v>80.666666666666671</v>
      </c>
      <c r="AI49">
        <f>Aware_Full!AH48</f>
        <v>83.333333333333329</v>
      </c>
      <c r="AJ49">
        <f>Aware_Full!AI48</f>
        <v>53.333333333333336</v>
      </c>
      <c r="AK49">
        <f>Aware_Full!AJ48</f>
        <v>100</v>
      </c>
      <c r="AL49">
        <f>Learn_Full!AF48</f>
        <v>43.5</v>
      </c>
      <c r="AM49">
        <f>Learn_Full!AG48</f>
        <v>59.333333333333336</v>
      </c>
      <c r="AN49">
        <f>Learn_Full!AH48</f>
        <v>100</v>
      </c>
      <c r="AO49">
        <f>Learn_Full!AI48</f>
        <v>99.833333333333329</v>
      </c>
      <c r="AP49">
        <f>Learn_Full!AJ48</f>
        <v>71.5</v>
      </c>
      <c r="AQ49">
        <f>Rich_Full!AF48</f>
        <v>100</v>
      </c>
      <c r="AR49">
        <f>Rich_Full!AG48</f>
        <v>100</v>
      </c>
      <c r="AS49">
        <f>Rich_Full!AH48</f>
        <v>100</v>
      </c>
      <c r="AT49">
        <f>Rich_Full!AI48</f>
        <v>100</v>
      </c>
      <c r="AU49">
        <f>Rich_Full!AJ48</f>
        <v>100</v>
      </c>
      <c r="AW49">
        <f t="shared" si="3"/>
        <v>0.61499999999999999</v>
      </c>
      <c r="AX49">
        <f t="shared" si="4"/>
        <v>0.80666666666666675</v>
      </c>
      <c r="AY49">
        <f t="shared" si="5"/>
        <v>1</v>
      </c>
    </row>
    <row r="50" spans="1:51" x14ac:dyDescent="0.25">
      <c r="A50">
        <f>Baserun_Full!A49</f>
        <v>46</v>
      </c>
      <c r="B50">
        <f>Baserun_Full!L49</f>
        <v>100</v>
      </c>
      <c r="C50">
        <f>Baserun_Full!M49</f>
        <v>100</v>
      </c>
      <c r="D50">
        <f>Baserun_Full!N49</f>
        <v>100</v>
      </c>
      <c r="E50">
        <f>Baserun_Full!O49</f>
        <v>100</v>
      </c>
      <c r="F50">
        <f>Baserun_Full!P49</f>
        <v>100</v>
      </c>
      <c r="G50">
        <f>Aware_Full!L49</f>
        <v>58</v>
      </c>
      <c r="H50">
        <f>Aware_Full!M49</f>
        <v>100</v>
      </c>
      <c r="I50">
        <f>Aware_Full!N49</f>
        <v>100</v>
      </c>
      <c r="J50">
        <f>Aware_Full!O49</f>
        <v>93</v>
      </c>
      <c r="K50">
        <f>Aware_Full!P49</f>
        <v>100</v>
      </c>
      <c r="L50">
        <f>Learn_Full!L49</f>
        <v>99</v>
      </c>
      <c r="M50">
        <f>Learn_Full!M49</f>
        <v>99</v>
      </c>
      <c r="N50">
        <f>Learn_Full!N49</f>
        <v>100</v>
      </c>
      <c r="O50">
        <f>Learn_Full!O49</f>
        <v>100</v>
      </c>
      <c r="P50">
        <f>Learn_Full!P49</f>
        <v>100</v>
      </c>
      <c r="Q50">
        <f>Rich_Full!L49</f>
        <v>100</v>
      </c>
      <c r="R50">
        <f>Rich_Full!M49</f>
        <v>100</v>
      </c>
      <c r="S50">
        <f>Rich_Full!N49</f>
        <v>100</v>
      </c>
      <c r="T50">
        <f>Rich_Full!O49</f>
        <v>100</v>
      </c>
      <c r="U50">
        <f>Rich_Full!P49</f>
        <v>100</v>
      </c>
      <c r="W50">
        <f t="shared" si="0"/>
        <v>99.5</v>
      </c>
      <c r="X50">
        <f t="shared" si="1"/>
        <v>100</v>
      </c>
      <c r="Y50">
        <f t="shared" si="2"/>
        <v>100</v>
      </c>
      <c r="AA50">
        <f>Baserun_Full!AE49</f>
        <v>46</v>
      </c>
      <c r="AB50">
        <f>Baserun_Full!AF49</f>
        <v>100</v>
      </c>
      <c r="AC50">
        <f>Baserun_Full!AG49</f>
        <v>100</v>
      </c>
      <c r="AD50">
        <f>Baserun_Full!AH49</f>
        <v>100</v>
      </c>
      <c r="AE50">
        <f>Baserun_Full!AI49</f>
        <v>83.5</v>
      </c>
      <c r="AF50">
        <f>Baserun_Full!AJ49</f>
        <v>72.833333333333329</v>
      </c>
      <c r="AG50">
        <f>Aware_Full!AF49</f>
        <v>46.166666666666664</v>
      </c>
      <c r="AH50">
        <f>Aware_Full!AG49</f>
        <v>80.666666666666671</v>
      </c>
      <c r="AI50">
        <f>Aware_Full!AH49</f>
        <v>83.333333333333329</v>
      </c>
      <c r="AJ50">
        <f>Aware_Full!AI49</f>
        <v>52.166666666666664</v>
      </c>
      <c r="AK50">
        <f>Aware_Full!AJ49</f>
        <v>100</v>
      </c>
      <c r="AL50">
        <f>Learn_Full!AF49</f>
        <v>57.166666666666664</v>
      </c>
      <c r="AM50">
        <f>Learn_Full!AG49</f>
        <v>59.333333333333336</v>
      </c>
      <c r="AN50">
        <f>Learn_Full!AH49</f>
        <v>100</v>
      </c>
      <c r="AO50">
        <f>Learn_Full!AI49</f>
        <v>100</v>
      </c>
      <c r="AP50">
        <f>Learn_Full!AJ49</f>
        <v>84.666666666666671</v>
      </c>
      <c r="AQ50">
        <f>Rich_Full!AF49</f>
        <v>100</v>
      </c>
      <c r="AR50">
        <f>Rich_Full!AG49</f>
        <v>100</v>
      </c>
      <c r="AS50">
        <f>Rich_Full!AH49</f>
        <v>100</v>
      </c>
      <c r="AT50">
        <f>Rich_Full!AI49</f>
        <v>100</v>
      </c>
      <c r="AU50">
        <f>Rich_Full!AJ49</f>
        <v>100</v>
      </c>
      <c r="AW50">
        <f t="shared" si="3"/>
        <v>0.66083333333333327</v>
      </c>
      <c r="AX50">
        <f t="shared" si="4"/>
        <v>0.83499999999999996</v>
      </c>
      <c r="AY50">
        <f t="shared" si="5"/>
        <v>1</v>
      </c>
    </row>
    <row r="51" spans="1:51" x14ac:dyDescent="0.25">
      <c r="A51">
        <f>Baserun_Full!A50</f>
        <v>47</v>
      </c>
      <c r="B51">
        <f>Baserun_Full!L50</f>
        <v>100</v>
      </c>
      <c r="C51">
        <f>Baserun_Full!M50</f>
        <v>100</v>
      </c>
      <c r="D51">
        <f>Baserun_Full!N50</f>
        <v>100</v>
      </c>
      <c r="E51">
        <f>Baserun_Full!O50</f>
        <v>100</v>
      </c>
      <c r="F51">
        <f>Baserun_Full!P50</f>
        <v>100</v>
      </c>
      <c r="G51">
        <f>Aware_Full!L50</f>
        <v>97</v>
      </c>
      <c r="H51">
        <f>Aware_Full!M50</f>
        <v>100</v>
      </c>
      <c r="I51">
        <f>Aware_Full!N50</f>
        <v>100</v>
      </c>
      <c r="J51">
        <f>Aware_Full!O50</f>
        <v>100</v>
      </c>
      <c r="K51">
        <f>Aware_Full!P50</f>
        <v>100</v>
      </c>
      <c r="L51">
        <f>Learn_Full!L50</f>
        <v>100</v>
      </c>
      <c r="M51">
        <f>Learn_Full!M50</f>
        <v>28</v>
      </c>
      <c r="N51">
        <f>Learn_Full!N50</f>
        <v>100</v>
      </c>
      <c r="O51">
        <f>Learn_Full!O50</f>
        <v>100</v>
      </c>
      <c r="P51">
        <f>Learn_Full!P50</f>
        <v>100</v>
      </c>
      <c r="Q51">
        <f>Rich_Full!L50</f>
        <v>100</v>
      </c>
      <c r="R51">
        <f>Rich_Full!M50</f>
        <v>100</v>
      </c>
      <c r="S51">
        <f>Rich_Full!N50</f>
        <v>100</v>
      </c>
      <c r="T51">
        <f>Rich_Full!O50</f>
        <v>100</v>
      </c>
      <c r="U51">
        <f>Rich_Full!P50</f>
        <v>100</v>
      </c>
      <c r="W51">
        <f t="shared" si="0"/>
        <v>100</v>
      </c>
      <c r="X51">
        <f t="shared" si="1"/>
        <v>100</v>
      </c>
      <c r="Y51">
        <f t="shared" si="2"/>
        <v>100</v>
      </c>
      <c r="AA51">
        <f>Baserun_Full!AE50</f>
        <v>47</v>
      </c>
      <c r="AB51">
        <f>Baserun_Full!AF50</f>
        <v>100</v>
      </c>
      <c r="AC51">
        <f>Baserun_Full!AG50</f>
        <v>100</v>
      </c>
      <c r="AD51">
        <f>Baserun_Full!AH50</f>
        <v>100</v>
      </c>
      <c r="AE51">
        <f>Baserun_Full!AI50</f>
        <v>91.666666666666671</v>
      </c>
      <c r="AF51">
        <f>Baserun_Full!AJ50</f>
        <v>82.333333333333329</v>
      </c>
      <c r="AG51">
        <f>Aware_Full!AF50</f>
        <v>56.333333333333336</v>
      </c>
      <c r="AH51">
        <f>Aware_Full!AG50</f>
        <v>87</v>
      </c>
      <c r="AI51">
        <f>Aware_Full!AH50</f>
        <v>83.333333333333329</v>
      </c>
      <c r="AJ51">
        <f>Aware_Full!AI50</f>
        <v>52.5</v>
      </c>
      <c r="AK51">
        <f>Aware_Full!AJ50</f>
        <v>100</v>
      </c>
      <c r="AL51">
        <f>Learn_Full!AF50</f>
        <v>58</v>
      </c>
      <c r="AM51">
        <f>Learn_Full!AG50</f>
        <v>47.333333333333336</v>
      </c>
      <c r="AN51">
        <f>Learn_Full!AH50</f>
        <v>100</v>
      </c>
      <c r="AO51">
        <f>Learn_Full!AI50</f>
        <v>100</v>
      </c>
      <c r="AP51">
        <f>Learn_Full!AJ50</f>
        <v>85.666666666666671</v>
      </c>
      <c r="AQ51">
        <f>Rich_Full!AF50</f>
        <v>100</v>
      </c>
      <c r="AR51">
        <f>Rich_Full!AG50</f>
        <v>100</v>
      </c>
      <c r="AS51">
        <f>Rich_Full!AH50</f>
        <v>100</v>
      </c>
      <c r="AT51">
        <f>Rich_Full!AI50</f>
        <v>100</v>
      </c>
      <c r="AU51">
        <f>Rich_Full!AJ50</f>
        <v>100</v>
      </c>
      <c r="AW51">
        <f t="shared" si="3"/>
        <v>0.70166666666666655</v>
      </c>
      <c r="AX51">
        <f t="shared" si="4"/>
        <v>0.87</v>
      </c>
      <c r="AY51">
        <f t="shared" si="5"/>
        <v>1</v>
      </c>
    </row>
    <row r="52" spans="1:51" x14ac:dyDescent="0.25">
      <c r="A52">
        <f>Baserun_Full!A51</f>
        <v>48</v>
      </c>
      <c r="B52">
        <f>Baserun_Full!L51</f>
        <v>100</v>
      </c>
      <c r="C52">
        <f>Baserun_Full!M51</f>
        <v>100</v>
      </c>
      <c r="D52">
        <f>Baserun_Full!N51</f>
        <v>100</v>
      </c>
      <c r="E52">
        <f>Baserun_Full!O51</f>
        <v>100</v>
      </c>
      <c r="F52">
        <f>Baserun_Full!P51</f>
        <v>100</v>
      </c>
      <c r="G52">
        <f>Aware_Full!L51</f>
        <v>60</v>
      </c>
      <c r="H52">
        <f>Aware_Full!M51</f>
        <v>100</v>
      </c>
      <c r="I52">
        <f>Aware_Full!N51</f>
        <v>100</v>
      </c>
      <c r="J52">
        <f>Aware_Full!O51</f>
        <v>100</v>
      </c>
      <c r="K52">
        <f>Aware_Full!P51</f>
        <v>100</v>
      </c>
      <c r="L52">
        <f>Learn_Full!L51</f>
        <v>23</v>
      </c>
      <c r="M52">
        <f>Learn_Full!M51</f>
        <v>100</v>
      </c>
      <c r="N52">
        <f>Learn_Full!N51</f>
        <v>100</v>
      </c>
      <c r="O52">
        <f>Learn_Full!O51</f>
        <v>100</v>
      </c>
      <c r="P52">
        <f>Learn_Full!P51</f>
        <v>100</v>
      </c>
      <c r="Q52">
        <f>Rich_Full!L51</f>
        <v>100</v>
      </c>
      <c r="R52">
        <f>Rich_Full!M51</f>
        <v>100</v>
      </c>
      <c r="S52">
        <f>Rich_Full!N51</f>
        <v>100</v>
      </c>
      <c r="T52">
        <f>Rich_Full!O51</f>
        <v>100</v>
      </c>
      <c r="U52">
        <f>Rich_Full!P51</f>
        <v>100</v>
      </c>
      <c r="W52">
        <f t="shared" si="0"/>
        <v>100</v>
      </c>
      <c r="X52">
        <f t="shared" si="1"/>
        <v>100</v>
      </c>
      <c r="Y52">
        <f t="shared" si="2"/>
        <v>100</v>
      </c>
      <c r="AA52">
        <f>Baserun_Full!AE51</f>
        <v>48</v>
      </c>
      <c r="AB52">
        <f>Baserun_Full!AF51</f>
        <v>100</v>
      </c>
      <c r="AC52">
        <f>Baserun_Full!AG51</f>
        <v>100</v>
      </c>
      <c r="AD52">
        <f>Baserun_Full!AH51</f>
        <v>100</v>
      </c>
      <c r="AE52">
        <f>Baserun_Full!AI51</f>
        <v>100</v>
      </c>
      <c r="AF52">
        <f>Baserun_Full!AJ51</f>
        <v>91</v>
      </c>
      <c r="AG52">
        <f>Aware_Full!AF51</f>
        <v>56.5</v>
      </c>
      <c r="AH52">
        <f>Aware_Full!AG51</f>
        <v>93.666666666666671</v>
      </c>
      <c r="AI52">
        <f>Aware_Full!AH51</f>
        <v>91.833333333333329</v>
      </c>
      <c r="AJ52">
        <f>Aware_Full!AI51</f>
        <v>63.833333333333336</v>
      </c>
      <c r="AK52">
        <f>Aware_Full!AJ51</f>
        <v>100</v>
      </c>
      <c r="AL52">
        <f>Learn_Full!AF51</f>
        <v>59</v>
      </c>
      <c r="AM52">
        <f>Learn_Full!AG51</f>
        <v>59.333333333333336</v>
      </c>
      <c r="AN52">
        <f>Learn_Full!AH51</f>
        <v>100</v>
      </c>
      <c r="AO52">
        <f>Learn_Full!AI51</f>
        <v>100</v>
      </c>
      <c r="AP52">
        <f>Learn_Full!AJ51</f>
        <v>98.666666666666671</v>
      </c>
      <c r="AQ52">
        <f>Rich_Full!AF51</f>
        <v>100</v>
      </c>
      <c r="AR52">
        <f>Rich_Full!AG51</f>
        <v>100</v>
      </c>
      <c r="AS52">
        <f>Rich_Full!AH51</f>
        <v>100</v>
      </c>
      <c r="AT52">
        <f>Rich_Full!AI51</f>
        <v>100</v>
      </c>
      <c r="AU52">
        <f>Rich_Full!AJ51</f>
        <v>100</v>
      </c>
      <c r="AW52">
        <f t="shared" si="3"/>
        <v>0.77416666666666667</v>
      </c>
      <c r="AX52">
        <f t="shared" si="4"/>
        <v>0.98666666666666669</v>
      </c>
      <c r="AY52">
        <f t="shared" si="5"/>
        <v>1</v>
      </c>
    </row>
    <row r="53" spans="1:51" x14ac:dyDescent="0.25">
      <c r="A53">
        <f>Baserun_Full!A52</f>
        <v>49</v>
      </c>
      <c r="B53">
        <f>Baserun_Full!L52</f>
        <v>100</v>
      </c>
      <c r="C53">
        <f>Baserun_Full!M52</f>
        <v>100</v>
      </c>
      <c r="D53">
        <f>Baserun_Full!N52</f>
        <v>100</v>
      </c>
      <c r="E53">
        <f>Baserun_Full!O52</f>
        <v>100</v>
      </c>
      <c r="F53">
        <f>Baserun_Full!P52</f>
        <v>100</v>
      </c>
      <c r="G53">
        <f>Aware_Full!L52</f>
        <v>100</v>
      </c>
      <c r="H53">
        <f>Aware_Full!M52</f>
        <v>100</v>
      </c>
      <c r="I53">
        <f>Aware_Full!N52</f>
        <v>100</v>
      </c>
      <c r="J53">
        <f>Aware_Full!O52</f>
        <v>61</v>
      </c>
      <c r="K53">
        <f>Aware_Full!P52</f>
        <v>100</v>
      </c>
      <c r="L53">
        <f>Learn_Full!L52</f>
        <v>100</v>
      </c>
      <c r="M53">
        <f>Learn_Full!M52</f>
        <v>100</v>
      </c>
      <c r="N53">
        <f>Learn_Full!N52</f>
        <v>100</v>
      </c>
      <c r="O53">
        <f>Learn_Full!O52</f>
        <v>100</v>
      </c>
      <c r="P53">
        <f>Learn_Full!P52</f>
        <v>100</v>
      </c>
      <c r="Q53">
        <f>Rich_Full!L52</f>
        <v>100</v>
      </c>
      <c r="R53">
        <f>Rich_Full!M52</f>
        <v>100</v>
      </c>
      <c r="S53">
        <f>Rich_Full!N52</f>
        <v>100</v>
      </c>
      <c r="T53">
        <f>Rich_Full!O52</f>
        <v>100</v>
      </c>
      <c r="U53">
        <f>Rich_Full!P52</f>
        <v>100</v>
      </c>
      <c r="W53">
        <f t="shared" si="0"/>
        <v>100</v>
      </c>
      <c r="X53">
        <f t="shared" si="1"/>
        <v>100</v>
      </c>
      <c r="Y53">
        <f t="shared" si="2"/>
        <v>100</v>
      </c>
      <c r="AA53">
        <f>Baserun_Full!AE52</f>
        <v>49</v>
      </c>
      <c r="AB53">
        <f>Baserun_Full!AF52</f>
        <v>100</v>
      </c>
      <c r="AC53">
        <f>Baserun_Full!AG52</f>
        <v>100</v>
      </c>
      <c r="AD53">
        <f>Baserun_Full!AH52</f>
        <v>100</v>
      </c>
      <c r="AE53">
        <f>Baserun_Full!AI52</f>
        <v>100</v>
      </c>
      <c r="AF53">
        <f>Baserun_Full!AJ52</f>
        <v>99.5</v>
      </c>
      <c r="AG53">
        <f>Aware_Full!AF52</f>
        <v>67.333333333333329</v>
      </c>
      <c r="AH53">
        <f>Aware_Full!AG52</f>
        <v>93.666666666666671</v>
      </c>
      <c r="AI53">
        <f>Aware_Full!AH52</f>
        <v>91.833333333333329</v>
      </c>
      <c r="AJ53">
        <f>Aware_Full!AI52</f>
        <v>68.833333333333329</v>
      </c>
      <c r="AK53">
        <f>Aware_Full!AJ52</f>
        <v>100</v>
      </c>
      <c r="AL53">
        <f>Learn_Full!AF52</f>
        <v>72.833333333333329</v>
      </c>
      <c r="AM53">
        <f>Learn_Full!AG52</f>
        <v>59.5</v>
      </c>
      <c r="AN53">
        <f>Learn_Full!AH52</f>
        <v>100</v>
      </c>
      <c r="AO53">
        <f>Learn_Full!AI52</f>
        <v>100</v>
      </c>
      <c r="AP53">
        <f>Learn_Full!AJ52</f>
        <v>99.666666666666671</v>
      </c>
      <c r="AQ53">
        <f>Rich_Full!AF52</f>
        <v>100</v>
      </c>
      <c r="AR53">
        <f>Rich_Full!AG52</f>
        <v>100</v>
      </c>
      <c r="AS53">
        <f>Rich_Full!AH52</f>
        <v>100</v>
      </c>
      <c r="AT53">
        <f>Rich_Full!AI52</f>
        <v>100</v>
      </c>
      <c r="AU53">
        <f>Rich_Full!AJ52</f>
        <v>100</v>
      </c>
      <c r="AW53">
        <f t="shared" si="3"/>
        <v>0.82333333333333325</v>
      </c>
      <c r="AX53">
        <f t="shared" si="4"/>
        <v>0.9966666666666667</v>
      </c>
      <c r="AY53">
        <f t="shared" si="5"/>
        <v>1</v>
      </c>
    </row>
    <row r="54" spans="1:51" x14ac:dyDescent="0.25">
      <c r="A54" t="str">
        <f>Baserun_Full!A53</f>
        <v>Sum</v>
      </c>
      <c r="B54">
        <f>Baserun_Full!L53</f>
        <v>4106</v>
      </c>
      <c r="C54">
        <f>Baserun_Full!M53</f>
        <v>4073</v>
      </c>
      <c r="D54">
        <f>Baserun_Full!N53</f>
        <v>3653</v>
      </c>
      <c r="E54">
        <f>Baserun_Full!O53</f>
        <v>3410</v>
      </c>
      <c r="F54">
        <f>Baserun_Full!P53</f>
        <v>3177</v>
      </c>
      <c r="G54">
        <f>Aware_Full!L53</f>
        <v>3333</v>
      </c>
      <c r="H54">
        <f>Aware_Full!M53</f>
        <v>3345</v>
      </c>
      <c r="I54">
        <f>Aware_Full!N53</f>
        <v>3346</v>
      </c>
      <c r="J54">
        <f>Aware_Full!O53</f>
        <v>3069</v>
      </c>
      <c r="K54">
        <f>Aware_Full!P53</f>
        <v>4000</v>
      </c>
      <c r="L54">
        <f>Learn_Full!L53</f>
        <v>2911</v>
      </c>
      <c r="M54">
        <f>Learn_Full!M53</f>
        <v>3041</v>
      </c>
      <c r="N54">
        <f>Learn_Full!N53</f>
        <v>3459</v>
      </c>
      <c r="O54">
        <f>Learn_Full!O53</f>
        <v>3229</v>
      </c>
      <c r="P54">
        <f>Learn_Full!P53</f>
        <v>2905</v>
      </c>
      <c r="Q54">
        <f>Rich_Full!L53</f>
        <v>4096</v>
      </c>
      <c r="R54">
        <f>Rich_Full!M53</f>
        <v>4076</v>
      </c>
      <c r="S54">
        <f>Rich_Full!N53</f>
        <v>3879</v>
      </c>
      <c r="T54">
        <f>Rich_Full!O53</f>
        <v>3606</v>
      </c>
      <c r="U54">
        <f>Rich_Full!P53</f>
        <v>3814</v>
      </c>
      <c r="W54">
        <f t="shared" si="0"/>
        <v>3123</v>
      </c>
      <c r="X54">
        <f t="shared" si="1"/>
        <v>3345</v>
      </c>
      <c r="Y54">
        <f t="shared" si="2"/>
        <v>3556</v>
      </c>
      <c r="AA54" t="str">
        <f>Baserun_Full!AE53</f>
        <v>Sum</v>
      </c>
      <c r="AB54">
        <f>Baserun_Full!AF53</f>
        <v>4103.9666666666672</v>
      </c>
      <c r="AC54">
        <f>Baserun_Full!AG53</f>
        <v>4070.7833333333333</v>
      </c>
      <c r="AD54">
        <f>Baserun_Full!AH53</f>
        <v>3650.8166666666666</v>
      </c>
      <c r="AE54">
        <f>Baserun_Full!AI53</f>
        <v>3407.7833333333328</v>
      </c>
      <c r="AF54">
        <f>Baserun_Full!AJ53</f>
        <v>3173.8166666666675</v>
      </c>
      <c r="AG54">
        <f>Aware_Full!AF53</f>
        <v>3384.3000000000011</v>
      </c>
      <c r="AH54">
        <f>Aware_Full!AG53</f>
        <v>3342.4499999999985</v>
      </c>
      <c r="AI54">
        <f>Aware_Full!AH53</f>
        <v>3351.650000000001</v>
      </c>
      <c r="AJ54">
        <f>Aware_Full!AI53</f>
        <v>3112.6166666666677</v>
      </c>
      <c r="AK54">
        <f>Aware_Full!AJ53</f>
        <v>3997.8</v>
      </c>
      <c r="AL54">
        <f>Learn_Full!AF53</f>
        <v>2973.5166666666669</v>
      </c>
      <c r="AM54">
        <f>Learn_Full!AG53</f>
        <v>3088.0333333333333</v>
      </c>
      <c r="AN54">
        <f>Learn_Full!AH53</f>
        <v>3453.8000000000006</v>
      </c>
      <c r="AO54">
        <f>Learn_Full!AI53</f>
        <v>3223.9833333333345</v>
      </c>
      <c r="AP54">
        <f>Learn_Full!AJ53</f>
        <v>2900.2999999999993</v>
      </c>
      <c r="AQ54">
        <f>Rich_Full!AF53</f>
        <v>4093.083333333333</v>
      </c>
      <c r="AR54">
        <f>Rich_Full!AG53</f>
        <v>4072.0333333333328</v>
      </c>
      <c r="AS54">
        <f>Rich_Full!AH53</f>
        <v>3872.3833333333332</v>
      </c>
      <c r="AT54">
        <f>Rich_Full!AI53</f>
        <v>3601.3833333333337</v>
      </c>
      <c r="AU54">
        <f>Rich_Full!AJ53</f>
        <v>3809.7666666666669</v>
      </c>
      <c r="AW54">
        <f t="shared" si="3"/>
        <v>31.432166666666674</v>
      </c>
      <c r="AX54">
        <f t="shared" si="4"/>
        <v>33.516500000000008</v>
      </c>
      <c r="AY54">
        <f t="shared" si="5"/>
        <v>35.523083333333332</v>
      </c>
    </row>
  </sheetData>
  <mergeCells count="10">
    <mergeCell ref="B2:F2"/>
    <mergeCell ref="G2:K2"/>
    <mergeCell ref="L2:P2"/>
    <mergeCell ref="Q2:U2"/>
    <mergeCell ref="A1:Y1"/>
    <mergeCell ref="AA1:AY1"/>
    <mergeCell ref="AB2:AF2"/>
    <mergeCell ref="AG2:AK2"/>
    <mergeCell ref="AL2:AP2"/>
    <mergeCell ref="AQ2:AU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E5D2-8D9C-41A2-92AA-9690AA41D5B7}">
  <dimension ref="A1:AY54"/>
  <sheetViews>
    <sheetView topLeftCell="R3" workbookViewId="0">
      <selection activeCell="AX4" sqref="AX4"/>
    </sheetView>
  </sheetViews>
  <sheetFormatPr defaultRowHeight="15" x14ac:dyDescent="0.25"/>
  <sheetData>
    <row r="1" spans="1:51" x14ac:dyDescent="0.25">
      <c r="A1" s="7" t="s">
        <v>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AA1" s="7" t="s">
        <v>2</v>
      </c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5">
      <c r="B2" s="7" t="s">
        <v>68</v>
      </c>
      <c r="C2" s="7"/>
      <c r="D2" s="7"/>
      <c r="E2" s="7"/>
      <c r="F2" s="7"/>
      <c r="G2" s="7" t="s">
        <v>65</v>
      </c>
      <c r="H2" s="7"/>
      <c r="I2" s="7"/>
      <c r="J2" s="7"/>
      <c r="K2" s="7"/>
      <c r="L2" s="7" t="s">
        <v>67</v>
      </c>
      <c r="M2" s="7"/>
      <c r="N2" s="7"/>
      <c r="O2" s="7"/>
      <c r="P2" s="7"/>
      <c r="Q2" s="7" t="s">
        <v>66</v>
      </c>
      <c r="R2" s="7"/>
      <c r="S2" s="7"/>
      <c r="T2" s="7"/>
      <c r="U2" s="7"/>
      <c r="V2" s="1"/>
      <c r="AB2" s="7" t="s">
        <v>68</v>
      </c>
      <c r="AC2" s="7"/>
      <c r="AD2" s="7"/>
      <c r="AE2" s="7"/>
      <c r="AF2" s="7"/>
      <c r="AG2" s="7" t="s">
        <v>65</v>
      </c>
      <c r="AH2" s="7"/>
      <c r="AI2" s="7"/>
      <c r="AJ2" s="7"/>
      <c r="AK2" s="7"/>
      <c r="AL2" s="7" t="s">
        <v>67</v>
      </c>
      <c r="AM2" s="7"/>
      <c r="AN2" s="7"/>
      <c r="AO2" s="7"/>
      <c r="AP2" s="7"/>
      <c r="AQ2" s="7" t="s">
        <v>66</v>
      </c>
      <c r="AR2" s="7"/>
      <c r="AS2" s="7"/>
      <c r="AT2" s="7"/>
      <c r="AU2" s="7"/>
      <c r="AV2" s="1"/>
    </row>
    <row r="3" spans="1:51" x14ac:dyDescent="0.25">
      <c r="A3" t="str">
        <f>Baserun_Full!A2</f>
        <v>Time</v>
      </c>
      <c r="B3" t="str">
        <f>Baserun_Full!B2</f>
        <v>NI_Baserun1</v>
      </c>
      <c r="C3" t="str">
        <f>Baserun_Full!C2</f>
        <v>NI_Baserun2</v>
      </c>
      <c r="D3" t="str">
        <f>Baserun_Full!D2</f>
        <v>NI_Baserun3</v>
      </c>
      <c r="E3" t="str">
        <f>Baserun_Full!E2</f>
        <v>NI_Baserun4</v>
      </c>
      <c r="F3" t="str">
        <f>Baserun_Full!F2</f>
        <v>NI_Baserun5</v>
      </c>
      <c r="G3" t="str">
        <f>Aware_Full!B2</f>
        <v>NI_Aware1</v>
      </c>
      <c r="H3" t="str">
        <f>Aware_Full!C2</f>
        <v>NI_Aware2</v>
      </c>
      <c r="I3" t="str">
        <f>Aware_Full!D2</f>
        <v>NI_Aware3</v>
      </c>
      <c r="J3" t="str">
        <f>Aware_Full!E2</f>
        <v>NI_Aware4</v>
      </c>
      <c r="K3" t="str">
        <f>Aware_Full!F2</f>
        <v>NI_Aware5</v>
      </c>
      <c r="L3" t="str">
        <f>Learn_Full!B2</f>
        <v>NI_Learn1</v>
      </c>
      <c r="M3" t="str">
        <f>Learn_Full!C2</f>
        <v>NI_Learn2</v>
      </c>
      <c r="N3" t="str">
        <f>Learn_Full!D2</f>
        <v>NI_Learn3</v>
      </c>
      <c r="O3" t="str">
        <f>Learn_Full!E2</f>
        <v>NI_Learn4</v>
      </c>
      <c r="P3" t="str">
        <f>Learn_Full!F2</f>
        <v>NI_Learn5</v>
      </c>
      <c r="Q3" t="str">
        <f>Rich_Full!B2</f>
        <v>NI_Rich1</v>
      </c>
      <c r="R3" t="str">
        <f>Rich_Full!C2</f>
        <v>NI_Rich2</v>
      </c>
      <c r="S3" t="str">
        <f>Rich_Full!D2</f>
        <v>NI_Rich3</v>
      </c>
      <c r="T3" t="str">
        <f>Rich_Full!E2</f>
        <v>NI_Rich4</v>
      </c>
      <c r="U3" t="str">
        <f>Rich_Full!F2</f>
        <v>NI_Rich5</v>
      </c>
      <c r="W3" t="s">
        <v>12</v>
      </c>
      <c r="X3" t="s">
        <v>69</v>
      </c>
      <c r="Y3" t="s">
        <v>13</v>
      </c>
      <c r="AA3" t="str">
        <f>Baserun_Full!U2</f>
        <v>Time</v>
      </c>
      <c r="AB3" t="str">
        <f>Baserun_Full!V2</f>
        <v>I_Baserun1</v>
      </c>
      <c r="AC3" t="str">
        <f>Baserun_Full!W2</f>
        <v>I_Baserun2</v>
      </c>
      <c r="AD3" t="str">
        <f>Baserun_Full!X2</f>
        <v>I_Baserun3</v>
      </c>
      <c r="AE3" t="str">
        <f>Baserun_Full!Y2</f>
        <v>I_Baserun4</v>
      </c>
      <c r="AF3" t="str">
        <f>Baserun_Full!Z2</f>
        <v>I_Baserun5</v>
      </c>
      <c r="AG3" t="str">
        <f>Aware_Full!V2</f>
        <v>I_Aware1</v>
      </c>
      <c r="AH3" t="str">
        <f>Aware_Full!W2</f>
        <v>I_Aware2</v>
      </c>
      <c r="AI3" t="str">
        <f>Aware_Full!X2</f>
        <v>I_Aware3</v>
      </c>
      <c r="AJ3" t="str">
        <f>Aware_Full!Y2</f>
        <v>I_Aware4</v>
      </c>
      <c r="AK3" t="str">
        <f>Aware_Full!Z2</f>
        <v>I_Aware5</v>
      </c>
      <c r="AL3" t="str">
        <f>Learn_Full!V2</f>
        <v>I_Learn1</v>
      </c>
      <c r="AM3" t="str">
        <f>Learn_Full!W2</f>
        <v>I_Learn2</v>
      </c>
      <c r="AN3" t="str">
        <f>Learn_Full!X2</f>
        <v>I_Learn3</v>
      </c>
      <c r="AO3" t="str">
        <f>Learn_Full!Y2</f>
        <v>I_Learn4</v>
      </c>
      <c r="AP3" t="str">
        <f>Learn_Full!Z2</f>
        <v>I_Learn5</v>
      </c>
      <c r="AQ3" t="str">
        <f>Rich_Full!V2</f>
        <v>I_Rich1</v>
      </c>
      <c r="AR3" t="str">
        <f>Rich_Full!W2</f>
        <v>I_Rich2</v>
      </c>
      <c r="AS3" t="str">
        <f>Rich_Full!X2</f>
        <v>I_Rich3</v>
      </c>
      <c r="AT3" t="str">
        <f>Rich_Full!Y2</f>
        <v>I_Rich4</v>
      </c>
      <c r="AU3" t="str">
        <f>Rich_Full!Z2</f>
        <v>I_Rich5</v>
      </c>
      <c r="AW3" t="s">
        <v>124</v>
      </c>
      <c r="AX3" t="s">
        <v>123</v>
      </c>
      <c r="AY3" t="s">
        <v>122</v>
      </c>
    </row>
    <row r="4" spans="1:51" x14ac:dyDescent="0.25">
      <c r="A4">
        <f>Baserun_Full!A3</f>
        <v>0</v>
      </c>
      <c r="B4">
        <f>Baserun_Full!B3</f>
        <v>2</v>
      </c>
      <c r="C4">
        <f>Baserun_Full!C3</f>
        <v>2</v>
      </c>
      <c r="D4">
        <f>Baserun_Full!D3</f>
        <v>2</v>
      </c>
      <c r="E4">
        <f>Baserun_Full!E3</f>
        <v>2</v>
      </c>
      <c r="F4">
        <f>Baserun_Full!F3</f>
        <v>2</v>
      </c>
      <c r="G4">
        <f>Aware_Full!B3</f>
        <v>2</v>
      </c>
      <c r="H4">
        <f>Aware_Full!C3</f>
        <v>2</v>
      </c>
      <c r="I4">
        <f>Aware_Full!D3</f>
        <v>2</v>
      </c>
      <c r="J4">
        <f>Aware_Full!E3</f>
        <v>2</v>
      </c>
      <c r="K4">
        <f>Aware_Full!F3</f>
        <v>2</v>
      </c>
      <c r="L4">
        <f>Learn_Full!B3</f>
        <v>2</v>
      </c>
      <c r="M4">
        <f>Learn_Full!C3</f>
        <v>2</v>
      </c>
      <c r="N4">
        <f>Learn_Full!D3</f>
        <v>2</v>
      </c>
      <c r="O4">
        <f>Learn_Full!E3</f>
        <v>2</v>
      </c>
      <c r="P4">
        <f>Learn_Full!F3</f>
        <v>2</v>
      </c>
      <c r="Q4">
        <f>Rich_Full!B3</f>
        <v>2</v>
      </c>
      <c r="R4">
        <f>Rich_Full!C3</f>
        <v>2</v>
      </c>
      <c r="S4">
        <f>Rich_Full!D3</f>
        <v>2</v>
      </c>
      <c r="T4">
        <f>Rich_Full!E3</f>
        <v>2</v>
      </c>
      <c r="U4">
        <f>Rich_Full!F3</f>
        <v>2</v>
      </c>
      <c r="V4">
        <v>1</v>
      </c>
      <c r="W4">
        <f>PERCENTILE(B4:P4,0.25)</f>
        <v>2</v>
      </c>
      <c r="X4">
        <f>PERCENTILE(B4:P4,0.5)</f>
        <v>2</v>
      </c>
      <c r="Y4">
        <f>PERCENTILE(B4:P4,0.75)</f>
        <v>2</v>
      </c>
      <c r="AA4">
        <f>Baserun_Full!U3</f>
        <v>0</v>
      </c>
      <c r="AB4">
        <f>Baserun_Full!V3</f>
        <v>2</v>
      </c>
      <c r="AC4">
        <f>Baserun_Full!W3</f>
        <v>2</v>
      </c>
      <c r="AD4">
        <f>Baserun_Full!X3</f>
        <v>2</v>
      </c>
      <c r="AE4">
        <f>Baserun_Full!Y3</f>
        <v>2</v>
      </c>
      <c r="AF4">
        <f>Baserun_Full!Z3</f>
        <v>2</v>
      </c>
      <c r="AG4">
        <f>Aware_Full!V3</f>
        <v>2</v>
      </c>
      <c r="AH4">
        <f>Aware_Full!W3</f>
        <v>2</v>
      </c>
      <c r="AI4">
        <f>Aware_Full!X3</f>
        <v>2</v>
      </c>
      <c r="AJ4">
        <f>Aware_Full!Y3</f>
        <v>2</v>
      </c>
      <c r="AK4">
        <f>Aware_Full!Z3</f>
        <v>2</v>
      </c>
      <c r="AL4">
        <f>Learn_Full!V3</f>
        <v>2</v>
      </c>
      <c r="AM4">
        <f>Learn_Full!W3</f>
        <v>2</v>
      </c>
      <c r="AN4">
        <f>Learn_Full!X3</f>
        <v>2</v>
      </c>
      <c r="AO4">
        <f>Learn_Full!Y3</f>
        <v>2</v>
      </c>
      <c r="AP4">
        <f>Learn_Full!Z3</f>
        <v>2</v>
      </c>
      <c r="AQ4">
        <f>Rich_Full!V3</f>
        <v>2</v>
      </c>
      <c r="AR4">
        <f>Rich_Full!W3</f>
        <v>2</v>
      </c>
      <c r="AS4">
        <f>Rich_Full!X3</f>
        <v>2</v>
      </c>
      <c r="AT4">
        <f>Rich_Full!Y3</f>
        <v>2</v>
      </c>
      <c r="AU4">
        <f>Rich_Full!Z3</f>
        <v>2</v>
      </c>
      <c r="AW4">
        <f>PERCENTILE(AB4:AP4,0.25)</f>
        <v>2</v>
      </c>
      <c r="AX4">
        <f>PERCENTILE(AB4:AP4,0.5)</f>
        <v>2</v>
      </c>
      <c r="AY4">
        <f>PERCENTILE(AB4:AP4,0.75)</f>
        <v>2</v>
      </c>
    </row>
    <row r="5" spans="1:51" x14ac:dyDescent="0.25">
      <c r="A5">
        <f>Baserun_Full!A4</f>
        <v>1</v>
      </c>
      <c r="B5">
        <f>Baserun_Full!B4</f>
        <v>0</v>
      </c>
      <c r="C5">
        <f>Baserun_Full!C4</f>
        <v>4</v>
      </c>
      <c r="D5">
        <f>Baserun_Full!D4</f>
        <v>1</v>
      </c>
      <c r="E5">
        <f>Baserun_Full!E4</f>
        <v>3</v>
      </c>
      <c r="F5">
        <f>Baserun_Full!F4</f>
        <v>1</v>
      </c>
      <c r="G5">
        <f>Aware_Full!B4</f>
        <v>3</v>
      </c>
      <c r="H5">
        <f>Aware_Full!C4</f>
        <v>0</v>
      </c>
      <c r="I5">
        <f>Aware_Full!D4</f>
        <v>0</v>
      </c>
      <c r="J5">
        <f>Aware_Full!E4</f>
        <v>2</v>
      </c>
      <c r="K5">
        <f>Aware_Full!F4</f>
        <v>2</v>
      </c>
      <c r="L5">
        <f>Learn_Full!B4</f>
        <v>0</v>
      </c>
      <c r="M5">
        <f>Learn_Full!C4</f>
        <v>0</v>
      </c>
      <c r="N5">
        <f>Learn_Full!D4</f>
        <v>1</v>
      </c>
      <c r="O5">
        <f>Learn_Full!E4</f>
        <v>2</v>
      </c>
      <c r="P5">
        <f>Learn_Full!F4</f>
        <v>1</v>
      </c>
      <c r="Q5">
        <f>Rich_Full!B4</f>
        <v>3</v>
      </c>
      <c r="R5">
        <f>Rich_Full!C4</f>
        <v>1</v>
      </c>
      <c r="S5">
        <f>Rich_Full!D4</f>
        <v>2</v>
      </c>
      <c r="T5">
        <f>Rich_Full!E4</f>
        <v>3</v>
      </c>
      <c r="U5">
        <f>Rich_Full!F4</f>
        <v>5</v>
      </c>
      <c r="V5">
        <v>2</v>
      </c>
      <c r="W5">
        <f t="shared" ref="W5:W54" si="0">PERCENTILE(B5:P5,0.25)</f>
        <v>0</v>
      </c>
      <c r="X5">
        <f t="shared" ref="X5:X54" si="1">PERCENTILE(B5:P5,0.5)</f>
        <v>1</v>
      </c>
      <c r="Y5">
        <f t="shared" ref="Y5:Y54" si="2">PERCENTILE(B5:P5,0.75)</f>
        <v>2</v>
      </c>
      <c r="AA5">
        <f>Baserun_Full!U4</f>
        <v>1</v>
      </c>
      <c r="AB5">
        <f>Baserun_Full!V4</f>
        <v>2</v>
      </c>
      <c r="AC5">
        <f>Baserun_Full!W4</f>
        <v>6</v>
      </c>
      <c r="AD5">
        <f>Baserun_Full!X4</f>
        <v>3</v>
      </c>
      <c r="AE5">
        <f>Baserun_Full!Y4</f>
        <v>5</v>
      </c>
      <c r="AF5">
        <f>Baserun_Full!Z4</f>
        <v>3</v>
      </c>
      <c r="AG5">
        <f>Aware_Full!V4</f>
        <v>5</v>
      </c>
      <c r="AH5">
        <f>Aware_Full!W4</f>
        <v>2</v>
      </c>
      <c r="AI5">
        <f>Aware_Full!X4</f>
        <v>2</v>
      </c>
      <c r="AJ5">
        <f>Aware_Full!Y4</f>
        <v>4</v>
      </c>
      <c r="AK5">
        <f>Aware_Full!Z4</f>
        <v>4</v>
      </c>
      <c r="AL5">
        <f>Learn_Full!V4</f>
        <v>2</v>
      </c>
      <c r="AM5">
        <f>Learn_Full!W4</f>
        <v>2</v>
      </c>
      <c r="AN5">
        <f>Learn_Full!X4</f>
        <v>3</v>
      </c>
      <c r="AO5">
        <f>Learn_Full!Y4</f>
        <v>4</v>
      </c>
      <c r="AP5">
        <f>Learn_Full!Z4</f>
        <v>3</v>
      </c>
      <c r="AQ5">
        <f>Rich_Full!V4</f>
        <v>5</v>
      </c>
      <c r="AR5">
        <f>Rich_Full!W4</f>
        <v>3</v>
      </c>
      <c r="AS5">
        <f>Rich_Full!X4</f>
        <v>4</v>
      </c>
      <c r="AT5">
        <f>Rich_Full!Y4</f>
        <v>5</v>
      </c>
      <c r="AU5">
        <f>Rich_Full!Z4</f>
        <v>7</v>
      </c>
      <c r="AW5">
        <f t="shared" ref="AW5:AW54" si="3">PERCENTILE(AB5:AP5,0.25)</f>
        <v>2</v>
      </c>
      <c r="AX5">
        <f t="shared" ref="AX5:AX54" si="4">PERCENTILE(AB5:AP5,0.5)</f>
        <v>3</v>
      </c>
      <c r="AY5">
        <f t="shared" ref="AY5:AY54" si="5">PERCENTILE(AB5:AP5,0.75)</f>
        <v>4</v>
      </c>
    </row>
    <row r="6" spans="1:51" x14ac:dyDescent="0.25">
      <c r="A6">
        <f>Baserun_Full!A5</f>
        <v>2</v>
      </c>
      <c r="B6">
        <f>Baserun_Full!B5</f>
        <v>5</v>
      </c>
      <c r="C6">
        <f>Baserun_Full!C5</f>
        <v>9</v>
      </c>
      <c r="D6">
        <f>Baserun_Full!D5</f>
        <v>3</v>
      </c>
      <c r="E6">
        <f>Baserun_Full!E5</f>
        <v>4</v>
      </c>
      <c r="F6">
        <f>Baserun_Full!F5</f>
        <v>2</v>
      </c>
      <c r="G6">
        <f>Aware_Full!B5</f>
        <v>2</v>
      </c>
      <c r="H6">
        <f>Aware_Full!C5</f>
        <v>0</v>
      </c>
      <c r="I6">
        <f>Aware_Full!D5</f>
        <v>1</v>
      </c>
      <c r="J6">
        <f>Aware_Full!E5</f>
        <v>4</v>
      </c>
      <c r="K6">
        <f>Aware_Full!F5</f>
        <v>5</v>
      </c>
      <c r="L6">
        <f>Learn_Full!B5</f>
        <v>1</v>
      </c>
      <c r="M6">
        <f>Learn_Full!C5</f>
        <v>3</v>
      </c>
      <c r="N6">
        <f>Learn_Full!D5</f>
        <v>1</v>
      </c>
      <c r="O6">
        <f>Learn_Full!E5</f>
        <v>3</v>
      </c>
      <c r="P6">
        <f>Learn_Full!F5</f>
        <v>4</v>
      </c>
      <c r="Q6">
        <f>Rich_Full!B5</f>
        <v>4</v>
      </c>
      <c r="R6">
        <f>Rich_Full!C5</f>
        <v>2</v>
      </c>
      <c r="S6">
        <f>Rich_Full!D5</f>
        <v>0</v>
      </c>
      <c r="T6">
        <f>Rich_Full!E5</f>
        <v>5</v>
      </c>
      <c r="U6">
        <f>Rich_Full!F5</f>
        <v>5</v>
      </c>
      <c r="V6">
        <v>3</v>
      </c>
      <c r="W6">
        <f t="shared" si="0"/>
        <v>1.5</v>
      </c>
      <c r="X6">
        <f t="shared" si="1"/>
        <v>3</v>
      </c>
      <c r="Y6">
        <f t="shared" si="2"/>
        <v>4</v>
      </c>
      <c r="AA6">
        <f>Baserun_Full!U5</f>
        <v>2</v>
      </c>
      <c r="AB6">
        <f>Baserun_Full!V5</f>
        <v>7</v>
      </c>
      <c r="AC6">
        <f>Baserun_Full!W5</f>
        <v>15</v>
      </c>
      <c r="AD6">
        <f>Baserun_Full!X5</f>
        <v>6</v>
      </c>
      <c r="AE6">
        <f>Baserun_Full!Y5</f>
        <v>9</v>
      </c>
      <c r="AF6">
        <f>Baserun_Full!Z5</f>
        <v>5</v>
      </c>
      <c r="AG6">
        <f>Aware_Full!V5</f>
        <v>7</v>
      </c>
      <c r="AH6">
        <f>Aware_Full!W5</f>
        <v>2</v>
      </c>
      <c r="AI6">
        <f>Aware_Full!X5</f>
        <v>3</v>
      </c>
      <c r="AJ6">
        <f>Aware_Full!Y5</f>
        <v>8</v>
      </c>
      <c r="AK6">
        <f>Aware_Full!Z5</f>
        <v>9</v>
      </c>
      <c r="AL6">
        <f>Learn_Full!V5</f>
        <v>3</v>
      </c>
      <c r="AM6">
        <f>Learn_Full!W5</f>
        <v>5</v>
      </c>
      <c r="AN6">
        <f>Learn_Full!X5</f>
        <v>4</v>
      </c>
      <c r="AO6">
        <f>Learn_Full!Y5</f>
        <v>7</v>
      </c>
      <c r="AP6">
        <f>Learn_Full!Z5</f>
        <v>7</v>
      </c>
      <c r="AQ6">
        <f>Rich_Full!V5</f>
        <v>9</v>
      </c>
      <c r="AR6">
        <f>Rich_Full!W5</f>
        <v>5</v>
      </c>
      <c r="AS6">
        <f>Rich_Full!X5</f>
        <v>4</v>
      </c>
      <c r="AT6">
        <f>Rich_Full!Y5</f>
        <v>10</v>
      </c>
      <c r="AU6">
        <f>Rich_Full!Z5</f>
        <v>12</v>
      </c>
      <c r="AW6">
        <f t="shared" si="3"/>
        <v>4.5</v>
      </c>
      <c r="AX6">
        <f t="shared" si="4"/>
        <v>7</v>
      </c>
      <c r="AY6">
        <f t="shared" si="5"/>
        <v>7.5</v>
      </c>
    </row>
    <row r="7" spans="1:51" x14ac:dyDescent="0.25">
      <c r="A7">
        <f>Baserun_Full!A6</f>
        <v>3</v>
      </c>
      <c r="B7">
        <f>Baserun_Full!B6</f>
        <v>8</v>
      </c>
      <c r="C7">
        <f>Baserun_Full!C6</f>
        <v>10</v>
      </c>
      <c r="D7">
        <f>Baserun_Full!D6</f>
        <v>3</v>
      </c>
      <c r="E7">
        <f>Baserun_Full!E6</f>
        <v>6</v>
      </c>
      <c r="F7">
        <f>Baserun_Full!F6</f>
        <v>6</v>
      </c>
      <c r="G7">
        <f>Aware_Full!B6</f>
        <v>7</v>
      </c>
      <c r="H7">
        <f>Aware_Full!C6</f>
        <v>1</v>
      </c>
      <c r="I7">
        <f>Aware_Full!D6</f>
        <v>2</v>
      </c>
      <c r="J7">
        <f>Aware_Full!E6</f>
        <v>3</v>
      </c>
      <c r="K7">
        <f>Aware_Full!F6</f>
        <v>8</v>
      </c>
      <c r="L7">
        <f>Learn_Full!B6</f>
        <v>4</v>
      </c>
      <c r="M7">
        <f>Learn_Full!C6</f>
        <v>5</v>
      </c>
      <c r="N7">
        <f>Learn_Full!D6</f>
        <v>6</v>
      </c>
      <c r="O7">
        <f>Learn_Full!E6</f>
        <v>6</v>
      </c>
      <c r="P7">
        <f>Learn_Full!F6</f>
        <v>4</v>
      </c>
      <c r="Q7">
        <f>Rich_Full!B6</f>
        <v>4</v>
      </c>
      <c r="R7">
        <f>Rich_Full!C6</f>
        <v>4</v>
      </c>
      <c r="S7">
        <f>Rich_Full!D6</f>
        <v>0</v>
      </c>
      <c r="T7">
        <f>Rich_Full!E6</f>
        <v>6</v>
      </c>
      <c r="U7">
        <f>Rich_Full!F6</f>
        <v>6</v>
      </c>
      <c r="V7">
        <v>4</v>
      </c>
      <c r="W7">
        <f t="shared" si="0"/>
        <v>3.5</v>
      </c>
      <c r="X7">
        <f t="shared" si="1"/>
        <v>6</v>
      </c>
      <c r="Y7">
        <f t="shared" si="2"/>
        <v>6.5</v>
      </c>
      <c r="AA7">
        <f>Baserun_Full!U6</f>
        <v>3</v>
      </c>
      <c r="AB7">
        <f>Baserun_Full!V6</f>
        <v>15</v>
      </c>
      <c r="AC7">
        <f>Baserun_Full!W6</f>
        <v>25</v>
      </c>
      <c r="AD7">
        <f>Baserun_Full!X6</f>
        <v>9</v>
      </c>
      <c r="AE7">
        <f>Baserun_Full!Y6</f>
        <v>15</v>
      </c>
      <c r="AF7">
        <f>Baserun_Full!Z6</f>
        <v>11</v>
      </c>
      <c r="AG7">
        <f>Aware_Full!V6</f>
        <v>14</v>
      </c>
      <c r="AH7">
        <f>Aware_Full!W6</f>
        <v>3</v>
      </c>
      <c r="AI7">
        <f>Aware_Full!X6</f>
        <v>5</v>
      </c>
      <c r="AJ7">
        <f>Aware_Full!Y6</f>
        <v>11</v>
      </c>
      <c r="AK7">
        <f>Aware_Full!Z6</f>
        <v>17</v>
      </c>
      <c r="AL7">
        <f>Learn_Full!V6</f>
        <v>7</v>
      </c>
      <c r="AM7">
        <f>Learn_Full!W6</f>
        <v>10</v>
      </c>
      <c r="AN7">
        <f>Learn_Full!X6</f>
        <v>10</v>
      </c>
      <c r="AO7">
        <f>Learn_Full!Y6</f>
        <v>13</v>
      </c>
      <c r="AP7">
        <f>Learn_Full!Z6</f>
        <v>11</v>
      </c>
      <c r="AQ7">
        <f>Rich_Full!V6</f>
        <v>13</v>
      </c>
      <c r="AR7">
        <f>Rich_Full!W6</f>
        <v>9</v>
      </c>
      <c r="AS7">
        <f>Rich_Full!X6</f>
        <v>4</v>
      </c>
      <c r="AT7">
        <f>Rich_Full!Y6</f>
        <v>16</v>
      </c>
      <c r="AU7">
        <f>Rich_Full!Z6</f>
        <v>18</v>
      </c>
      <c r="AW7">
        <f t="shared" si="3"/>
        <v>9.5</v>
      </c>
      <c r="AX7">
        <f t="shared" si="4"/>
        <v>11</v>
      </c>
      <c r="AY7">
        <f t="shared" si="5"/>
        <v>14.5</v>
      </c>
    </row>
    <row r="8" spans="1:51" x14ac:dyDescent="0.25">
      <c r="A8">
        <f>Baserun_Full!A7</f>
        <v>4</v>
      </c>
      <c r="B8">
        <f>Baserun_Full!B7</f>
        <v>4</v>
      </c>
      <c r="C8">
        <f>Baserun_Full!C7</f>
        <v>6</v>
      </c>
      <c r="D8">
        <f>Baserun_Full!D7</f>
        <v>3</v>
      </c>
      <c r="E8">
        <f>Baserun_Full!E7</f>
        <v>3</v>
      </c>
      <c r="F8">
        <f>Baserun_Full!F7</f>
        <v>2</v>
      </c>
      <c r="G8">
        <f>Aware_Full!B7</f>
        <v>3</v>
      </c>
      <c r="H8">
        <f>Aware_Full!C7</f>
        <v>0</v>
      </c>
      <c r="I8">
        <f>Aware_Full!D7</f>
        <v>0</v>
      </c>
      <c r="J8">
        <f>Aware_Full!E7</f>
        <v>1</v>
      </c>
      <c r="K8">
        <f>Aware_Full!F7</f>
        <v>1</v>
      </c>
      <c r="L8">
        <f>Learn_Full!B7</f>
        <v>4</v>
      </c>
      <c r="M8">
        <f>Learn_Full!C7</f>
        <v>3</v>
      </c>
      <c r="N8">
        <f>Learn_Full!D7</f>
        <v>0</v>
      </c>
      <c r="O8">
        <f>Learn_Full!E7</f>
        <v>0</v>
      </c>
      <c r="P8">
        <f>Learn_Full!F7</f>
        <v>1</v>
      </c>
      <c r="Q8">
        <f>Rich_Full!B7</f>
        <v>5</v>
      </c>
      <c r="R8">
        <f>Rich_Full!C7</f>
        <v>5</v>
      </c>
      <c r="S8">
        <f>Rich_Full!D7</f>
        <v>3</v>
      </c>
      <c r="T8">
        <f>Rich_Full!E7</f>
        <v>7</v>
      </c>
      <c r="U8">
        <f>Rich_Full!F7</f>
        <v>2</v>
      </c>
      <c r="V8">
        <v>5</v>
      </c>
      <c r="W8">
        <f t="shared" si="0"/>
        <v>0.5</v>
      </c>
      <c r="X8">
        <f t="shared" si="1"/>
        <v>2</v>
      </c>
      <c r="Y8">
        <f t="shared" si="2"/>
        <v>3</v>
      </c>
      <c r="AA8">
        <f>Baserun_Full!U7</f>
        <v>4</v>
      </c>
      <c r="AB8">
        <f>Baserun_Full!V7</f>
        <v>19</v>
      </c>
      <c r="AC8">
        <f>Baserun_Full!W7</f>
        <v>31</v>
      </c>
      <c r="AD8">
        <f>Baserun_Full!X7</f>
        <v>12</v>
      </c>
      <c r="AE8">
        <f>Baserun_Full!Y7</f>
        <v>18</v>
      </c>
      <c r="AF8">
        <f>Baserun_Full!Z7</f>
        <v>13</v>
      </c>
      <c r="AG8">
        <f>Aware_Full!V7</f>
        <v>17</v>
      </c>
      <c r="AH8">
        <f>Aware_Full!W7</f>
        <v>3</v>
      </c>
      <c r="AI8">
        <f>Aware_Full!X7</f>
        <v>5</v>
      </c>
      <c r="AJ8">
        <f>Aware_Full!Y7</f>
        <v>12</v>
      </c>
      <c r="AK8">
        <f>Aware_Full!Z7</f>
        <v>18</v>
      </c>
      <c r="AL8">
        <f>Learn_Full!V7</f>
        <v>11</v>
      </c>
      <c r="AM8">
        <f>Learn_Full!W7</f>
        <v>13</v>
      </c>
      <c r="AN8">
        <f>Learn_Full!X7</f>
        <v>10</v>
      </c>
      <c r="AO8">
        <f>Learn_Full!Y7</f>
        <v>13</v>
      </c>
      <c r="AP8">
        <f>Learn_Full!Z7</f>
        <v>12</v>
      </c>
      <c r="AQ8">
        <f>Rich_Full!V7</f>
        <v>18</v>
      </c>
      <c r="AR8">
        <f>Rich_Full!W7</f>
        <v>14</v>
      </c>
      <c r="AS8">
        <f>Rich_Full!X7</f>
        <v>7</v>
      </c>
      <c r="AT8">
        <f>Rich_Full!Y7</f>
        <v>23</v>
      </c>
      <c r="AU8">
        <f>Rich_Full!Z7</f>
        <v>20</v>
      </c>
      <c r="AW8">
        <f t="shared" si="3"/>
        <v>11.5</v>
      </c>
      <c r="AX8">
        <f t="shared" si="4"/>
        <v>13</v>
      </c>
      <c r="AY8">
        <f t="shared" si="5"/>
        <v>17.5</v>
      </c>
    </row>
    <row r="9" spans="1:51" x14ac:dyDescent="0.25">
      <c r="A9">
        <f>Baserun_Full!A8</f>
        <v>5</v>
      </c>
      <c r="B9">
        <f>Baserun_Full!B8</f>
        <v>15</v>
      </c>
      <c r="C9">
        <f>Baserun_Full!C8</f>
        <v>5</v>
      </c>
      <c r="D9">
        <f>Baserun_Full!D8</f>
        <v>2</v>
      </c>
      <c r="E9">
        <f>Baserun_Full!E8</f>
        <v>6</v>
      </c>
      <c r="F9">
        <f>Baserun_Full!F8</f>
        <v>6</v>
      </c>
      <c r="G9">
        <f>Aware_Full!B8</f>
        <v>0</v>
      </c>
      <c r="H9">
        <f>Aware_Full!C8</f>
        <v>1</v>
      </c>
      <c r="I9">
        <f>Aware_Full!D8</f>
        <v>1</v>
      </c>
      <c r="J9">
        <f>Aware_Full!E8</f>
        <v>3</v>
      </c>
      <c r="K9">
        <f>Aware_Full!F8</f>
        <v>9</v>
      </c>
      <c r="L9">
        <f>Learn_Full!B8</f>
        <v>9</v>
      </c>
      <c r="M9">
        <f>Learn_Full!C8</f>
        <v>9</v>
      </c>
      <c r="N9">
        <f>Learn_Full!D8</f>
        <v>0</v>
      </c>
      <c r="O9">
        <f>Learn_Full!E8</f>
        <v>0</v>
      </c>
      <c r="P9">
        <f>Learn_Full!F8</f>
        <v>2</v>
      </c>
      <c r="Q9">
        <f>Rich_Full!B8</f>
        <v>6</v>
      </c>
      <c r="R9">
        <f>Rich_Full!C8</f>
        <v>7</v>
      </c>
      <c r="S9">
        <f>Rich_Full!D8</f>
        <v>3</v>
      </c>
      <c r="T9">
        <f>Rich_Full!E8</f>
        <v>7</v>
      </c>
      <c r="U9">
        <f>Rich_Full!F8</f>
        <v>5</v>
      </c>
      <c r="V9">
        <v>6</v>
      </c>
      <c r="W9">
        <f t="shared" si="0"/>
        <v>1</v>
      </c>
      <c r="X9">
        <f t="shared" si="1"/>
        <v>3</v>
      </c>
      <c r="Y9">
        <f t="shared" si="2"/>
        <v>7.5</v>
      </c>
      <c r="AA9">
        <f>Baserun_Full!U8</f>
        <v>5</v>
      </c>
      <c r="AB9">
        <f>Baserun_Full!V8</f>
        <v>34</v>
      </c>
      <c r="AC9">
        <f>Baserun_Full!W8</f>
        <v>36</v>
      </c>
      <c r="AD9">
        <f>Baserun_Full!X8</f>
        <v>14</v>
      </c>
      <c r="AE9">
        <f>Baserun_Full!Y8</f>
        <v>24</v>
      </c>
      <c r="AF9">
        <f>Baserun_Full!Z8</f>
        <v>19</v>
      </c>
      <c r="AG9">
        <f>Aware_Full!V8</f>
        <v>17</v>
      </c>
      <c r="AH9">
        <f>Aware_Full!W8</f>
        <v>4</v>
      </c>
      <c r="AI9">
        <f>Aware_Full!X8</f>
        <v>6</v>
      </c>
      <c r="AJ9">
        <f>Aware_Full!Y8</f>
        <v>15</v>
      </c>
      <c r="AK9">
        <f>Aware_Full!Z8</f>
        <v>27</v>
      </c>
      <c r="AL9">
        <f>Learn_Full!V8</f>
        <v>20</v>
      </c>
      <c r="AM9">
        <f>Learn_Full!W8</f>
        <v>22</v>
      </c>
      <c r="AN9">
        <f>Learn_Full!X8</f>
        <v>10</v>
      </c>
      <c r="AO9">
        <f>Learn_Full!Y8</f>
        <v>13</v>
      </c>
      <c r="AP9">
        <f>Learn_Full!Z8</f>
        <v>14</v>
      </c>
      <c r="AQ9">
        <f>Rich_Full!V8</f>
        <v>24</v>
      </c>
      <c r="AR9">
        <f>Rich_Full!W8</f>
        <v>21</v>
      </c>
      <c r="AS9">
        <f>Rich_Full!X8</f>
        <v>10</v>
      </c>
      <c r="AT9">
        <f>Rich_Full!Y8</f>
        <v>30</v>
      </c>
      <c r="AU9">
        <f>Rich_Full!Z8</f>
        <v>25</v>
      </c>
      <c r="AW9">
        <f t="shared" si="3"/>
        <v>13.5</v>
      </c>
      <c r="AX9">
        <f t="shared" si="4"/>
        <v>17</v>
      </c>
      <c r="AY9">
        <f t="shared" si="5"/>
        <v>23</v>
      </c>
    </row>
    <row r="10" spans="1:51" x14ac:dyDescent="0.25">
      <c r="A10">
        <f>Baserun_Full!A9</f>
        <v>6</v>
      </c>
      <c r="B10">
        <f>Baserun_Full!B9</f>
        <v>7</v>
      </c>
      <c r="C10">
        <f>Baserun_Full!C9</f>
        <v>7</v>
      </c>
      <c r="D10">
        <f>Baserun_Full!D9</f>
        <v>4</v>
      </c>
      <c r="E10">
        <f>Baserun_Full!E9</f>
        <v>7</v>
      </c>
      <c r="F10">
        <f>Baserun_Full!F9</f>
        <v>4</v>
      </c>
      <c r="G10">
        <f>Aware_Full!B9</f>
        <v>3</v>
      </c>
      <c r="H10">
        <f>Aware_Full!C9</f>
        <v>3</v>
      </c>
      <c r="I10">
        <f>Aware_Full!D9</f>
        <v>1</v>
      </c>
      <c r="J10">
        <f>Aware_Full!E9</f>
        <v>1</v>
      </c>
      <c r="K10">
        <f>Aware_Full!F9</f>
        <v>5</v>
      </c>
      <c r="L10">
        <f>Learn_Full!B9</f>
        <v>5</v>
      </c>
      <c r="M10">
        <f>Learn_Full!C9</f>
        <v>4</v>
      </c>
      <c r="N10">
        <f>Learn_Full!D9</f>
        <v>0</v>
      </c>
      <c r="O10">
        <f>Learn_Full!E9</f>
        <v>0</v>
      </c>
      <c r="P10">
        <f>Learn_Full!F9</f>
        <v>3</v>
      </c>
      <c r="Q10">
        <f>Rich_Full!B9</f>
        <v>10</v>
      </c>
      <c r="R10">
        <f>Rich_Full!C9</f>
        <v>8</v>
      </c>
      <c r="S10">
        <f>Rich_Full!D9</f>
        <v>7</v>
      </c>
      <c r="T10">
        <f>Rich_Full!E9</f>
        <v>6</v>
      </c>
      <c r="U10">
        <f>Rich_Full!F9</f>
        <v>9</v>
      </c>
      <c r="V10">
        <v>7</v>
      </c>
      <c r="W10">
        <f t="shared" si="0"/>
        <v>2</v>
      </c>
      <c r="X10">
        <f t="shared" si="1"/>
        <v>4</v>
      </c>
      <c r="Y10">
        <f t="shared" si="2"/>
        <v>5</v>
      </c>
      <c r="AA10">
        <f>Baserun_Full!U9</f>
        <v>6</v>
      </c>
      <c r="AB10">
        <f>Baserun_Full!V9</f>
        <v>39</v>
      </c>
      <c r="AC10">
        <f>Baserun_Full!W9</f>
        <v>41</v>
      </c>
      <c r="AD10">
        <f>Baserun_Full!X9</f>
        <v>16</v>
      </c>
      <c r="AE10">
        <f>Baserun_Full!Y9</f>
        <v>29</v>
      </c>
      <c r="AF10">
        <f>Baserun_Full!Z9</f>
        <v>21</v>
      </c>
      <c r="AG10">
        <f>Aware_Full!V9</f>
        <v>18</v>
      </c>
      <c r="AH10">
        <f>Aware_Full!W9</f>
        <v>5</v>
      </c>
      <c r="AI10">
        <f>Aware_Full!X9</f>
        <v>5</v>
      </c>
      <c r="AJ10">
        <f>Aware_Full!Y9</f>
        <v>14</v>
      </c>
      <c r="AK10">
        <f>Aware_Full!Z9</f>
        <v>30</v>
      </c>
      <c r="AL10">
        <f>Learn_Full!V9</f>
        <v>23</v>
      </c>
      <c r="AM10">
        <f>Learn_Full!W9</f>
        <v>24</v>
      </c>
      <c r="AN10">
        <f>Learn_Full!X9</f>
        <v>8</v>
      </c>
      <c r="AO10">
        <f>Learn_Full!Y9</f>
        <v>11</v>
      </c>
      <c r="AP10">
        <f>Learn_Full!Z9</f>
        <v>15</v>
      </c>
      <c r="AQ10">
        <f>Rich_Full!V9</f>
        <v>32</v>
      </c>
      <c r="AR10">
        <f>Rich_Full!W9</f>
        <v>27</v>
      </c>
      <c r="AS10">
        <f>Rich_Full!X9</f>
        <v>15</v>
      </c>
      <c r="AT10">
        <f>Rich_Full!Y9</f>
        <v>34</v>
      </c>
      <c r="AU10">
        <f>Rich_Full!Z9</f>
        <v>32</v>
      </c>
      <c r="AW10">
        <f t="shared" si="3"/>
        <v>12.5</v>
      </c>
      <c r="AX10">
        <f t="shared" si="4"/>
        <v>18</v>
      </c>
      <c r="AY10">
        <f t="shared" si="5"/>
        <v>26.5</v>
      </c>
    </row>
    <row r="11" spans="1:51" x14ac:dyDescent="0.25">
      <c r="A11">
        <f>Baserun_Full!A10</f>
        <v>7</v>
      </c>
      <c r="B11">
        <f>Baserun_Full!B10</f>
        <v>7</v>
      </c>
      <c r="C11">
        <f>Baserun_Full!C10</f>
        <v>2</v>
      </c>
      <c r="D11">
        <f>Baserun_Full!D10</f>
        <v>5</v>
      </c>
      <c r="E11">
        <f>Baserun_Full!E10</f>
        <v>4</v>
      </c>
      <c r="F11">
        <f>Baserun_Full!F10</f>
        <v>3</v>
      </c>
      <c r="G11">
        <f>Aware_Full!B10</f>
        <v>4</v>
      </c>
      <c r="H11">
        <f>Aware_Full!C10</f>
        <v>2</v>
      </c>
      <c r="I11">
        <f>Aware_Full!D10</f>
        <v>2</v>
      </c>
      <c r="J11">
        <f>Aware_Full!E10</f>
        <v>4</v>
      </c>
      <c r="K11">
        <f>Aware_Full!F10</f>
        <v>4</v>
      </c>
      <c r="L11">
        <f>Learn_Full!B10</f>
        <v>3</v>
      </c>
      <c r="M11">
        <f>Learn_Full!C10</f>
        <v>3</v>
      </c>
      <c r="N11">
        <f>Learn_Full!D10</f>
        <v>0</v>
      </c>
      <c r="O11">
        <f>Learn_Full!E10</f>
        <v>3</v>
      </c>
      <c r="P11">
        <f>Learn_Full!F10</f>
        <v>3</v>
      </c>
      <c r="Q11">
        <f>Rich_Full!B10</f>
        <v>4</v>
      </c>
      <c r="R11">
        <f>Rich_Full!C10</f>
        <v>6</v>
      </c>
      <c r="S11">
        <f>Rich_Full!D10</f>
        <v>10</v>
      </c>
      <c r="T11">
        <f>Rich_Full!E10</f>
        <v>6</v>
      </c>
      <c r="U11">
        <f>Rich_Full!F10</f>
        <v>12</v>
      </c>
      <c r="V11">
        <v>8</v>
      </c>
      <c r="W11">
        <f t="shared" si="0"/>
        <v>2.5</v>
      </c>
      <c r="X11">
        <f t="shared" si="1"/>
        <v>3</v>
      </c>
      <c r="Y11">
        <f t="shared" si="2"/>
        <v>4</v>
      </c>
      <c r="AA11">
        <f>Baserun_Full!U10</f>
        <v>7</v>
      </c>
      <c r="AB11">
        <f>Baserun_Full!V10</f>
        <v>46</v>
      </c>
      <c r="AC11">
        <f>Baserun_Full!W10</f>
        <v>39</v>
      </c>
      <c r="AD11">
        <f>Baserun_Full!X10</f>
        <v>20</v>
      </c>
      <c r="AE11">
        <f>Baserun_Full!Y10</f>
        <v>30</v>
      </c>
      <c r="AF11">
        <f>Baserun_Full!Z10</f>
        <v>23</v>
      </c>
      <c r="AG11">
        <f>Aware_Full!V10</f>
        <v>19</v>
      </c>
      <c r="AH11">
        <f>Aware_Full!W10</f>
        <v>7</v>
      </c>
      <c r="AI11">
        <f>Aware_Full!X10</f>
        <v>7</v>
      </c>
      <c r="AJ11">
        <f>Aware_Full!Y10</f>
        <v>16</v>
      </c>
      <c r="AK11">
        <f>Aware_Full!Z10</f>
        <v>32</v>
      </c>
      <c r="AL11">
        <f>Learn_Full!V10</f>
        <v>26</v>
      </c>
      <c r="AM11">
        <f>Learn_Full!W10</f>
        <v>27</v>
      </c>
      <c r="AN11">
        <f>Learn_Full!X10</f>
        <v>7</v>
      </c>
      <c r="AO11">
        <f>Learn_Full!Y10</f>
        <v>12</v>
      </c>
      <c r="AP11">
        <f>Learn_Full!Z10</f>
        <v>17</v>
      </c>
      <c r="AQ11">
        <f>Rich_Full!V10</f>
        <v>33</v>
      </c>
      <c r="AR11">
        <f>Rich_Full!W10</f>
        <v>32</v>
      </c>
      <c r="AS11">
        <f>Rich_Full!X10</f>
        <v>23</v>
      </c>
      <c r="AT11">
        <f>Rich_Full!Y10</f>
        <v>37</v>
      </c>
      <c r="AU11">
        <f>Rich_Full!Z10</f>
        <v>39</v>
      </c>
      <c r="AW11">
        <f t="shared" si="3"/>
        <v>14</v>
      </c>
      <c r="AX11">
        <f t="shared" si="4"/>
        <v>20</v>
      </c>
      <c r="AY11">
        <f t="shared" si="5"/>
        <v>28.5</v>
      </c>
    </row>
    <row r="12" spans="1:51" x14ac:dyDescent="0.25">
      <c r="A12">
        <f>Baserun_Full!A11</f>
        <v>8</v>
      </c>
      <c r="B12">
        <f>Baserun_Full!B11</f>
        <v>8</v>
      </c>
      <c r="C12">
        <f>Baserun_Full!C11</f>
        <v>5</v>
      </c>
      <c r="D12">
        <f>Baserun_Full!D11</f>
        <v>2</v>
      </c>
      <c r="E12">
        <f>Baserun_Full!E11</f>
        <v>7</v>
      </c>
      <c r="F12">
        <f>Baserun_Full!F11</f>
        <v>5</v>
      </c>
      <c r="G12">
        <f>Aware_Full!B11</f>
        <v>5</v>
      </c>
      <c r="H12">
        <f>Aware_Full!C11</f>
        <v>5</v>
      </c>
      <c r="I12">
        <f>Aware_Full!D11</f>
        <v>8</v>
      </c>
      <c r="J12">
        <f>Aware_Full!E11</f>
        <v>2</v>
      </c>
      <c r="K12">
        <f>Aware_Full!F11</f>
        <v>10</v>
      </c>
      <c r="L12">
        <f>Learn_Full!B11</f>
        <v>3</v>
      </c>
      <c r="M12">
        <f>Learn_Full!C11</f>
        <v>5</v>
      </c>
      <c r="N12">
        <f>Learn_Full!D11</f>
        <v>3</v>
      </c>
      <c r="O12">
        <f>Learn_Full!E11</f>
        <v>4</v>
      </c>
      <c r="P12">
        <f>Learn_Full!F11</f>
        <v>7</v>
      </c>
      <c r="Q12">
        <f>Rich_Full!B11</f>
        <v>5</v>
      </c>
      <c r="R12">
        <f>Rich_Full!C11</f>
        <v>11</v>
      </c>
      <c r="S12">
        <f>Rich_Full!D11</f>
        <v>8</v>
      </c>
      <c r="T12">
        <f>Rich_Full!E11</f>
        <v>7</v>
      </c>
      <c r="U12">
        <f>Rich_Full!F11</f>
        <v>5</v>
      </c>
      <c r="V12">
        <v>9</v>
      </c>
      <c r="W12">
        <f t="shared" si="0"/>
        <v>3.5</v>
      </c>
      <c r="X12">
        <f t="shared" si="1"/>
        <v>5</v>
      </c>
      <c r="Y12">
        <f t="shared" si="2"/>
        <v>7</v>
      </c>
      <c r="AA12">
        <f>Baserun_Full!U11</f>
        <v>8</v>
      </c>
      <c r="AB12">
        <f>Baserun_Full!V11</f>
        <v>49</v>
      </c>
      <c r="AC12">
        <f>Baserun_Full!W11</f>
        <v>35</v>
      </c>
      <c r="AD12">
        <f>Baserun_Full!X11</f>
        <v>19</v>
      </c>
      <c r="AE12">
        <f>Baserun_Full!Y11</f>
        <v>33</v>
      </c>
      <c r="AF12">
        <f>Baserun_Full!Z11</f>
        <v>26</v>
      </c>
      <c r="AG12">
        <f>Aware_Full!V11</f>
        <v>22</v>
      </c>
      <c r="AH12">
        <f>Aware_Full!W11</f>
        <v>12</v>
      </c>
      <c r="AI12">
        <f>Aware_Full!X11</f>
        <v>14</v>
      </c>
      <c r="AJ12">
        <f>Aware_Full!Y11</f>
        <v>14</v>
      </c>
      <c r="AK12">
        <f>Aware_Full!Z11</f>
        <v>37</v>
      </c>
      <c r="AL12">
        <f>Learn_Full!V11</f>
        <v>28</v>
      </c>
      <c r="AM12">
        <f>Learn_Full!W11</f>
        <v>29</v>
      </c>
      <c r="AN12">
        <f>Learn_Full!X11</f>
        <v>9</v>
      </c>
      <c r="AO12">
        <f>Learn_Full!Y11</f>
        <v>13</v>
      </c>
      <c r="AP12">
        <f>Learn_Full!Z11</f>
        <v>20</v>
      </c>
      <c r="AQ12">
        <f>Rich_Full!V11</f>
        <v>34</v>
      </c>
      <c r="AR12">
        <f>Rich_Full!W11</f>
        <v>41</v>
      </c>
      <c r="AS12">
        <f>Rich_Full!X11</f>
        <v>31</v>
      </c>
      <c r="AT12">
        <f>Rich_Full!Y11</f>
        <v>39</v>
      </c>
      <c r="AU12">
        <f>Rich_Full!Z11</f>
        <v>39</v>
      </c>
      <c r="AW12">
        <f t="shared" si="3"/>
        <v>14</v>
      </c>
      <c r="AX12">
        <f t="shared" si="4"/>
        <v>22</v>
      </c>
      <c r="AY12">
        <f t="shared" si="5"/>
        <v>31</v>
      </c>
    </row>
    <row r="13" spans="1:51" x14ac:dyDescent="0.25">
      <c r="A13">
        <f>Baserun_Full!A12</f>
        <v>9</v>
      </c>
      <c r="B13">
        <f>Baserun_Full!B12</f>
        <v>0</v>
      </c>
      <c r="C13">
        <f>Baserun_Full!C12</f>
        <v>4</v>
      </c>
      <c r="D13">
        <f>Baserun_Full!D12</f>
        <v>2</v>
      </c>
      <c r="E13">
        <f>Baserun_Full!E12</f>
        <v>3</v>
      </c>
      <c r="F13">
        <f>Baserun_Full!F12</f>
        <v>5</v>
      </c>
      <c r="G13">
        <f>Aware_Full!B12</f>
        <v>9</v>
      </c>
      <c r="H13">
        <f>Aware_Full!C12</f>
        <v>6</v>
      </c>
      <c r="I13">
        <f>Aware_Full!D12</f>
        <v>2</v>
      </c>
      <c r="J13">
        <f>Aware_Full!E12</f>
        <v>4</v>
      </c>
      <c r="K13">
        <f>Aware_Full!F12</f>
        <v>2</v>
      </c>
      <c r="L13">
        <f>Learn_Full!B12</f>
        <v>1</v>
      </c>
      <c r="M13">
        <f>Learn_Full!C12</f>
        <v>4</v>
      </c>
      <c r="N13">
        <f>Learn_Full!D12</f>
        <v>5</v>
      </c>
      <c r="O13">
        <f>Learn_Full!E12</f>
        <v>10</v>
      </c>
      <c r="P13">
        <f>Learn_Full!F12</f>
        <v>3</v>
      </c>
      <c r="Q13">
        <f>Rich_Full!B12</f>
        <v>9</v>
      </c>
      <c r="R13">
        <f>Rich_Full!C12</f>
        <v>4</v>
      </c>
      <c r="S13">
        <f>Rich_Full!D12</f>
        <v>10</v>
      </c>
      <c r="T13">
        <f>Rich_Full!E12</f>
        <v>4</v>
      </c>
      <c r="U13">
        <f>Rich_Full!F12</f>
        <v>4</v>
      </c>
      <c r="V13">
        <v>10</v>
      </c>
      <c r="W13">
        <f t="shared" si="0"/>
        <v>2</v>
      </c>
      <c r="X13">
        <f t="shared" si="1"/>
        <v>4</v>
      </c>
      <c r="Y13">
        <f t="shared" si="2"/>
        <v>5</v>
      </c>
      <c r="AA13">
        <f>Baserun_Full!U12</f>
        <v>9</v>
      </c>
      <c r="AB13">
        <f>Baserun_Full!V12</f>
        <v>41</v>
      </c>
      <c r="AC13">
        <f>Baserun_Full!W12</f>
        <v>29</v>
      </c>
      <c r="AD13">
        <f>Baserun_Full!X12</f>
        <v>18</v>
      </c>
      <c r="AE13">
        <f>Baserun_Full!Y12</f>
        <v>30</v>
      </c>
      <c r="AF13">
        <f>Baserun_Full!Z12</f>
        <v>25</v>
      </c>
      <c r="AG13">
        <f>Aware_Full!V12</f>
        <v>24</v>
      </c>
      <c r="AH13">
        <f>Aware_Full!W12</f>
        <v>17</v>
      </c>
      <c r="AI13">
        <f>Aware_Full!X12</f>
        <v>14</v>
      </c>
      <c r="AJ13">
        <f>Aware_Full!Y12</f>
        <v>15</v>
      </c>
      <c r="AK13">
        <f>Aware_Full!Z12</f>
        <v>31</v>
      </c>
      <c r="AL13">
        <f>Learn_Full!V12</f>
        <v>25</v>
      </c>
      <c r="AM13">
        <f>Learn_Full!W12</f>
        <v>28</v>
      </c>
      <c r="AN13">
        <f>Learn_Full!X12</f>
        <v>8</v>
      </c>
      <c r="AO13">
        <f>Learn_Full!Y12</f>
        <v>17</v>
      </c>
      <c r="AP13">
        <f>Learn_Full!Z12</f>
        <v>19</v>
      </c>
      <c r="AQ13">
        <f>Rich_Full!V12</f>
        <v>39</v>
      </c>
      <c r="AR13">
        <f>Rich_Full!W12</f>
        <v>41</v>
      </c>
      <c r="AS13">
        <f>Rich_Full!X12</f>
        <v>41</v>
      </c>
      <c r="AT13">
        <f>Rich_Full!Y12</f>
        <v>37</v>
      </c>
      <c r="AU13">
        <f>Rich_Full!Z12</f>
        <v>37</v>
      </c>
      <c r="AW13">
        <f t="shared" si="3"/>
        <v>17</v>
      </c>
      <c r="AX13">
        <f t="shared" si="4"/>
        <v>24</v>
      </c>
      <c r="AY13">
        <f t="shared" si="5"/>
        <v>28.5</v>
      </c>
    </row>
    <row r="14" spans="1:51" x14ac:dyDescent="0.25">
      <c r="A14">
        <f>Baserun_Full!A13</f>
        <v>10</v>
      </c>
      <c r="B14">
        <f>Baserun_Full!B13</f>
        <v>0</v>
      </c>
      <c r="C14">
        <f>Baserun_Full!C13</f>
        <v>4</v>
      </c>
      <c r="D14">
        <f>Baserun_Full!D13</f>
        <v>3</v>
      </c>
      <c r="E14">
        <f>Baserun_Full!E13</f>
        <v>3</v>
      </c>
      <c r="F14">
        <f>Baserun_Full!F13</f>
        <v>3</v>
      </c>
      <c r="G14">
        <f>Aware_Full!B13</f>
        <v>4</v>
      </c>
      <c r="H14">
        <f>Aware_Full!C13</f>
        <v>1</v>
      </c>
      <c r="I14">
        <f>Aware_Full!D13</f>
        <v>4</v>
      </c>
      <c r="J14">
        <f>Aware_Full!E13</f>
        <v>2</v>
      </c>
      <c r="K14">
        <f>Aware_Full!F13</f>
        <v>2</v>
      </c>
      <c r="L14">
        <f>Learn_Full!B13</f>
        <v>2</v>
      </c>
      <c r="M14">
        <f>Learn_Full!C13</f>
        <v>1</v>
      </c>
      <c r="N14">
        <f>Learn_Full!D13</f>
        <v>9</v>
      </c>
      <c r="O14">
        <f>Learn_Full!E13</f>
        <v>9</v>
      </c>
      <c r="P14">
        <f>Learn_Full!F13</f>
        <v>3</v>
      </c>
      <c r="Q14">
        <f>Rich_Full!B13</f>
        <v>7</v>
      </c>
      <c r="R14">
        <f>Rich_Full!C13</f>
        <v>8</v>
      </c>
      <c r="S14">
        <f>Rich_Full!D13</f>
        <v>7</v>
      </c>
      <c r="T14">
        <f>Rich_Full!E13</f>
        <v>3</v>
      </c>
      <c r="U14">
        <f>Rich_Full!F13</f>
        <v>7</v>
      </c>
      <c r="V14">
        <v>11</v>
      </c>
      <c r="W14">
        <f t="shared" si="0"/>
        <v>2</v>
      </c>
      <c r="X14">
        <f t="shared" si="1"/>
        <v>3</v>
      </c>
      <c r="Y14">
        <f t="shared" si="2"/>
        <v>4</v>
      </c>
      <c r="AA14">
        <f>Baserun_Full!U13</f>
        <v>10</v>
      </c>
      <c r="AB14">
        <f>Baserun_Full!V13</f>
        <v>37</v>
      </c>
      <c r="AC14">
        <f>Baserun_Full!W13</f>
        <v>27</v>
      </c>
      <c r="AD14">
        <f>Baserun_Full!X13</f>
        <v>18</v>
      </c>
      <c r="AE14">
        <f>Baserun_Full!Y13</f>
        <v>30</v>
      </c>
      <c r="AF14">
        <f>Baserun_Full!Z13</f>
        <v>26</v>
      </c>
      <c r="AG14">
        <f>Aware_Full!V13</f>
        <v>25</v>
      </c>
      <c r="AH14">
        <f>Aware_Full!W13</f>
        <v>18</v>
      </c>
      <c r="AI14">
        <f>Aware_Full!X13</f>
        <v>18</v>
      </c>
      <c r="AJ14">
        <f>Aware_Full!Y13</f>
        <v>16</v>
      </c>
      <c r="AK14">
        <f>Aware_Full!Z13</f>
        <v>32</v>
      </c>
      <c r="AL14">
        <f>Learn_Full!V13</f>
        <v>23</v>
      </c>
      <c r="AM14">
        <f>Learn_Full!W13</f>
        <v>26</v>
      </c>
      <c r="AN14">
        <f>Learn_Full!X13</f>
        <v>17</v>
      </c>
      <c r="AO14">
        <f>Learn_Full!Y13</f>
        <v>26</v>
      </c>
      <c r="AP14">
        <f>Learn_Full!Z13</f>
        <v>21</v>
      </c>
      <c r="AQ14">
        <f>Rich_Full!V13</f>
        <v>41</v>
      </c>
      <c r="AR14">
        <f>Rich_Full!W13</f>
        <v>44</v>
      </c>
      <c r="AS14">
        <f>Rich_Full!X13</f>
        <v>45</v>
      </c>
      <c r="AT14">
        <f>Rich_Full!Y13</f>
        <v>33</v>
      </c>
      <c r="AU14">
        <f>Rich_Full!Z13</f>
        <v>42</v>
      </c>
      <c r="AW14">
        <f t="shared" si="3"/>
        <v>18</v>
      </c>
      <c r="AX14">
        <f t="shared" si="4"/>
        <v>25</v>
      </c>
      <c r="AY14">
        <f t="shared" si="5"/>
        <v>26.5</v>
      </c>
    </row>
    <row r="15" spans="1:51" x14ac:dyDescent="0.25">
      <c r="A15">
        <f>Baserun_Full!A14</f>
        <v>11</v>
      </c>
      <c r="B15">
        <f>Baserun_Full!B14</f>
        <v>0</v>
      </c>
      <c r="C15">
        <f>Baserun_Full!C14</f>
        <v>0</v>
      </c>
      <c r="D15">
        <f>Baserun_Full!D14</f>
        <v>2</v>
      </c>
      <c r="E15">
        <f>Baserun_Full!E14</f>
        <v>2</v>
      </c>
      <c r="F15">
        <f>Baserun_Full!F14</f>
        <v>2</v>
      </c>
      <c r="G15">
        <f>Aware_Full!B14</f>
        <v>4</v>
      </c>
      <c r="H15">
        <f>Aware_Full!C14</f>
        <v>5</v>
      </c>
      <c r="I15">
        <f>Aware_Full!D14</f>
        <v>2</v>
      </c>
      <c r="J15">
        <f>Aware_Full!E14</f>
        <v>0</v>
      </c>
      <c r="K15">
        <f>Aware_Full!F14</f>
        <v>1</v>
      </c>
      <c r="L15">
        <f>Learn_Full!B14</f>
        <v>1</v>
      </c>
      <c r="M15">
        <f>Learn_Full!C14</f>
        <v>0</v>
      </c>
      <c r="N15">
        <f>Learn_Full!D14</f>
        <v>11</v>
      </c>
      <c r="O15">
        <f>Learn_Full!E14</f>
        <v>4</v>
      </c>
      <c r="P15">
        <f>Learn_Full!F14</f>
        <v>2</v>
      </c>
      <c r="Q15">
        <f>Rich_Full!B14</f>
        <v>6</v>
      </c>
      <c r="R15">
        <f>Rich_Full!C14</f>
        <v>6</v>
      </c>
      <c r="S15">
        <f>Rich_Full!D14</f>
        <v>8</v>
      </c>
      <c r="T15">
        <f>Rich_Full!E14</f>
        <v>3</v>
      </c>
      <c r="U15">
        <f>Rich_Full!F14</f>
        <v>5</v>
      </c>
      <c r="V15">
        <v>12</v>
      </c>
      <c r="W15">
        <f t="shared" si="0"/>
        <v>0.5</v>
      </c>
      <c r="X15">
        <f t="shared" si="1"/>
        <v>2</v>
      </c>
      <c r="Y15">
        <f t="shared" si="2"/>
        <v>3</v>
      </c>
      <c r="AA15">
        <f>Baserun_Full!U14</f>
        <v>11</v>
      </c>
      <c r="AB15">
        <f>Baserun_Full!V14</f>
        <v>22</v>
      </c>
      <c r="AC15">
        <f>Baserun_Full!W14</f>
        <v>22</v>
      </c>
      <c r="AD15">
        <f>Baserun_Full!X14</f>
        <v>18</v>
      </c>
      <c r="AE15">
        <f>Baserun_Full!Y14</f>
        <v>26</v>
      </c>
      <c r="AF15">
        <f>Baserun_Full!Z14</f>
        <v>22</v>
      </c>
      <c r="AG15">
        <f>Aware_Full!V14</f>
        <v>29</v>
      </c>
      <c r="AH15">
        <f>Aware_Full!W14</f>
        <v>22</v>
      </c>
      <c r="AI15">
        <f>Aware_Full!X14</f>
        <v>19</v>
      </c>
      <c r="AJ15">
        <f>Aware_Full!Y14</f>
        <v>13</v>
      </c>
      <c r="AK15">
        <f>Aware_Full!Z14</f>
        <v>24</v>
      </c>
      <c r="AL15">
        <f>Learn_Full!V14</f>
        <v>15</v>
      </c>
      <c r="AM15">
        <f>Learn_Full!W14</f>
        <v>17</v>
      </c>
      <c r="AN15">
        <f>Learn_Full!X14</f>
        <v>28</v>
      </c>
      <c r="AO15">
        <f>Learn_Full!Y14</f>
        <v>30</v>
      </c>
      <c r="AP15">
        <f>Learn_Full!Z14</f>
        <v>21</v>
      </c>
      <c r="AQ15">
        <f>Rich_Full!V14</f>
        <v>41</v>
      </c>
      <c r="AR15">
        <f>Rich_Full!W14</f>
        <v>43</v>
      </c>
      <c r="AS15">
        <f>Rich_Full!X14</f>
        <v>50</v>
      </c>
      <c r="AT15">
        <f>Rich_Full!Y14</f>
        <v>29</v>
      </c>
      <c r="AU15">
        <f>Rich_Full!Z14</f>
        <v>42</v>
      </c>
      <c r="AW15">
        <f t="shared" si="3"/>
        <v>18.5</v>
      </c>
      <c r="AX15">
        <f t="shared" si="4"/>
        <v>22</v>
      </c>
      <c r="AY15">
        <f t="shared" si="5"/>
        <v>25</v>
      </c>
    </row>
    <row r="16" spans="1:51" x14ac:dyDescent="0.25">
      <c r="A16">
        <f>Baserun_Full!A15</f>
        <v>12</v>
      </c>
      <c r="B16">
        <f>Baserun_Full!B15</f>
        <v>1</v>
      </c>
      <c r="C16">
        <f>Baserun_Full!C15</f>
        <v>1</v>
      </c>
      <c r="D16">
        <f>Baserun_Full!D15</f>
        <v>2</v>
      </c>
      <c r="E16">
        <f>Baserun_Full!E15</f>
        <v>1</v>
      </c>
      <c r="F16">
        <f>Baserun_Full!F15</f>
        <v>0</v>
      </c>
      <c r="G16">
        <f>Aware_Full!B15</f>
        <v>3</v>
      </c>
      <c r="H16">
        <f>Aware_Full!C15</f>
        <v>5</v>
      </c>
      <c r="I16">
        <f>Aware_Full!D15</f>
        <v>0</v>
      </c>
      <c r="J16">
        <f>Aware_Full!E15</f>
        <v>3</v>
      </c>
      <c r="K16">
        <f>Aware_Full!F15</f>
        <v>0</v>
      </c>
      <c r="L16">
        <f>Learn_Full!B15</f>
        <v>0</v>
      </c>
      <c r="M16">
        <f>Learn_Full!C15</f>
        <v>0</v>
      </c>
      <c r="N16">
        <f>Learn_Full!D15</f>
        <v>1</v>
      </c>
      <c r="O16">
        <f>Learn_Full!E15</f>
        <v>0</v>
      </c>
      <c r="P16">
        <f>Learn_Full!F15</f>
        <v>2</v>
      </c>
      <c r="Q16">
        <f>Rich_Full!B15</f>
        <v>2</v>
      </c>
      <c r="R16">
        <f>Rich_Full!C15</f>
        <v>1</v>
      </c>
      <c r="S16">
        <f>Rich_Full!D15</f>
        <v>4</v>
      </c>
      <c r="T16">
        <f>Rich_Full!E15</f>
        <v>1</v>
      </c>
      <c r="U16">
        <f>Rich_Full!F15</f>
        <v>2</v>
      </c>
      <c r="V16">
        <v>13</v>
      </c>
      <c r="W16">
        <f t="shared" si="0"/>
        <v>0</v>
      </c>
      <c r="X16">
        <f t="shared" si="1"/>
        <v>1</v>
      </c>
      <c r="Y16">
        <f t="shared" si="2"/>
        <v>2</v>
      </c>
      <c r="AA16">
        <f>Baserun_Full!U15</f>
        <v>12</v>
      </c>
      <c r="AB16">
        <f>Baserun_Full!V15</f>
        <v>16</v>
      </c>
      <c r="AC16">
        <f>Baserun_Full!W15</f>
        <v>16</v>
      </c>
      <c r="AD16">
        <f>Baserun_Full!X15</f>
        <v>16</v>
      </c>
      <c r="AE16">
        <f>Baserun_Full!Y15</f>
        <v>20</v>
      </c>
      <c r="AF16">
        <f>Baserun_Full!Z15</f>
        <v>18</v>
      </c>
      <c r="AG16">
        <f>Aware_Full!V15</f>
        <v>29</v>
      </c>
      <c r="AH16">
        <f>Aware_Full!W15</f>
        <v>24</v>
      </c>
      <c r="AI16">
        <f>Aware_Full!X15</f>
        <v>18</v>
      </c>
      <c r="AJ16">
        <f>Aware_Full!Y15</f>
        <v>15</v>
      </c>
      <c r="AK16">
        <f>Aware_Full!Z15</f>
        <v>19</v>
      </c>
      <c r="AL16">
        <f>Learn_Full!V15</f>
        <v>10</v>
      </c>
      <c r="AM16">
        <f>Learn_Full!W15</f>
        <v>13</v>
      </c>
      <c r="AN16">
        <f>Learn_Full!X15</f>
        <v>29</v>
      </c>
      <c r="AO16">
        <f>Learn_Full!Y15</f>
        <v>30</v>
      </c>
      <c r="AP16">
        <f>Learn_Full!Z15</f>
        <v>20</v>
      </c>
      <c r="AQ16">
        <f>Rich_Full!V15</f>
        <v>33</v>
      </c>
      <c r="AR16">
        <f>Rich_Full!W15</f>
        <v>36</v>
      </c>
      <c r="AS16">
        <f>Rich_Full!X15</f>
        <v>47</v>
      </c>
      <c r="AT16">
        <f>Rich_Full!Y15</f>
        <v>24</v>
      </c>
      <c r="AU16">
        <f>Rich_Full!Z15</f>
        <v>35</v>
      </c>
      <c r="AW16">
        <f t="shared" si="3"/>
        <v>16</v>
      </c>
      <c r="AX16">
        <f t="shared" si="4"/>
        <v>18</v>
      </c>
      <c r="AY16">
        <f t="shared" si="5"/>
        <v>22</v>
      </c>
    </row>
    <row r="17" spans="1:51" x14ac:dyDescent="0.25">
      <c r="A17">
        <f>Baserun_Full!A16</f>
        <v>13</v>
      </c>
      <c r="B17">
        <f>Baserun_Full!B16</f>
        <v>5</v>
      </c>
      <c r="C17">
        <f>Baserun_Full!C16</f>
        <v>0</v>
      </c>
      <c r="D17">
        <f>Baserun_Full!D16</f>
        <v>2</v>
      </c>
      <c r="E17">
        <f>Baserun_Full!E16</f>
        <v>5</v>
      </c>
      <c r="F17">
        <f>Baserun_Full!F16</f>
        <v>2</v>
      </c>
      <c r="G17">
        <f>Aware_Full!B16</f>
        <v>1</v>
      </c>
      <c r="H17">
        <f>Aware_Full!C16</f>
        <v>4</v>
      </c>
      <c r="I17">
        <f>Aware_Full!D16</f>
        <v>3</v>
      </c>
      <c r="J17">
        <f>Aware_Full!E16</f>
        <v>2</v>
      </c>
      <c r="K17">
        <f>Aware_Full!F16</f>
        <v>0</v>
      </c>
      <c r="L17">
        <f>Learn_Full!B16</f>
        <v>0</v>
      </c>
      <c r="M17">
        <f>Learn_Full!C16</f>
        <v>0</v>
      </c>
      <c r="N17">
        <f>Learn_Full!D16</f>
        <v>2</v>
      </c>
      <c r="O17">
        <f>Learn_Full!E16</f>
        <v>0</v>
      </c>
      <c r="P17">
        <f>Learn_Full!F16</f>
        <v>0</v>
      </c>
      <c r="Q17">
        <f>Rich_Full!B16</f>
        <v>3</v>
      </c>
      <c r="R17">
        <f>Rich_Full!C16</f>
        <v>4</v>
      </c>
      <c r="S17">
        <f>Rich_Full!D16</f>
        <v>1</v>
      </c>
      <c r="T17">
        <f>Rich_Full!E16</f>
        <v>1</v>
      </c>
      <c r="U17">
        <f>Rich_Full!F16</f>
        <v>3</v>
      </c>
      <c r="V17">
        <v>14</v>
      </c>
      <c r="W17">
        <f t="shared" si="0"/>
        <v>0</v>
      </c>
      <c r="X17">
        <f t="shared" si="1"/>
        <v>2</v>
      </c>
      <c r="Y17">
        <f t="shared" si="2"/>
        <v>2.5</v>
      </c>
      <c r="AA17">
        <f>Baserun_Full!U16</f>
        <v>13</v>
      </c>
      <c r="AB17">
        <f>Baserun_Full!V16</f>
        <v>14</v>
      </c>
      <c r="AC17">
        <f>Baserun_Full!W16</f>
        <v>14</v>
      </c>
      <c r="AD17">
        <f>Baserun_Full!X16</f>
        <v>13</v>
      </c>
      <c r="AE17">
        <f>Baserun_Full!Y16</f>
        <v>21</v>
      </c>
      <c r="AF17">
        <f>Baserun_Full!Z16</f>
        <v>17</v>
      </c>
      <c r="AG17">
        <f>Aware_Full!V16</f>
        <v>26</v>
      </c>
      <c r="AH17">
        <f>Aware_Full!W16</f>
        <v>26</v>
      </c>
      <c r="AI17">
        <f>Aware_Full!X16</f>
        <v>19</v>
      </c>
      <c r="AJ17">
        <f>Aware_Full!Y16</f>
        <v>13</v>
      </c>
      <c r="AK17">
        <f>Aware_Full!Z16</f>
        <v>15</v>
      </c>
      <c r="AL17">
        <f>Learn_Full!V16</f>
        <v>7</v>
      </c>
      <c r="AM17">
        <f>Learn_Full!W16</f>
        <v>10</v>
      </c>
      <c r="AN17">
        <f>Learn_Full!X16</f>
        <v>31</v>
      </c>
      <c r="AO17">
        <f>Learn_Full!Y16</f>
        <v>27</v>
      </c>
      <c r="AP17">
        <f>Learn_Full!Z16</f>
        <v>17</v>
      </c>
      <c r="AQ17">
        <f>Rich_Full!V16</f>
        <v>32</v>
      </c>
      <c r="AR17">
        <f>Rich_Full!W16</f>
        <v>34</v>
      </c>
      <c r="AS17">
        <f>Rich_Full!X16</f>
        <v>38</v>
      </c>
      <c r="AT17">
        <f>Rich_Full!Y16</f>
        <v>19</v>
      </c>
      <c r="AU17">
        <f>Rich_Full!Z16</f>
        <v>26</v>
      </c>
      <c r="AW17">
        <f t="shared" si="3"/>
        <v>13.5</v>
      </c>
      <c r="AX17">
        <f t="shared" si="4"/>
        <v>17</v>
      </c>
      <c r="AY17">
        <f t="shared" si="5"/>
        <v>23.5</v>
      </c>
    </row>
    <row r="18" spans="1:51" x14ac:dyDescent="0.25">
      <c r="A18">
        <f>Baserun_Full!A17</f>
        <v>14</v>
      </c>
      <c r="B18">
        <f>Baserun_Full!B17</f>
        <v>5</v>
      </c>
      <c r="C18">
        <f>Baserun_Full!C17</f>
        <v>0</v>
      </c>
      <c r="D18">
        <f>Baserun_Full!D17</f>
        <v>1</v>
      </c>
      <c r="E18">
        <f>Baserun_Full!E17</f>
        <v>4</v>
      </c>
      <c r="F18">
        <f>Baserun_Full!F17</f>
        <v>0</v>
      </c>
      <c r="G18">
        <f>Aware_Full!B17</f>
        <v>1</v>
      </c>
      <c r="H18">
        <f>Aware_Full!C17</f>
        <v>6</v>
      </c>
      <c r="I18">
        <f>Aware_Full!D17</f>
        <v>1</v>
      </c>
      <c r="J18">
        <f>Aware_Full!E17</f>
        <v>1</v>
      </c>
      <c r="K18">
        <f>Aware_Full!F17</f>
        <v>0</v>
      </c>
      <c r="L18">
        <f>Learn_Full!B17</f>
        <v>0</v>
      </c>
      <c r="M18">
        <f>Learn_Full!C17</f>
        <v>0</v>
      </c>
      <c r="N18">
        <f>Learn_Full!D17</f>
        <v>3</v>
      </c>
      <c r="O18">
        <f>Learn_Full!E17</f>
        <v>2</v>
      </c>
      <c r="P18">
        <f>Learn_Full!F17</f>
        <v>0</v>
      </c>
      <c r="Q18">
        <f>Rich_Full!B17</f>
        <v>2</v>
      </c>
      <c r="R18">
        <f>Rich_Full!C17</f>
        <v>1</v>
      </c>
      <c r="S18">
        <f>Rich_Full!D17</f>
        <v>2</v>
      </c>
      <c r="T18">
        <f>Rich_Full!E17</f>
        <v>0</v>
      </c>
      <c r="U18">
        <f>Rich_Full!F17</f>
        <v>0</v>
      </c>
      <c r="V18">
        <v>15</v>
      </c>
      <c r="W18">
        <f t="shared" si="0"/>
        <v>0</v>
      </c>
      <c r="X18">
        <f t="shared" si="1"/>
        <v>1</v>
      </c>
      <c r="Y18">
        <f t="shared" si="2"/>
        <v>2.5</v>
      </c>
      <c r="AA18">
        <f>Baserun_Full!U17</f>
        <v>14</v>
      </c>
      <c r="AB18">
        <f>Baserun_Full!V17</f>
        <v>11</v>
      </c>
      <c r="AC18">
        <f>Baserun_Full!W17</f>
        <v>9</v>
      </c>
      <c r="AD18">
        <f>Baserun_Full!X17</f>
        <v>12</v>
      </c>
      <c r="AE18">
        <f>Baserun_Full!Y17</f>
        <v>18</v>
      </c>
      <c r="AF18">
        <f>Baserun_Full!Z17</f>
        <v>12</v>
      </c>
      <c r="AG18">
        <f>Aware_Full!V17</f>
        <v>22</v>
      </c>
      <c r="AH18">
        <f>Aware_Full!W17</f>
        <v>27</v>
      </c>
      <c r="AI18">
        <f>Aware_Full!X17</f>
        <v>12</v>
      </c>
      <c r="AJ18">
        <f>Aware_Full!Y17</f>
        <v>12</v>
      </c>
      <c r="AK18">
        <f>Aware_Full!Z17</f>
        <v>5</v>
      </c>
      <c r="AL18">
        <f>Learn_Full!V17</f>
        <v>4</v>
      </c>
      <c r="AM18">
        <f>Learn_Full!W17</f>
        <v>5</v>
      </c>
      <c r="AN18">
        <f>Learn_Full!X17</f>
        <v>31</v>
      </c>
      <c r="AO18">
        <f>Learn_Full!Y17</f>
        <v>25</v>
      </c>
      <c r="AP18">
        <f>Learn_Full!Z17</f>
        <v>10</v>
      </c>
      <c r="AQ18">
        <f>Rich_Full!V17</f>
        <v>29</v>
      </c>
      <c r="AR18">
        <f>Rich_Full!W17</f>
        <v>24</v>
      </c>
      <c r="AS18">
        <f>Rich_Full!X17</f>
        <v>32</v>
      </c>
      <c r="AT18">
        <f>Rich_Full!Y17</f>
        <v>12</v>
      </c>
      <c r="AU18">
        <f>Rich_Full!Z17</f>
        <v>21</v>
      </c>
      <c r="AW18">
        <f t="shared" si="3"/>
        <v>9.5</v>
      </c>
      <c r="AX18">
        <f t="shared" si="4"/>
        <v>12</v>
      </c>
      <c r="AY18">
        <f t="shared" si="5"/>
        <v>20</v>
      </c>
    </row>
    <row r="19" spans="1:51" x14ac:dyDescent="0.25">
      <c r="A19">
        <f>Baserun_Full!A18</f>
        <v>15</v>
      </c>
      <c r="B19">
        <f>Baserun_Full!B18</f>
        <v>3</v>
      </c>
      <c r="C19">
        <f>Baserun_Full!C18</f>
        <v>1</v>
      </c>
      <c r="D19">
        <f>Baserun_Full!D18</f>
        <v>1</v>
      </c>
      <c r="E19">
        <f>Baserun_Full!E18</f>
        <v>0</v>
      </c>
      <c r="F19">
        <f>Baserun_Full!F18</f>
        <v>1</v>
      </c>
      <c r="G19">
        <f>Aware_Full!B18</f>
        <v>1</v>
      </c>
      <c r="H19">
        <f>Aware_Full!C18</f>
        <v>1</v>
      </c>
      <c r="I19">
        <f>Aware_Full!D18</f>
        <v>4</v>
      </c>
      <c r="J19">
        <f>Aware_Full!E18</f>
        <v>2</v>
      </c>
      <c r="K19">
        <f>Aware_Full!F18</f>
        <v>0</v>
      </c>
      <c r="L19">
        <f>Learn_Full!B18</f>
        <v>0</v>
      </c>
      <c r="M19">
        <f>Learn_Full!C18</f>
        <v>3</v>
      </c>
      <c r="N19">
        <f>Learn_Full!D18</f>
        <v>2</v>
      </c>
      <c r="O19">
        <f>Learn_Full!E18</f>
        <v>2</v>
      </c>
      <c r="P19">
        <f>Learn_Full!F18</f>
        <v>0</v>
      </c>
      <c r="Q19">
        <f>Rich_Full!B18</f>
        <v>0</v>
      </c>
      <c r="R19">
        <f>Rich_Full!C18</f>
        <v>0</v>
      </c>
      <c r="S19">
        <f>Rich_Full!D18</f>
        <v>0</v>
      </c>
      <c r="T19">
        <f>Rich_Full!E18</f>
        <v>1</v>
      </c>
      <c r="U19">
        <f>Rich_Full!F18</f>
        <v>1</v>
      </c>
      <c r="V19">
        <v>16</v>
      </c>
      <c r="W19">
        <f t="shared" si="0"/>
        <v>0.5</v>
      </c>
      <c r="X19">
        <f t="shared" si="1"/>
        <v>1</v>
      </c>
      <c r="Y19">
        <f t="shared" si="2"/>
        <v>2</v>
      </c>
      <c r="AA19">
        <f>Baserun_Full!U18</f>
        <v>15</v>
      </c>
      <c r="AB19">
        <f>Baserun_Full!V18</f>
        <v>14</v>
      </c>
      <c r="AC19">
        <f>Baserun_Full!W18</f>
        <v>6</v>
      </c>
      <c r="AD19">
        <f>Baserun_Full!X18</f>
        <v>11</v>
      </c>
      <c r="AE19">
        <f>Baserun_Full!Y18</f>
        <v>15</v>
      </c>
      <c r="AF19">
        <f>Baserun_Full!Z18</f>
        <v>8</v>
      </c>
      <c r="AG19">
        <f>Aware_Full!V18</f>
        <v>14</v>
      </c>
      <c r="AH19">
        <f>Aware_Full!W18</f>
        <v>22</v>
      </c>
      <c r="AI19">
        <f>Aware_Full!X18</f>
        <v>14</v>
      </c>
      <c r="AJ19">
        <f>Aware_Full!Y18</f>
        <v>10</v>
      </c>
      <c r="AK19">
        <f>Aware_Full!Z18</f>
        <v>3</v>
      </c>
      <c r="AL19">
        <f>Learn_Full!V18</f>
        <v>3</v>
      </c>
      <c r="AM19">
        <f>Learn_Full!W18</f>
        <v>4</v>
      </c>
      <c r="AN19">
        <f>Learn_Full!X18</f>
        <v>28</v>
      </c>
      <c r="AO19">
        <f>Learn_Full!Y18</f>
        <v>17</v>
      </c>
      <c r="AP19">
        <f>Learn_Full!Z18</f>
        <v>7</v>
      </c>
      <c r="AQ19">
        <f>Rich_Full!V18</f>
        <v>20</v>
      </c>
      <c r="AR19">
        <f>Rich_Full!W18</f>
        <v>20</v>
      </c>
      <c r="AS19">
        <f>Rich_Full!X18</f>
        <v>22</v>
      </c>
      <c r="AT19">
        <f>Rich_Full!Y18</f>
        <v>9</v>
      </c>
      <c r="AU19">
        <f>Rich_Full!Z18</f>
        <v>18</v>
      </c>
      <c r="AW19">
        <f t="shared" si="3"/>
        <v>6.5</v>
      </c>
      <c r="AX19">
        <f t="shared" si="4"/>
        <v>11</v>
      </c>
      <c r="AY19">
        <f t="shared" si="5"/>
        <v>14.5</v>
      </c>
    </row>
    <row r="20" spans="1:51" x14ac:dyDescent="0.25">
      <c r="A20">
        <f>Baserun_Full!A19</f>
        <v>16</v>
      </c>
      <c r="B20">
        <f>Baserun_Full!B19</f>
        <v>1</v>
      </c>
      <c r="C20">
        <f>Baserun_Full!C19</f>
        <v>0</v>
      </c>
      <c r="D20">
        <f>Baserun_Full!D19</f>
        <v>0</v>
      </c>
      <c r="E20">
        <f>Baserun_Full!E19</f>
        <v>1</v>
      </c>
      <c r="F20">
        <f>Baserun_Full!F19</f>
        <v>0</v>
      </c>
      <c r="G20">
        <f>Aware_Full!B19</f>
        <v>0</v>
      </c>
      <c r="H20">
        <f>Aware_Full!C19</f>
        <v>2</v>
      </c>
      <c r="I20">
        <f>Aware_Full!D19</f>
        <v>10</v>
      </c>
      <c r="J20">
        <f>Aware_Full!E19</f>
        <v>1</v>
      </c>
      <c r="K20">
        <f>Aware_Full!F19</f>
        <v>1</v>
      </c>
      <c r="L20">
        <f>Learn_Full!B19</f>
        <v>2</v>
      </c>
      <c r="M20">
        <f>Learn_Full!C19</f>
        <v>1</v>
      </c>
      <c r="N20">
        <f>Learn_Full!D19</f>
        <v>1</v>
      </c>
      <c r="O20">
        <f>Learn_Full!E19</f>
        <v>4</v>
      </c>
      <c r="P20">
        <f>Learn_Full!F19</f>
        <v>0</v>
      </c>
      <c r="Q20">
        <f>Rich_Full!B19</f>
        <v>4</v>
      </c>
      <c r="R20">
        <f>Rich_Full!C19</f>
        <v>3</v>
      </c>
      <c r="S20">
        <f>Rich_Full!D19</f>
        <v>1</v>
      </c>
      <c r="T20">
        <f>Rich_Full!E19</f>
        <v>1</v>
      </c>
      <c r="U20">
        <f>Rich_Full!F19</f>
        <v>2</v>
      </c>
      <c r="V20">
        <v>17</v>
      </c>
      <c r="W20">
        <f t="shared" si="0"/>
        <v>0</v>
      </c>
      <c r="X20">
        <f t="shared" si="1"/>
        <v>1</v>
      </c>
      <c r="Y20">
        <f t="shared" si="2"/>
        <v>1.5</v>
      </c>
      <c r="AA20">
        <f>Baserun_Full!U19</f>
        <v>16</v>
      </c>
      <c r="AB20">
        <f>Baserun_Full!V19</f>
        <v>15</v>
      </c>
      <c r="AC20">
        <f>Baserun_Full!W19</f>
        <v>2</v>
      </c>
      <c r="AD20">
        <f>Baserun_Full!X19</f>
        <v>8</v>
      </c>
      <c r="AE20">
        <f>Baserun_Full!Y19</f>
        <v>13</v>
      </c>
      <c r="AF20">
        <f>Baserun_Full!Z19</f>
        <v>5</v>
      </c>
      <c r="AG20">
        <f>Aware_Full!V19</f>
        <v>10</v>
      </c>
      <c r="AH20">
        <f>Aware_Full!W19</f>
        <v>23</v>
      </c>
      <c r="AI20">
        <f>Aware_Full!X19</f>
        <v>20</v>
      </c>
      <c r="AJ20">
        <f>Aware_Full!Y19</f>
        <v>9</v>
      </c>
      <c r="AK20">
        <f>Aware_Full!Z19</f>
        <v>2</v>
      </c>
      <c r="AL20">
        <f>Learn_Full!V19</f>
        <v>3</v>
      </c>
      <c r="AM20">
        <f>Learn_Full!W19</f>
        <v>4</v>
      </c>
      <c r="AN20">
        <f>Learn_Full!X19</f>
        <v>20</v>
      </c>
      <c r="AO20">
        <f>Learn_Full!Y19</f>
        <v>12</v>
      </c>
      <c r="AP20">
        <f>Learn_Full!Z19</f>
        <v>4</v>
      </c>
      <c r="AQ20">
        <f>Rich_Full!V19</f>
        <v>17</v>
      </c>
      <c r="AR20">
        <f>Rich_Full!W19</f>
        <v>15</v>
      </c>
      <c r="AS20">
        <f>Rich_Full!X19</f>
        <v>16</v>
      </c>
      <c r="AT20">
        <f>Rich_Full!Y19</f>
        <v>7</v>
      </c>
      <c r="AU20">
        <f>Rich_Full!Z19</f>
        <v>13</v>
      </c>
      <c r="AW20">
        <f t="shared" si="3"/>
        <v>4</v>
      </c>
      <c r="AX20">
        <f t="shared" si="4"/>
        <v>9</v>
      </c>
      <c r="AY20">
        <f t="shared" si="5"/>
        <v>14</v>
      </c>
    </row>
    <row r="21" spans="1:51" x14ac:dyDescent="0.25">
      <c r="A21">
        <f>Baserun_Full!A20</f>
        <v>17</v>
      </c>
      <c r="B21">
        <f>Baserun_Full!B20</f>
        <v>0</v>
      </c>
      <c r="C21">
        <f>Baserun_Full!C20</f>
        <v>0</v>
      </c>
      <c r="D21">
        <f>Baserun_Full!D20</f>
        <v>1</v>
      </c>
      <c r="E21">
        <f>Baserun_Full!E20</f>
        <v>0</v>
      </c>
      <c r="F21">
        <f>Baserun_Full!F20</f>
        <v>0</v>
      </c>
      <c r="G21">
        <f>Aware_Full!B20</f>
        <v>0</v>
      </c>
      <c r="H21">
        <f>Aware_Full!C20</f>
        <v>0</v>
      </c>
      <c r="I21">
        <f>Aware_Full!D20</f>
        <v>1</v>
      </c>
      <c r="J21">
        <f>Aware_Full!E20</f>
        <v>0</v>
      </c>
      <c r="K21">
        <f>Aware_Full!F20</f>
        <v>0</v>
      </c>
      <c r="L21">
        <f>Learn_Full!B20</f>
        <v>1</v>
      </c>
      <c r="M21">
        <f>Learn_Full!C20</f>
        <v>0</v>
      </c>
      <c r="N21">
        <f>Learn_Full!D20</f>
        <v>0</v>
      </c>
      <c r="O21">
        <f>Learn_Full!E20</f>
        <v>3</v>
      </c>
      <c r="P21">
        <f>Learn_Full!F20</f>
        <v>1</v>
      </c>
      <c r="Q21">
        <f>Rich_Full!B20</f>
        <v>0</v>
      </c>
      <c r="R21">
        <f>Rich_Full!C20</f>
        <v>0</v>
      </c>
      <c r="S21">
        <f>Rich_Full!D20</f>
        <v>2</v>
      </c>
      <c r="T21">
        <f>Rich_Full!E20</f>
        <v>1</v>
      </c>
      <c r="U21">
        <f>Rich_Full!F20</f>
        <v>0</v>
      </c>
      <c r="V21">
        <v>18</v>
      </c>
      <c r="W21">
        <f t="shared" si="0"/>
        <v>0</v>
      </c>
      <c r="X21">
        <f t="shared" si="1"/>
        <v>0</v>
      </c>
      <c r="Y21">
        <f t="shared" si="2"/>
        <v>1</v>
      </c>
      <c r="AA21">
        <f>Baserun_Full!U20</f>
        <v>17</v>
      </c>
      <c r="AB21">
        <f>Baserun_Full!V20</f>
        <v>15</v>
      </c>
      <c r="AC21">
        <f>Baserun_Full!W20</f>
        <v>2</v>
      </c>
      <c r="AD21">
        <f>Baserun_Full!X20</f>
        <v>7</v>
      </c>
      <c r="AE21">
        <f>Baserun_Full!Y20</f>
        <v>11</v>
      </c>
      <c r="AF21">
        <f>Baserun_Full!Z20</f>
        <v>3</v>
      </c>
      <c r="AG21">
        <f>Aware_Full!V20</f>
        <v>6</v>
      </c>
      <c r="AH21">
        <f>Aware_Full!W20</f>
        <v>18</v>
      </c>
      <c r="AI21">
        <f>Aware_Full!X20</f>
        <v>19</v>
      </c>
      <c r="AJ21">
        <f>Aware_Full!Y20</f>
        <v>9</v>
      </c>
      <c r="AK21">
        <f>Aware_Full!Z20</f>
        <v>1</v>
      </c>
      <c r="AL21">
        <f>Learn_Full!V20</f>
        <v>3</v>
      </c>
      <c r="AM21">
        <f>Learn_Full!W20</f>
        <v>4</v>
      </c>
      <c r="AN21">
        <f>Learn_Full!X20</f>
        <v>9</v>
      </c>
      <c r="AO21">
        <f>Learn_Full!Y20</f>
        <v>11</v>
      </c>
      <c r="AP21">
        <f>Learn_Full!Z20</f>
        <v>3</v>
      </c>
      <c r="AQ21">
        <f>Rich_Full!V20</f>
        <v>11</v>
      </c>
      <c r="AR21">
        <f>Rich_Full!W20</f>
        <v>9</v>
      </c>
      <c r="AS21">
        <f>Rich_Full!X20</f>
        <v>10</v>
      </c>
      <c r="AT21">
        <f>Rich_Full!Y20</f>
        <v>5</v>
      </c>
      <c r="AU21">
        <f>Rich_Full!Z20</f>
        <v>8</v>
      </c>
      <c r="AW21">
        <f t="shared" si="3"/>
        <v>3</v>
      </c>
      <c r="AX21">
        <f t="shared" si="4"/>
        <v>7</v>
      </c>
      <c r="AY21">
        <f t="shared" si="5"/>
        <v>11</v>
      </c>
    </row>
    <row r="22" spans="1:51" x14ac:dyDescent="0.25">
      <c r="A22">
        <f>Baserun_Full!A21</f>
        <v>18</v>
      </c>
      <c r="B22">
        <f>Baserun_Full!B21</f>
        <v>0</v>
      </c>
      <c r="C22">
        <f>Baserun_Full!C21</f>
        <v>0</v>
      </c>
      <c r="D22">
        <f>Baserun_Full!D21</f>
        <v>1</v>
      </c>
      <c r="E22">
        <f>Baserun_Full!E21</f>
        <v>0</v>
      </c>
      <c r="F22">
        <f>Baserun_Full!F21</f>
        <v>3</v>
      </c>
      <c r="G22">
        <f>Aware_Full!B21</f>
        <v>0</v>
      </c>
      <c r="H22">
        <f>Aware_Full!C21</f>
        <v>0</v>
      </c>
      <c r="I22">
        <f>Aware_Full!D21</f>
        <v>0</v>
      </c>
      <c r="J22">
        <f>Aware_Full!E21</f>
        <v>0</v>
      </c>
      <c r="K22">
        <f>Aware_Full!F21</f>
        <v>0</v>
      </c>
      <c r="L22">
        <f>Learn_Full!B21</f>
        <v>0</v>
      </c>
      <c r="M22">
        <f>Learn_Full!C21</f>
        <v>2</v>
      </c>
      <c r="N22">
        <f>Learn_Full!D21</f>
        <v>0</v>
      </c>
      <c r="O22">
        <f>Learn_Full!E21</f>
        <v>0</v>
      </c>
      <c r="P22">
        <f>Learn_Full!F21</f>
        <v>0</v>
      </c>
      <c r="Q22">
        <f>Rich_Full!B21</f>
        <v>0</v>
      </c>
      <c r="R22">
        <f>Rich_Full!C21</f>
        <v>1</v>
      </c>
      <c r="S22">
        <f>Rich_Full!D21</f>
        <v>1</v>
      </c>
      <c r="T22">
        <f>Rich_Full!E21</f>
        <v>2</v>
      </c>
      <c r="U22">
        <f>Rich_Full!F21</f>
        <v>2</v>
      </c>
      <c r="V22">
        <v>19</v>
      </c>
      <c r="W22">
        <f t="shared" si="0"/>
        <v>0</v>
      </c>
      <c r="X22">
        <f t="shared" si="1"/>
        <v>0</v>
      </c>
      <c r="Y22">
        <f t="shared" si="2"/>
        <v>0</v>
      </c>
      <c r="AA22">
        <f>Baserun_Full!U21</f>
        <v>18</v>
      </c>
      <c r="AB22">
        <f>Baserun_Full!V21</f>
        <v>14</v>
      </c>
      <c r="AC22">
        <f>Baserun_Full!W21</f>
        <v>1</v>
      </c>
      <c r="AD22">
        <f>Baserun_Full!X21</f>
        <v>6</v>
      </c>
      <c r="AE22">
        <f>Baserun_Full!Y21</f>
        <v>10</v>
      </c>
      <c r="AF22">
        <f>Baserun_Full!Z21</f>
        <v>6</v>
      </c>
      <c r="AG22">
        <f>Aware_Full!V21</f>
        <v>3</v>
      </c>
      <c r="AH22">
        <f>Aware_Full!W21</f>
        <v>13</v>
      </c>
      <c r="AI22">
        <f>Aware_Full!X21</f>
        <v>19</v>
      </c>
      <c r="AJ22">
        <f>Aware_Full!Y21</f>
        <v>6</v>
      </c>
      <c r="AK22">
        <f>Aware_Full!Z21</f>
        <v>1</v>
      </c>
      <c r="AL22">
        <f>Learn_Full!V21</f>
        <v>3</v>
      </c>
      <c r="AM22">
        <f>Learn_Full!W21</f>
        <v>6</v>
      </c>
      <c r="AN22">
        <f>Learn_Full!X21</f>
        <v>8</v>
      </c>
      <c r="AO22">
        <f>Learn_Full!Y21</f>
        <v>11</v>
      </c>
      <c r="AP22">
        <f>Learn_Full!Z21</f>
        <v>1</v>
      </c>
      <c r="AQ22">
        <f>Rich_Full!V21</f>
        <v>9</v>
      </c>
      <c r="AR22">
        <f>Rich_Full!W21</f>
        <v>9</v>
      </c>
      <c r="AS22">
        <f>Rich_Full!X21</f>
        <v>7</v>
      </c>
      <c r="AT22">
        <f>Rich_Full!Y21</f>
        <v>6</v>
      </c>
      <c r="AU22">
        <f>Rich_Full!Z21</f>
        <v>8</v>
      </c>
      <c r="AW22">
        <f t="shared" si="3"/>
        <v>3</v>
      </c>
      <c r="AX22">
        <f t="shared" si="4"/>
        <v>6</v>
      </c>
      <c r="AY22">
        <f t="shared" si="5"/>
        <v>10.5</v>
      </c>
    </row>
    <row r="23" spans="1:51" x14ac:dyDescent="0.25">
      <c r="A23">
        <f>Baserun_Full!A22</f>
        <v>19</v>
      </c>
      <c r="B23">
        <f>Baserun_Full!B22</f>
        <v>0</v>
      </c>
      <c r="C23">
        <f>Baserun_Full!C22</f>
        <v>0</v>
      </c>
      <c r="D23">
        <f>Baserun_Full!D22</f>
        <v>0</v>
      </c>
      <c r="E23">
        <f>Baserun_Full!E22</f>
        <v>2</v>
      </c>
      <c r="F23">
        <f>Baserun_Full!F22</f>
        <v>0</v>
      </c>
      <c r="G23">
        <f>Aware_Full!B22</f>
        <v>0</v>
      </c>
      <c r="H23">
        <f>Aware_Full!C22</f>
        <v>1</v>
      </c>
      <c r="I23">
        <f>Aware_Full!D22</f>
        <v>0</v>
      </c>
      <c r="J23">
        <f>Aware_Full!E22</f>
        <v>0</v>
      </c>
      <c r="K23">
        <f>Aware_Full!F22</f>
        <v>1</v>
      </c>
      <c r="L23">
        <f>Learn_Full!B22</f>
        <v>1</v>
      </c>
      <c r="M23">
        <f>Learn_Full!C22</f>
        <v>0</v>
      </c>
      <c r="N23">
        <f>Learn_Full!D22</f>
        <v>0</v>
      </c>
      <c r="O23">
        <f>Learn_Full!E22</f>
        <v>0</v>
      </c>
      <c r="P23">
        <f>Learn_Full!F22</f>
        <v>1</v>
      </c>
      <c r="Q23">
        <f>Rich_Full!B22</f>
        <v>0</v>
      </c>
      <c r="R23">
        <f>Rich_Full!C22</f>
        <v>1</v>
      </c>
      <c r="S23">
        <f>Rich_Full!D22</f>
        <v>1</v>
      </c>
      <c r="T23">
        <f>Rich_Full!E22</f>
        <v>1</v>
      </c>
      <c r="U23">
        <f>Rich_Full!F22</f>
        <v>1</v>
      </c>
      <c r="V23">
        <v>20</v>
      </c>
      <c r="W23">
        <f t="shared" si="0"/>
        <v>0</v>
      </c>
      <c r="X23">
        <f t="shared" si="1"/>
        <v>0</v>
      </c>
      <c r="Y23">
        <f t="shared" si="2"/>
        <v>1</v>
      </c>
      <c r="AA23">
        <f>Baserun_Full!U22</f>
        <v>19</v>
      </c>
      <c r="AB23">
        <f>Baserun_Full!V22</f>
        <v>9</v>
      </c>
      <c r="AC23">
        <f>Baserun_Full!W22</f>
        <v>1</v>
      </c>
      <c r="AD23">
        <f>Baserun_Full!X22</f>
        <v>4</v>
      </c>
      <c r="AE23">
        <f>Baserun_Full!Y22</f>
        <v>7</v>
      </c>
      <c r="AF23">
        <f>Baserun_Full!Z22</f>
        <v>4</v>
      </c>
      <c r="AG23">
        <f>Aware_Full!V22</f>
        <v>2</v>
      </c>
      <c r="AH23">
        <f>Aware_Full!W22</f>
        <v>10</v>
      </c>
      <c r="AI23">
        <f>Aware_Full!X22</f>
        <v>16</v>
      </c>
      <c r="AJ23">
        <f>Aware_Full!Y22</f>
        <v>4</v>
      </c>
      <c r="AK23">
        <f>Aware_Full!Z22</f>
        <v>2</v>
      </c>
      <c r="AL23">
        <f>Learn_Full!V22</f>
        <v>4</v>
      </c>
      <c r="AM23">
        <f>Learn_Full!W22</f>
        <v>6</v>
      </c>
      <c r="AN23">
        <f>Learn_Full!X22</f>
        <v>6</v>
      </c>
      <c r="AO23">
        <f>Learn_Full!Y22</f>
        <v>11</v>
      </c>
      <c r="AP23">
        <f>Learn_Full!Z22</f>
        <v>2</v>
      </c>
      <c r="AQ23">
        <f>Rich_Full!V22</f>
        <v>6</v>
      </c>
      <c r="AR23">
        <f>Rich_Full!W22</f>
        <v>6</v>
      </c>
      <c r="AS23">
        <f>Rich_Full!X22</f>
        <v>7</v>
      </c>
      <c r="AT23">
        <f>Rich_Full!Y22</f>
        <v>6</v>
      </c>
      <c r="AU23">
        <f>Rich_Full!Z22</f>
        <v>6</v>
      </c>
      <c r="AW23">
        <f t="shared" si="3"/>
        <v>3</v>
      </c>
      <c r="AX23">
        <f t="shared" si="4"/>
        <v>4</v>
      </c>
      <c r="AY23">
        <f t="shared" si="5"/>
        <v>8</v>
      </c>
    </row>
    <row r="24" spans="1:51" x14ac:dyDescent="0.25">
      <c r="A24">
        <f>Baserun_Full!A23</f>
        <v>20</v>
      </c>
      <c r="B24">
        <f>Baserun_Full!B23</f>
        <v>0</v>
      </c>
      <c r="C24">
        <f>Baserun_Full!C23</f>
        <v>0</v>
      </c>
      <c r="D24">
        <f>Baserun_Full!D23</f>
        <v>2</v>
      </c>
      <c r="E24">
        <f>Baserun_Full!E23</f>
        <v>0</v>
      </c>
      <c r="F24">
        <f>Baserun_Full!F23</f>
        <v>1</v>
      </c>
      <c r="G24">
        <f>Aware_Full!B23</f>
        <v>0</v>
      </c>
      <c r="H24">
        <f>Aware_Full!C23</f>
        <v>0</v>
      </c>
      <c r="I24">
        <f>Aware_Full!D23</f>
        <v>0</v>
      </c>
      <c r="J24">
        <f>Aware_Full!E23</f>
        <v>0</v>
      </c>
      <c r="K24">
        <f>Aware_Full!F23</f>
        <v>1</v>
      </c>
      <c r="L24">
        <f>Learn_Full!B23</f>
        <v>0</v>
      </c>
      <c r="M24">
        <f>Learn_Full!C23</f>
        <v>0</v>
      </c>
      <c r="N24">
        <f>Learn_Full!D23</f>
        <v>0</v>
      </c>
      <c r="O24">
        <f>Learn_Full!E23</f>
        <v>0</v>
      </c>
      <c r="P24">
        <f>Learn_Full!F23</f>
        <v>2</v>
      </c>
      <c r="Q24">
        <f>Rich_Full!B23</f>
        <v>0</v>
      </c>
      <c r="R24">
        <f>Rich_Full!C23</f>
        <v>0</v>
      </c>
      <c r="S24">
        <f>Rich_Full!D23</f>
        <v>0</v>
      </c>
      <c r="T24">
        <f>Rich_Full!E23</f>
        <v>1</v>
      </c>
      <c r="U24">
        <f>Rich_Full!F23</f>
        <v>0</v>
      </c>
      <c r="V24">
        <v>21</v>
      </c>
      <c r="W24">
        <f t="shared" si="0"/>
        <v>0</v>
      </c>
      <c r="X24">
        <f t="shared" si="1"/>
        <v>0</v>
      </c>
      <c r="Y24">
        <f t="shared" si="2"/>
        <v>0.5</v>
      </c>
      <c r="AA24">
        <f>Baserun_Full!U23</f>
        <v>20</v>
      </c>
      <c r="AB24">
        <f>Baserun_Full!V23</f>
        <v>4</v>
      </c>
      <c r="AC24">
        <f>Baserun_Full!W23</f>
        <v>1</v>
      </c>
      <c r="AD24">
        <f>Baserun_Full!X23</f>
        <v>5</v>
      </c>
      <c r="AE24">
        <f>Baserun_Full!Y23</f>
        <v>3</v>
      </c>
      <c r="AF24">
        <f>Baserun_Full!Z23</f>
        <v>5</v>
      </c>
      <c r="AG24">
        <f>Aware_Full!V23</f>
        <v>1</v>
      </c>
      <c r="AH24">
        <f>Aware_Full!W23</f>
        <v>4</v>
      </c>
      <c r="AI24">
        <f>Aware_Full!X23</f>
        <v>15</v>
      </c>
      <c r="AJ24">
        <f>Aware_Full!Y23</f>
        <v>3</v>
      </c>
      <c r="AK24">
        <f>Aware_Full!Z23</f>
        <v>3</v>
      </c>
      <c r="AL24">
        <f>Learn_Full!V23</f>
        <v>4</v>
      </c>
      <c r="AM24">
        <f>Learn_Full!W23</f>
        <v>6</v>
      </c>
      <c r="AN24">
        <f>Learn_Full!X23</f>
        <v>3</v>
      </c>
      <c r="AO24">
        <f>Learn_Full!Y23</f>
        <v>9</v>
      </c>
      <c r="AP24">
        <f>Learn_Full!Z23</f>
        <v>4</v>
      </c>
      <c r="AQ24">
        <f>Rich_Full!V23</f>
        <v>4</v>
      </c>
      <c r="AR24">
        <f>Rich_Full!W23</f>
        <v>5</v>
      </c>
      <c r="AS24">
        <f>Rich_Full!X23</f>
        <v>5</v>
      </c>
      <c r="AT24">
        <f>Rich_Full!Y23</f>
        <v>7</v>
      </c>
      <c r="AU24">
        <f>Rich_Full!Z23</f>
        <v>6</v>
      </c>
      <c r="AW24">
        <f t="shared" si="3"/>
        <v>3</v>
      </c>
      <c r="AX24">
        <f t="shared" si="4"/>
        <v>4</v>
      </c>
      <c r="AY24">
        <f t="shared" si="5"/>
        <v>5</v>
      </c>
    </row>
    <row r="25" spans="1:51" x14ac:dyDescent="0.25">
      <c r="A25">
        <f>Baserun_Full!A24</f>
        <v>21</v>
      </c>
      <c r="B25">
        <f>Baserun_Full!B24</f>
        <v>0</v>
      </c>
      <c r="C25">
        <f>Baserun_Full!C24</f>
        <v>0</v>
      </c>
      <c r="D25">
        <f>Baserun_Full!D24</f>
        <v>0</v>
      </c>
      <c r="E25">
        <f>Baserun_Full!E24</f>
        <v>1</v>
      </c>
      <c r="F25">
        <f>Baserun_Full!F24</f>
        <v>4</v>
      </c>
      <c r="G25">
        <f>Aware_Full!B24</f>
        <v>1</v>
      </c>
      <c r="H25">
        <f>Aware_Full!C24</f>
        <v>2</v>
      </c>
      <c r="I25">
        <f>Aware_Full!D24</f>
        <v>0</v>
      </c>
      <c r="J25">
        <f>Aware_Full!E24</f>
        <v>0</v>
      </c>
      <c r="K25">
        <f>Aware_Full!F24</f>
        <v>0</v>
      </c>
      <c r="L25">
        <f>Learn_Full!B24</f>
        <v>0</v>
      </c>
      <c r="M25">
        <f>Learn_Full!C24</f>
        <v>2</v>
      </c>
      <c r="N25">
        <f>Learn_Full!D24</f>
        <v>1</v>
      </c>
      <c r="O25">
        <f>Learn_Full!E24</f>
        <v>0</v>
      </c>
      <c r="P25">
        <f>Learn_Full!F24</f>
        <v>0</v>
      </c>
      <c r="Q25">
        <f>Rich_Full!B24</f>
        <v>0</v>
      </c>
      <c r="R25">
        <f>Rich_Full!C24</f>
        <v>2</v>
      </c>
      <c r="S25">
        <f>Rich_Full!D24</f>
        <v>1</v>
      </c>
      <c r="T25">
        <f>Rich_Full!E24</f>
        <v>0</v>
      </c>
      <c r="U25">
        <f>Rich_Full!F24</f>
        <v>1</v>
      </c>
      <c r="V25">
        <v>22</v>
      </c>
      <c r="W25">
        <f t="shared" si="0"/>
        <v>0</v>
      </c>
      <c r="X25">
        <f t="shared" si="1"/>
        <v>0</v>
      </c>
      <c r="Y25">
        <f t="shared" si="2"/>
        <v>1</v>
      </c>
      <c r="AA25">
        <f>Baserun_Full!U24</f>
        <v>21</v>
      </c>
      <c r="AB25">
        <f>Baserun_Full!V24</f>
        <v>1</v>
      </c>
      <c r="AC25">
        <f>Baserun_Full!W24</f>
        <v>0</v>
      </c>
      <c r="AD25">
        <f>Baserun_Full!X24</f>
        <v>4</v>
      </c>
      <c r="AE25">
        <f>Baserun_Full!Y24</f>
        <v>4</v>
      </c>
      <c r="AF25">
        <f>Baserun_Full!Z24</f>
        <v>8</v>
      </c>
      <c r="AG25">
        <f>Aware_Full!V24</f>
        <v>1</v>
      </c>
      <c r="AH25">
        <f>Aware_Full!W24</f>
        <v>5</v>
      </c>
      <c r="AI25">
        <f>Aware_Full!X24</f>
        <v>11</v>
      </c>
      <c r="AJ25">
        <f>Aware_Full!Y24</f>
        <v>1</v>
      </c>
      <c r="AK25">
        <f>Aware_Full!Z24</f>
        <v>3</v>
      </c>
      <c r="AL25">
        <f>Learn_Full!V24</f>
        <v>4</v>
      </c>
      <c r="AM25">
        <f>Learn_Full!W24</f>
        <v>5</v>
      </c>
      <c r="AN25">
        <f>Learn_Full!X24</f>
        <v>2</v>
      </c>
      <c r="AO25">
        <f>Learn_Full!Y24</f>
        <v>7</v>
      </c>
      <c r="AP25">
        <f>Learn_Full!Z24</f>
        <v>4</v>
      </c>
      <c r="AQ25">
        <f>Rich_Full!V24</f>
        <v>4</v>
      </c>
      <c r="AR25">
        <f>Rich_Full!W24</f>
        <v>7</v>
      </c>
      <c r="AS25">
        <f>Rich_Full!X24</f>
        <v>6</v>
      </c>
      <c r="AT25">
        <f>Rich_Full!Y24</f>
        <v>6</v>
      </c>
      <c r="AU25">
        <f>Rich_Full!Z24</f>
        <v>6</v>
      </c>
      <c r="AW25">
        <f t="shared" si="3"/>
        <v>1.5</v>
      </c>
      <c r="AX25">
        <f t="shared" si="4"/>
        <v>4</v>
      </c>
      <c r="AY25">
        <f t="shared" si="5"/>
        <v>5</v>
      </c>
    </row>
    <row r="26" spans="1:51" x14ac:dyDescent="0.25">
      <c r="A26">
        <f>Baserun_Full!A25</f>
        <v>22</v>
      </c>
      <c r="B26">
        <f>Baserun_Full!B25</f>
        <v>0</v>
      </c>
      <c r="C26">
        <f>Baserun_Full!C25</f>
        <v>0</v>
      </c>
      <c r="D26">
        <f>Baserun_Full!D25</f>
        <v>0</v>
      </c>
      <c r="E26">
        <f>Baserun_Full!E25</f>
        <v>2</v>
      </c>
      <c r="F26">
        <f>Baserun_Full!F25</f>
        <v>0</v>
      </c>
      <c r="G26">
        <f>Aware_Full!B25</f>
        <v>0</v>
      </c>
      <c r="H26">
        <f>Aware_Full!C25</f>
        <v>4</v>
      </c>
      <c r="I26">
        <f>Aware_Full!D25</f>
        <v>3</v>
      </c>
      <c r="J26">
        <f>Aware_Full!E25</f>
        <v>2</v>
      </c>
      <c r="K26">
        <f>Aware_Full!F25</f>
        <v>0</v>
      </c>
      <c r="L26">
        <f>Learn_Full!B25</f>
        <v>4</v>
      </c>
      <c r="M26">
        <f>Learn_Full!C25</f>
        <v>0</v>
      </c>
      <c r="N26">
        <f>Learn_Full!D25</f>
        <v>0</v>
      </c>
      <c r="O26">
        <f>Learn_Full!E25</f>
        <v>4</v>
      </c>
      <c r="P26">
        <f>Learn_Full!F25</f>
        <v>2</v>
      </c>
      <c r="Q26">
        <f>Rich_Full!B25</f>
        <v>0</v>
      </c>
      <c r="R26">
        <f>Rich_Full!C25</f>
        <v>0</v>
      </c>
      <c r="S26">
        <f>Rich_Full!D25</f>
        <v>3</v>
      </c>
      <c r="T26">
        <f>Rich_Full!E25</f>
        <v>2</v>
      </c>
      <c r="U26">
        <f>Rich_Full!F25</f>
        <v>0</v>
      </c>
      <c r="V26">
        <v>23</v>
      </c>
      <c r="W26">
        <f t="shared" si="0"/>
        <v>0</v>
      </c>
      <c r="X26">
        <f t="shared" si="1"/>
        <v>0</v>
      </c>
      <c r="Y26">
        <f t="shared" si="2"/>
        <v>2.5</v>
      </c>
      <c r="AA26">
        <f>Baserun_Full!U25</f>
        <v>22</v>
      </c>
      <c r="AB26">
        <f>Baserun_Full!V25</f>
        <v>0</v>
      </c>
      <c r="AC26">
        <f>Baserun_Full!W25</f>
        <v>0</v>
      </c>
      <c r="AD26">
        <f>Baserun_Full!X25</f>
        <v>4</v>
      </c>
      <c r="AE26">
        <f>Baserun_Full!Y25</f>
        <v>5</v>
      </c>
      <c r="AF26">
        <f>Baserun_Full!Z25</f>
        <v>8</v>
      </c>
      <c r="AG26">
        <f>Aware_Full!V25</f>
        <v>1</v>
      </c>
      <c r="AH26">
        <f>Aware_Full!W25</f>
        <v>7</v>
      </c>
      <c r="AI26">
        <f>Aware_Full!X25</f>
        <v>4</v>
      </c>
      <c r="AJ26">
        <f>Aware_Full!Y25</f>
        <v>2</v>
      </c>
      <c r="AK26">
        <f>Aware_Full!Z25</f>
        <v>2</v>
      </c>
      <c r="AL26">
        <f>Learn_Full!V25</f>
        <v>6</v>
      </c>
      <c r="AM26">
        <f>Learn_Full!W25</f>
        <v>4</v>
      </c>
      <c r="AN26">
        <f>Learn_Full!X25</f>
        <v>1</v>
      </c>
      <c r="AO26">
        <f>Learn_Full!Y25</f>
        <v>7</v>
      </c>
      <c r="AP26">
        <f>Learn_Full!Z25</f>
        <v>6</v>
      </c>
      <c r="AQ26">
        <f>Rich_Full!V25</f>
        <v>0</v>
      </c>
      <c r="AR26">
        <f>Rich_Full!W25</f>
        <v>4</v>
      </c>
      <c r="AS26">
        <f>Rich_Full!X25</f>
        <v>8</v>
      </c>
      <c r="AT26">
        <f>Rich_Full!Y25</f>
        <v>7</v>
      </c>
      <c r="AU26">
        <f>Rich_Full!Z25</f>
        <v>4</v>
      </c>
      <c r="AW26">
        <f t="shared" si="3"/>
        <v>1.5</v>
      </c>
      <c r="AX26">
        <f t="shared" si="4"/>
        <v>4</v>
      </c>
      <c r="AY26">
        <f t="shared" si="5"/>
        <v>6</v>
      </c>
    </row>
    <row r="27" spans="1:51" x14ac:dyDescent="0.25">
      <c r="A27">
        <f>Baserun_Full!A26</f>
        <v>23</v>
      </c>
      <c r="B27">
        <f>Baserun_Full!B26</f>
        <v>0</v>
      </c>
      <c r="C27">
        <f>Baserun_Full!C26</f>
        <v>0</v>
      </c>
      <c r="D27">
        <f>Baserun_Full!D26</f>
        <v>1</v>
      </c>
      <c r="E27">
        <f>Baserun_Full!E26</f>
        <v>0</v>
      </c>
      <c r="F27">
        <f>Baserun_Full!F26</f>
        <v>4</v>
      </c>
      <c r="G27">
        <f>Aware_Full!B26</f>
        <v>0</v>
      </c>
      <c r="H27">
        <f>Aware_Full!C26</f>
        <v>1</v>
      </c>
      <c r="I27">
        <f>Aware_Full!D26</f>
        <v>0</v>
      </c>
      <c r="J27">
        <f>Aware_Full!E26</f>
        <v>1</v>
      </c>
      <c r="K27">
        <f>Aware_Full!F26</f>
        <v>0</v>
      </c>
      <c r="L27">
        <f>Learn_Full!B26</f>
        <v>0</v>
      </c>
      <c r="M27">
        <f>Learn_Full!C26</f>
        <v>0</v>
      </c>
      <c r="N27">
        <f>Learn_Full!D26</f>
        <v>0</v>
      </c>
      <c r="O27">
        <f>Learn_Full!E26</f>
        <v>2</v>
      </c>
      <c r="P27">
        <f>Learn_Full!F26</f>
        <v>0</v>
      </c>
      <c r="Q27">
        <f>Rich_Full!B26</f>
        <v>0</v>
      </c>
      <c r="R27">
        <f>Rich_Full!C26</f>
        <v>0</v>
      </c>
      <c r="S27">
        <f>Rich_Full!D26</f>
        <v>1</v>
      </c>
      <c r="T27">
        <f>Rich_Full!E26</f>
        <v>3</v>
      </c>
      <c r="U27">
        <f>Rich_Full!F26</f>
        <v>1</v>
      </c>
      <c r="V27">
        <v>24</v>
      </c>
      <c r="W27">
        <f t="shared" si="0"/>
        <v>0</v>
      </c>
      <c r="X27">
        <f t="shared" si="1"/>
        <v>0</v>
      </c>
      <c r="Y27">
        <f t="shared" si="2"/>
        <v>1</v>
      </c>
      <c r="AA27">
        <f>Baserun_Full!U26</f>
        <v>23</v>
      </c>
      <c r="AB27">
        <f>Baserun_Full!V26</f>
        <v>0</v>
      </c>
      <c r="AC27">
        <f>Baserun_Full!W26</f>
        <v>0</v>
      </c>
      <c r="AD27">
        <f>Baserun_Full!X26</f>
        <v>4</v>
      </c>
      <c r="AE27">
        <f>Baserun_Full!Y26</f>
        <v>5</v>
      </c>
      <c r="AF27">
        <f>Baserun_Full!Z26</f>
        <v>12</v>
      </c>
      <c r="AG27">
        <f>Aware_Full!V26</f>
        <v>1</v>
      </c>
      <c r="AH27">
        <f>Aware_Full!W26</f>
        <v>8</v>
      </c>
      <c r="AI27">
        <f>Aware_Full!X26</f>
        <v>3</v>
      </c>
      <c r="AJ27">
        <f>Aware_Full!Y26</f>
        <v>3</v>
      </c>
      <c r="AK27">
        <f>Aware_Full!Z26</f>
        <v>2</v>
      </c>
      <c r="AL27">
        <f>Learn_Full!V26</f>
        <v>5</v>
      </c>
      <c r="AM27">
        <f>Learn_Full!W26</f>
        <v>4</v>
      </c>
      <c r="AN27">
        <f>Learn_Full!X26</f>
        <v>1</v>
      </c>
      <c r="AO27">
        <f>Learn_Full!Y26</f>
        <v>6</v>
      </c>
      <c r="AP27">
        <f>Learn_Full!Z26</f>
        <v>5</v>
      </c>
      <c r="AQ27">
        <f>Rich_Full!V26</f>
        <v>0</v>
      </c>
      <c r="AR27">
        <f>Rich_Full!W26</f>
        <v>4</v>
      </c>
      <c r="AS27">
        <f>Rich_Full!X26</f>
        <v>7</v>
      </c>
      <c r="AT27">
        <f>Rich_Full!Y26</f>
        <v>9</v>
      </c>
      <c r="AU27">
        <f>Rich_Full!Z26</f>
        <v>5</v>
      </c>
      <c r="AW27">
        <f t="shared" si="3"/>
        <v>1.5</v>
      </c>
      <c r="AX27">
        <f t="shared" si="4"/>
        <v>4</v>
      </c>
      <c r="AY27">
        <f t="shared" si="5"/>
        <v>5</v>
      </c>
    </row>
    <row r="28" spans="1:51" x14ac:dyDescent="0.25">
      <c r="A28">
        <f>Baserun_Full!A27</f>
        <v>24</v>
      </c>
      <c r="B28">
        <f>Baserun_Full!B27</f>
        <v>0</v>
      </c>
      <c r="C28">
        <f>Baserun_Full!C27</f>
        <v>0</v>
      </c>
      <c r="D28">
        <f>Baserun_Full!D27</f>
        <v>1</v>
      </c>
      <c r="E28">
        <f>Baserun_Full!E27</f>
        <v>1</v>
      </c>
      <c r="F28">
        <f>Baserun_Full!F27</f>
        <v>0</v>
      </c>
      <c r="G28">
        <f>Aware_Full!B27</f>
        <v>0</v>
      </c>
      <c r="H28">
        <f>Aware_Full!C27</f>
        <v>2</v>
      </c>
      <c r="I28">
        <f>Aware_Full!D27</f>
        <v>2</v>
      </c>
      <c r="J28">
        <f>Aware_Full!E27</f>
        <v>2</v>
      </c>
      <c r="K28">
        <f>Aware_Full!F27</f>
        <v>0</v>
      </c>
      <c r="L28">
        <f>Learn_Full!B27</f>
        <v>0</v>
      </c>
      <c r="M28">
        <f>Learn_Full!C27</f>
        <v>1</v>
      </c>
      <c r="N28">
        <f>Learn_Full!D27</f>
        <v>0</v>
      </c>
      <c r="O28">
        <f>Learn_Full!E27</f>
        <v>1</v>
      </c>
      <c r="P28">
        <f>Learn_Full!F27</f>
        <v>0</v>
      </c>
      <c r="Q28">
        <f>Rich_Full!B27</f>
        <v>0</v>
      </c>
      <c r="R28">
        <f>Rich_Full!C27</f>
        <v>0</v>
      </c>
      <c r="S28">
        <f>Rich_Full!D27</f>
        <v>1</v>
      </c>
      <c r="T28">
        <f>Rich_Full!E27</f>
        <v>2</v>
      </c>
      <c r="U28">
        <f>Rich_Full!F27</f>
        <v>1</v>
      </c>
      <c r="V28">
        <v>25</v>
      </c>
      <c r="W28">
        <f t="shared" si="0"/>
        <v>0</v>
      </c>
      <c r="X28">
        <f t="shared" si="1"/>
        <v>0</v>
      </c>
      <c r="Y28">
        <f t="shared" si="2"/>
        <v>1</v>
      </c>
      <c r="AA28">
        <f>Baserun_Full!U27</f>
        <v>24</v>
      </c>
      <c r="AB28">
        <f>Baserun_Full!V27</f>
        <v>0</v>
      </c>
      <c r="AC28">
        <f>Baserun_Full!W27</f>
        <v>0</v>
      </c>
      <c r="AD28">
        <f>Baserun_Full!X27</f>
        <v>4</v>
      </c>
      <c r="AE28">
        <f>Baserun_Full!Y27</f>
        <v>6</v>
      </c>
      <c r="AF28">
        <f>Baserun_Full!Z27</f>
        <v>9</v>
      </c>
      <c r="AG28">
        <f>Aware_Full!V27</f>
        <v>1</v>
      </c>
      <c r="AH28">
        <f>Aware_Full!W27</f>
        <v>10</v>
      </c>
      <c r="AI28">
        <f>Aware_Full!X27</f>
        <v>5</v>
      </c>
      <c r="AJ28">
        <f>Aware_Full!Y27</f>
        <v>5</v>
      </c>
      <c r="AK28">
        <f>Aware_Full!Z27</f>
        <v>2</v>
      </c>
      <c r="AL28">
        <f>Learn_Full!V27</f>
        <v>5</v>
      </c>
      <c r="AM28">
        <f>Learn_Full!W27</f>
        <v>3</v>
      </c>
      <c r="AN28">
        <f>Learn_Full!X27</f>
        <v>1</v>
      </c>
      <c r="AO28">
        <f>Learn_Full!Y27</f>
        <v>7</v>
      </c>
      <c r="AP28">
        <f>Learn_Full!Z27</f>
        <v>5</v>
      </c>
      <c r="AQ28">
        <f>Rich_Full!V27</f>
        <v>0</v>
      </c>
      <c r="AR28">
        <f>Rich_Full!W27</f>
        <v>3</v>
      </c>
      <c r="AS28">
        <f>Rich_Full!X27</f>
        <v>7</v>
      </c>
      <c r="AT28">
        <f>Rich_Full!Y27</f>
        <v>9</v>
      </c>
      <c r="AU28">
        <f>Rich_Full!Z27</f>
        <v>4</v>
      </c>
      <c r="AW28">
        <f t="shared" si="3"/>
        <v>1.5</v>
      </c>
      <c r="AX28">
        <f t="shared" si="4"/>
        <v>5</v>
      </c>
      <c r="AY28">
        <f t="shared" si="5"/>
        <v>5.5</v>
      </c>
    </row>
    <row r="29" spans="1:51" x14ac:dyDescent="0.25">
      <c r="A29">
        <f>Baserun_Full!A28</f>
        <v>25</v>
      </c>
      <c r="B29">
        <f>Baserun_Full!B28</f>
        <v>0</v>
      </c>
      <c r="C29">
        <f>Baserun_Full!C28</f>
        <v>0</v>
      </c>
      <c r="D29">
        <f>Baserun_Full!D28</f>
        <v>4</v>
      </c>
      <c r="E29">
        <f>Baserun_Full!E28</f>
        <v>0</v>
      </c>
      <c r="F29">
        <f>Baserun_Full!F28</f>
        <v>0</v>
      </c>
      <c r="G29">
        <f>Aware_Full!B28</f>
        <v>0</v>
      </c>
      <c r="H29">
        <f>Aware_Full!C28</f>
        <v>0</v>
      </c>
      <c r="I29">
        <f>Aware_Full!D28</f>
        <v>4</v>
      </c>
      <c r="J29">
        <f>Aware_Full!E28</f>
        <v>2</v>
      </c>
      <c r="K29">
        <f>Aware_Full!F28</f>
        <v>0</v>
      </c>
      <c r="L29">
        <f>Learn_Full!B28</f>
        <v>2</v>
      </c>
      <c r="M29">
        <f>Learn_Full!C28</f>
        <v>0</v>
      </c>
      <c r="N29">
        <f>Learn_Full!D28</f>
        <v>0</v>
      </c>
      <c r="O29">
        <f>Learn_Full!E28</f>
        <v>5</v>
      </c>
      <c r="P29">
        <f>Learn_Full!F28</f>
        <v>2</v>
      </c>
      <c r="Q29">
        <f>Rich_Full!B28</f>
        <v>0</v>
      </c>
      <c r="R29">
        <f>Rich_Full!C28</f>
        <v>0</v>
      </c>
      <c r="S29">
        <f>Rich_Full!D28</f>
        <v>1</v>
      </c>
      <c r="T29">
        <f>Rich_Full!E28</f>
        <v>5</v>
      </c>
      <c r="U29">
        <f>Rich_Full!F28</f>
        <v>0</v>
      </c>
      <c r="V29">
        <v>26</v>
      </c>
      <c r="W29">
        <f t="shared" si="0"/>
        <v>0</v>
      </c>
      <c r="X29">
        <f t="shared" si="1"/>
        <v>0</v>
      </c>
      <c r="Y29">
        <f t="shared" si="2"/>
        <v>2</v>
      </c>
      <c r="AA29">
        <f>Baserun_Full!U28</f>
        <v>25</v>
      </c>
      <c r="AB29">
        <f>Baserun_Full!V28</f>
        <v>0</v>
      </c>
      <c r="AC29">
        <f>Baserun_Full!W28</f>
        <v>0</v>
      </c>
      <c r="AD29">
        <f>Baserun_Full!X28</f>
        <v>8</v>
      </c>
      <c r="AE29">
        <f>Baserun_Full!Y28</f>
        <v>4</v>
      </c>
      <c r="AF29">
        <f>Baserun_Full!Z28</f>
        <v>9</v>
      </c>
      <c r="AG29">
        <f>Aware_Full!V28</f>
        <v>1</v>
      </c>
      <c r="AH29">
        <f>Aware_Full!W28</f>
        <v>9</v>
      </c>
      <c r="AI29">
        <f>Aware_Full!X28</f>
        <v>9</v>
      </c>
      <c r="AJ29">
        <f>Aware_Full!Y28</f>
        <v>7</v>
      </c>
      <c r="AK29">
        <f>Aware_Full!Z28</f>
        <v>1</v>
      </c>
      <c r="AL29">
        <f>Learn_Full!V28</f>
        <v>6</v>
      </c>
      <c r="AM29">
        <f>Learn_Full!W28</f>
        <v>3</v>
      </c>
      <c r="AN29">
        <f>Learn_Full!X28</f>
        <v>1</v>
      </c>
      <c r="AO29">
        <f>Learn_Full!Y28</f>
        <v>12</v>
      </c>
      <c r="AP29">
        <f>Learn_Full!Z28</f>
        <v>6</v>
      </c>
      <c r="AQ29">
        <f>Rich_Full!V28</f>
        <v>0</v>
      </c>
      <c r="AR29">
        <f>Rich_Full!W28</f>
        <v>2</v>
      </c>
      <c r="AS29">
        <f>Rich_Full!X28</f>
        <v>7</v>
      </c>
      <c r="AT29">
        <f>Rich_Full!Y28</f>
        <v>13</v>
      </c>
      <c r="AU29">
        <f>Rich_Full!Z28</f>
        <v>3</v>
      </c>
      <c r="AW29">
        <f t="shared" si="3"/>
        <v>1</v>
      </c>
      <c r="AX29">
        <f t="shared" si="4"/>
        <v>6</v>
      </c>
      <c r="AY29">
        <f t="shared" si="5"/>
        <v>8.5</v>
      </c>
    </row>
    <row r="30" spans="1:51" x14ac:dyDescent="0.25">
      <c r="A30">
        <f>Baserun_Full!A29</f>
        <v>26</v>
      </c>
      <c r="B30">
        <f>Baserun_Full!B29</f>
        <v>0</v>
      </c>
      <c r="C30">
        <f>Baserun_Full!C29</f>
        <v>0</v>
      </c>
      <c r="D30">
        <f>Baserun_Full!D29</f>
        <v>3</v>
      </c>
      <c r="E30">
        <f>Baserun_Full!E29</f>
        <v>0</v>
      </c>
      <c r="F30">
        <f>Baserun_Full!F29</f>
        <v>2</v>
      </c>
      <c r="G30">
        <f>Aware_Full!B29</f>
        <v>0</v>
      </c>
      <c r="H30">
        <f>Aware_Full!C29</f>
        <v>0</v>
      </c>
      <c r="I30">
        <f>Aware_Full!D29</f>
        <v>2</v>
      </c>
      <c r="J30">
        <f>Aware_Full!E29</f>
        <v>0</v>
      </c>
      <c r="K30">
        <f>Aware_Full!F29</f>
        <v>0</v>
      </c>
      <c r="L30">
        <f>Learn_Full!B29</f>
        <v>0</v>
      </c>
      <c r="M30">
        <f>Learn_Full!C29</f>
        <v>1</v>
      </c>
      <c r="N30">
        <f>Learn_Full!D29</f>
        <v>1</v>
      </c>
      <c r="O30">
        <f>Learn_Full!E29</f>
        <v>0</v>
      </c>
      <c r="P30">
        <f>Learn_Full!F29</f>
        <v>0</v>
      </c>
      <c r="Q30">
        <f>Rich_Full!B29</f>
        <v>0</v>
      </c>
      <c r="R30">
        <f>Rich_Full!C29</f>
        <v>0</v>
      </c>
      <c r="S30">
        <f>Rich_Full!D29</f>
        <v>1</v>
      </c>
      <c r="T30">
        <f>Rich_Full!E29</f>
        <v>0</v>
      </c>
      <c r="U30">
        <f>Rich_Full!F29</f>
        <v>1</v>
      </c>
      <c r="V30">
        <v>27</v>
      </c>
      <c r="W30">
        <f t="shared" si="0"/>
        <v>0</v>
      </c>
      <c r="X30">
        <f t="shared" si="1"/>
        <v>0</v>
      </c>
      <c r="Y30">
        <f t="shared" si="2"/>
        <v>1</v>
      </c>
      <c r="AA30">
        <f>Baserun_Full!U29</f>
        <v>26</v>
      </c>
      <c r="AB30">
        <f>Baserun_Full!V29</f>
        <v>0</v>
      </c>
      <c r="AC30">
        <f>Baserun_Full!W29</f>
        <v>0</v>
      </c>
      <c r="AD30">
        <f>Baserun_Full!X29</f>
        <v>9</v>
      </c>
      <c r="AE30">
        <f>Baserun_Full!Y29</f>
        <v>4</v>
      </c>
      <c r="AF30">
        <f>Baserun_Full!Z29</f>
        <v>10</v>
      </c>
      <c r="AG30">
        <f>Aware_Full!V29</f>
        <v>1</v>
      </c>
      <c r="AH30">
        <f>Aware_Full!W29</f>
        <v>9</v>
      </c>
      <c r="AI30">
        <f>Aware_Full!X29</f>
        <v>11</v>
      </c>
      <c r="AJ30">
        <f>Aware_Full!Y29</f>
        <v>7</v>
      </c>
      <c r="AK30">
        <f>Aware_Full!Z29</f>
        <v>0</v>
      </c>
      <c r="AL30">
        <f>Learn_Full!V29</f>
        <v>6</v>
      </c>
      <c r="AM30">
        <f>Learn_Full!W29</f>
        <v>4</v>
      </c>
      <c r="AN30">
        <f>Learn_Full!X29</f>
        <v>2</v>
      </c>
      <c r="AO30">
        <f>Learn_Full!Y29</f>
        <v>12</v>
      </c>
      <c r="AP30">
        <f>Learn_Full!Z29</f>
        <v>4</v>
      </c>
      <c r="AQ30">
        <f>Rich_Full!V29</f>
        <v>0</v>
      </c>
      <c r="AR30">
        <f>Rich_Full!W29</f>
        <v>2</v>
      </c>
      <c r="AS30">
        <f>Rich_Full!X29</f>
        <v>8</v>
      </c>
      <c r="AT30">
        <f>Rich_Full!Y29</f>
        <v>12</v>
      </c>
      <c r="AU30">
        <f>Rich_Full!Z29</f>
        <v>4</v>
      </c>
      <c r="AW30">
        <f t="shared" si="3"/>
        <v>1.5</v>
      </c>
      <c r="AX30">
        <f t="shared" si="4"/>
        <v>4</v>
      </c>
      <c r="AY30">
        <f t="shared" si="5"/>
        <v>9</v>
      </c>
    </row>
    <row r="31" spans="1:51" x14ac:dyDescent="0.25">
      <c r="A31">
        <f>Baserun_Full!A30</f>
        <v>27</v>
      </c>
      <c r="B31">
        <f>Baserun_Full!B30</f>
        <v>0</v>
      </c>
      <c r="C31">
        <f>Baserun_Full!C30</f>
        <v>0</v>
      </c>
      <c r="D31">
        <f>Baserun_Full!D30</f>
        <v>0</v>
      </c>
      <c r="E31">
        <f>Baserun_Full!E30</f>
        <v>1</v>
      </c>
      <c r="F31">
        <f>Baserun_Full!F30</f>
        <v>0</v>
      </c>
      <c r="G31">
        <f>Aware_Full!B30</f>
        <v>1</v>
      </c>
      <c r="H31">
        <f>Aware_Full!C30</f>
        <v>0</v>
      </c>
      <c r="I31">
        <f>Aware_Full!D30</f>
        <v>5</v>
      </c>
      <c r="J31">
        <f>Aware_Full!E30</f>
        <v>1</v>
      </c>
      <c r="K31">
        <f>Aware_Full!F30</f>
        <v>0</v>
      </c>
      <c r="L31">
        <f>Learn_Full!B30</f>
        <v>0</v>
      </c>
      <c r="M31">
        <f>Learn_Full!C30</f>
        <v>2</v>
      </c>
      <c r="N31">
        <f>Learn_Full!D30</f>
        <v>2</v>
      </c>
      <c r="O31">
        <f>Learn_Full!E30</f>
        <v>0</v>
      </c>
      <c r="P31">
        <f>Learn_Full!F30</f>
        <v>2</v>
      </c>
      <c r="Q31">
        <f>Rich_Full!B30</f>
        <v>0</v>
      </c>
      <c r="R31">
        <f>Rich_Full!C30</f>
        <v>0</v>
      </c>
      <c r="S31">
        <f>Rich_Full!D30</f>
        <v>0</v>
      </c>
      <c r="T31">
        <f>Rich_Full!E30</f>
        <v>0</v>
      </c>
      <c r="U31">
        <f>Rich_Full!F30</f>
        <v>0</v>
      </c>
      <c r="V31">
        <v>28</v>
      </c>
      <c r="W31">
        <f t="shared" si="0"/>
        <v>0</v>
      </c>
      <c r="X31">
        <f t="shared" si="1"/>
        <v>0</v>
      </c>
      <c r="Y31">
        <f t="shared" si="2"/>
        <v>1.5</v>
      </c>
      <c r="AA31">
        <f>Baserun_Full!U30</f>
        <v>27</v>
      </c>
      <c r="AB31">
        <f>Baserun_Full!V30</f>
        <v>0</v>
      </c>
      <c r="AC31">
        <f>Baserun_Full!W30</f>
        <v>0</v>
      </c>
      <c r="AD31">
        <f>Baserun_Full!X30</f>
        <v>9</v>
      </c>
      <c r="AE31">
        <f>Baserun_Full!Y30</f>
        <v>4</v>
      </c>
      <c r="AF31">
        <f>Baserun_Full!Z30</f>
        <v>6</v>
      </c>
      <c r="AG31">
        <f>Aware_Full!V30</f>
        <v>1</v>
      </c>
      <c r="AH31">
        <f>Aware_Full!W30</f>
        <v>7</v>
      </c>
      <c r="AI31">
        <f>Aware_Full!X30</f>
        <v>16</v>
      </c>
      <c r="AJ31">
        <f>Aware_Full!Y30</f>
        <v>8</v>
      </c>
      <c r="AK31">
        <f>Aware_Full!Z30</f>
        <v>0</v>
      </c>
      <c r="AL31">
        <f>Learn_Full!V30</f>
        <v>6</v>
      </c>
      <c r="AM31">
        <f>Learn_Full!W30</f>
        <v>4</v>
      </c>
      <c r="AN31">
        <f>Learn_Full!X30</f>
        <v>3</v>
      </c>
      <c r="AO31">
        <f>Learn_Full!Y30</f>
        <v>12</v>
      </c>
      <c r="AP31">
        <f>Learn_Full!Z30</f>
        <v>6</v>
      </c>
      <c r="AQ31">
        <f>Rich_Full!V30</f>
        <v>0</v>
      </c>
      <c r="AR31">
        <f>Rich_Full!W30</f>
        <v>0</v>
      </c>
      <c r="AS31">
        <f>Rich_Full!X30</f>
        <v>7</v>
      </c>
      <c r="AT31">
        <f>Rich_Full!Y30</f>
        <v>12</v>
      </c>
      <c r="AU31">
        <f>Rich_Full!Z30</f>
        <v>3</v>
      </c>
      <c r="AW31">
        <f t="shared" si="3"/>
        <v>2</v>
      </c>
      <c r="AX31">
        <f t="shared" si="4"/>
        <v>6</v>
      </c>
      <c r="AY31">
        <f t="shared" si="5"/>
        <v>7.5</v>
      </c>
    </row>
    <row r="32" spans="1:51" x14ac:dyDescent="0.25">
      <c r="A32">
        <f>Baserun_Full!A31</f>
        <v>28</v>
      </c>
      <c r="B32">
        <f>Baserun_Full!B31</f>
        <v>0</v>
      </c>
      <c r="C32">
        <f>Baserun_Full!C31</f>
        <v>0</v>
      </c>
      <c r="D32">
        <f>Baserun_Full!D31</f>
        <v>0</v>
      </c>
      <c r="E32">
        <f>Baserun_Full!E31</f>
        <v>0</v>
      </c>
      <c r="F32">
        <f>Baserun_Full!F31</f>
        <v>2</v>
      </c>
      <c r="G32">
        <f>Aware_Full!B31</f>
        <v>0</v>
      </c>
      <c r="H32">
        <f>Aware_Full!C31</f>
        <v>0</v>
      </c>
      <c r="I32">
        <f>Aware_Full!D31</f>
        <v>1</v>
      </c>
      <c r="J32">
        <f>Aware_Full!E31</f>
        <v>0</v>
      </c>
      <c r="K32">
        <f>Aware_Full!F31</f>
        <v>0</v>
      </c>
      <c r="L32">
        <f>Learn_Full!B31</f>
        <v>5</v>
      </c>
      <c r="M32">
        <f>Learn_Full!C31</f>
        <v>0</v>
      </c>
      <c r="N32">
        <f>Learn_Full!D31</f>
        <v>0</v>
      </c>
      <c r="O32">
        <f>Learn_Full!E31</f>
        <v>0</v>
      </c>
      <c r="P32">
        <f>Learn_Full!F31</f>
        <v>5</v>
      </c>
      <c r="Q32">
        <f>Rich_Full!B31</f>
        <v>0</v>
      </c>
      <c r="R32">
        <f>Rich_Full!C31</f>
        <v>0</v>
      </c>
      <c r="S32">
        <f>Rich_Full!D31</f>
        <v>0</v>
      </c>
      <c r="T32">
        <f>Rich_Full!E31</f>
        <v>1</v>
      </c>
      <c r="U32">
        <f>Rich_Full!F31</f>
        <v>1</v>
      </c>
      <c r="V32">
        <v>29</v>
      </c>
      <c r="W32">
        <f t="shared" si="0"/>
        <v>0</v>
      </c>
      <c r="X32">
        <f t="shared" si="1"/>
        <v>0</v>
      </c>
      <c r="Y32">
        <f t="shared" si="2"/>
        <v>0.5</v>
      </c>
      <c r="AA32">
        <f>Baserun_Full!U31</f>
        <v>28</v>
      </c>
      <c r="AB32">
        <f>Baserun_Full!V31</f>
        <v>0</v>
      </c>
      <c r="AC32">
        <f>Baserun_Full!W31</f>
        <v>0</v>
      </c>
      <c r="AD32">
        <f>Baserun_Full!X31</f>
        <v>9</v>
      </c>
      <c r="AE32">
        <f>Baserun_Full!Y31</f>
        <v>2</v>
      </c>
      <c r="AF32">
        <f>Baserun_Full!Z31</f>
        <v>8</v>
      </c>
      <c r="AG32">
        <f>Aware_Full!V31</f>
        <v>1</v>
      </c>
      <c r="AH32">
        <f>Aware_Full!W31</f>
        <v>3</v>
      </c>
      <c r="AI32">
        <f>Aware_Full!X31</f>
        <v>14</v>
      </c>
      <c r="AJ32">
        <f>Aware_Full!Y31</f>
        <v>6</v>
      </c>
      <c r="AK32">
        <f>Aware_Full!Z31</f>
        <v>0</v>
      </c>
      <c r="AL32">
        <f>Learn_Full!V31</f>
        <v>7</v>
      </c>
      <c r="AM32">
        <f>Learn_Full!W31</f>
        <v>4</v>
      </c>
      <c r="AN32">
        <f>Learn_Full!X31</f>
        <v>3</v>
      </c>
      <c r="AO32">
        <f>Learn_Full!Y31</f>
        <v>8</v>
      </c>
      <c r="AP32">
        <f>Learn_Full!Z31</f>
        <v>9</v>
      </c>
      <c r="AQ32">
        <f>Rich_Full!V31</f>
        <v>0</v>
      </c>
      <c r="AR32">
        <f>Rich_Full!W31</f>
        <v>0</v>
      </c>
      <c r="AS32">
        <f>Rich_Full!X31</f>
        <v>4</v>
      </c>
      <c r="AT32">
        <f>Rich_Full!Y31</f>
        <v>11</v>
      </c>
      <c r="AU32">
        <f>Rich_Full!Z31</f>
        <v>4</v>
      </c>
      <c r="AW32">
        <f t="shared" si="3"/>
        <v>1.5</v>
      </c>
      <c r="AX32">
        <f t="shared" si="4"/>
        <v>4</v>
      </c>
      <c r="AY32">
        <f t="shared" si="5"/>
        <v>8</v>
      </c>
    </row>
    <row r="33" spans="1:51" x14ac:dyDescent="0.25">
      <c r="A33">
        <f>Baserun_Full!A32</f>
        <v>29</v>
      </c>
      <c r="B33">
        <f>Baserun_Full!B32</f>
        <v>0</v>
      </c>
      <c r="C33">
        <f>Baserun_Full!C32</f>
        <v>0</v>
      </c>
      <c r="D33">
        <f>Baserun_Full!D32</f>
        <v>0</v>
      </c>
      <c r="E33">
        <f>Baserun_Full!E32</f>
        <v>0</v>
      </c>
      <c r="F33">
        <f>Baserun_Full!F32</f>
        <v>2</v>
      </c>
      <c r="G33">
        <f>Aware_Full!B32</f>
        <v>1</v>
      </c>
      <c r="H33">
        <f>Aware_Full!C32</f>
        <v>2</v>
      </c>
      <c r="I33">
        <f>Aware_Full!D32</f>
        <v>1</v>
      </c>
      <c r="J33">
        <f>Aware_Full!E32</f>
        <v>0</v>
      </c>
      <c r="K33">
        <f>Aware_Full!F32</f>
        <v>0</v>
      </c>
      <c r="L33">
        <f>Learn_Full!B32</f>
        <v>0</v>
      </c>
      <c r="M33">
        <f>Learn_Full!C32</f>
        <v>1</v>
      </c>
      <c r="N33">
        <f>Learn_Full!D32</f>
        <v>1</v>
      </c>
      <c r="O33">
        <f>Learn_Full!E32</f>
        <v>0</v>
      </c>
      <c r="P33">
        <f>Learn_Full!F32</f>
        <v>0</v>
      </c>
      <c r="Q33">
        <f>Rich_Full!B32</f>
        <v>0</v>
      </c>
      <c r="R33">
        <f>Rich_Full!C32</f>
        <v>0</v>
      </c>
      <c r="S33">
        <f>Rich_Full!D32</f>
        <v>0</v>
      </c>
      <c r="T33">
        <f>Rich_Full!E32</f>
        <v>0</v>
      </c>
      <c r="U33">
        <f>Rich_Full!F32</f>
        <v>0</v>
      </c>
      <c r="V33">
        <v>30</v>
      </c>
      <c r="W33">
        <f t="shared" si="0"/>
        <v>0</v>
      </c>
      <c r="X33">
        <f t="shared" si="1"/>
        <v>0</v>
      </c>
      <c r="Y33">
        <f t="shared" si="2"/>
        <v>1</v>
      </c>
      <c r="AA33">
        <f>Baserun_Full!U32</f>
        <v>29</v>
      </c>
      <c r="AB33">
        <f>Baserun_Full!V32</f>
        <v>0</v>
      </c>
      <c r="AC33">
        <f>Baserun_Full!W32</f>
        <v>0</v>
      </c>
      <c r="AD33">
        <f>Baserun_Full!X32</f>
        <v>8</v>
      </c>
      <c r="AE33">
        <f>Baserun_Full!Y32</f>
        <v>2</v>
      </c>
      <c r="AF33">
        <f>Baserun_Full!Z32</f>
        <v>6</v>
      </c>
      <c r="AG33">
        <f>Aware_Full!V32</f>
        <v>2</v>
      </c>
      <c r="AH33">
        <f>Aware_Full!W32</f>
        <v>4</v>
      </c>
      <c r="AI33">
        <f>Aware_Full!X32</f>
        <v>15</v>
      </c>
      <c r="AJ33">
        <f>Aware_Full!Y32</f>
        <v>5</v>
      </c>
      <c r="AK33">
        <f>Aware_Full!Z32</f>
        <v>0</v>
      </c>
      <c r="AL33">
        <f>Learn_Full!V32</f>
        <v>7</v>
      </c>
      <c r="AM33">
        <f>Learn_Full!W32</f>
        <v>5</v>
      </c>
      <c r="AN33">
        <f>Learn_Full!X32</f>
        <v>4</v>
      </c>
      <c r="AO33">
        <f>Learn_Full!Y32</f>
        <v>6</v>
      </c>
      <c r="AP33">
        <f>Learn_Full!Z32</f>
        <v>9</v>
      </c>
      <c r="AQ33">
        <f>Rich_Full!V32</f>
        <v>0</v>
      </c>
      <c r="AR33">
        <f>Rich_Full!W32</f>
        <v>0</v>
      </c>
      <c r="AS33">
        <f>Rich_Full!X32</f>
        <v>3</v>
      </c>
      <c r="AT33">
        <f>Rich_Full!Y32</f>
        <v>8</v>
      </c>
      <c r="AU33">
        <f>Rich_Full!Z32</f>
        <v>3</v>
      </c>
      <c r="AW33">
        <f t="shared" si="3"/>
        <v>2</v>
      </c>
      <c r="AX33">
        <f t="shared" si="4"/>
        <v>5</v>
      </c>
      <c r="AY33">
        <f t="shared" si="5"/>
        <v>6.5</v>
      </c>
    </row>
    <row r="34" spans="1:51" x14ac:dyDescent="0.25">
      <c r="A34">
        <f>Baserun_Full!A33</f>
        <v>30</v>
      </c>
      <c r="B34">
        <f>Baserun_Full!B33</f>
        <v>0</v>
      </c>
      <c r="C34">
        <f>Baserun_Full!C33</f>
        <v>0</v>
      </c>
      <c r="D34">
        <f>Baserun_Full!D33</f>
        <v>0</v>
      </c>
      <c r="E34">
        <f>Baserun_Full!E33</f>
        <v>1</v>
      </c>
      <c r="F34">
        <f>Baserun_Full!F33</f>
        <v>0</v>
      </c>
      <c r="G34">
        <f>Aware_Full!B33</f>
        <v>1</v>
      </c>
      <c r="H34">
        <f>Aware_Full!C33</f>
        <v>3</v>
      </c>
      <c r="I34">
        <f>Aware_Full!D33</f>
        <v>0</v>
      </c>
      <c r="J34">
        <f>Aware_Full!E33</f>
        <v>2</v>
      </c>
      <c r="K34">
        <f>Aware_Full!F33</f>
        <v>0</v>
      </c>
      <c r="L34">
        <f>Learn_Full!B33</f>
        <v>4</v>
      </c>
      <c r="M34">
        <f>Learn_Full!C33</f>
        <v>0</v>
      </c>
      <c r="N34">
        <f>Learn_Full!D33</f>
        <v>0</v>
      </c>
      <c r="O34">
        <f>Learn_Full!E33</f>
        <v>0</v>
      </c>
      <c r="P34">
        <f>Learn_Full!F33</f>
        <v>2</v>
      </c>
      <c r="Q34">
        <f>Rich_Full!B33</f>
        <v>0</v>
      </c>
      <c r="R34">
        <f>Rich_Full!C33</f>
        <v>0</v>
      </c>
      <c r="S34">
        <f>Rich_Full!D33</f>
        <v>0</v>
      </c>
      <c r="T34">
        <f>Rich_Full!E33</f>
        <v>0</v>
      </c>
      <c r="U34">
        <f>Rich_Full!F33</f>
        <v>0</v>
      </c>
      <c r="V34">
        <v>31</v>
      </c>
      <c r="W34">
        <f t="shared" si="0"/>
        <v>0</v>
      </c>
      <c r="X34">
        <f t="shared" si="1"/>
        <v>0</v>
      </c>
      <c r="Y34">
        <f t="shared" si="2"/>
        <v>1.5</v>
      </c>
      <c r="AA34">
        <f>Baserun_Full!U33</f>
        <v>30</v>
      </c>
      <c r="AB34">
        <f>Baserun_Full!V33</f>
        <v>0</v>
      </c>
      <c r="AC34">
        <f>Baserun_Full!W33</f>
        <v>0</v>
      </c>
      <c r="AD34">
        <f>Baserun_Full!X33</f>
        <v>7</v>
      </c>
      <c r="AE34">
        <f>Baserun_Full!Y33</f>
        <v>2</v>
      </c>
      <c r="AF34">
        <f>Baserun_Full!Z33</f>
        <v>6</v>
      </c>
      <c r="AG34">
        <f>Aware_Full!V33</f>
        <v>3</v>
      </c>
      <c r="AH34">
        <f>Aware_Full!W33</f>
        <v>5</v>
      </c>
      <c r="AI34">
        <f>Aware_Full!X33</f>
        <v>13</v>
      </c>
      <c r="AJ34">
        <f>Aware_Full!Y33</f>
        <v>5</v>
      </c>
      <c r="AK34">
        <f>Aware_Full!Z33</f>
        <v>0</v>
      </c>
      <c r="AL34">
        <f>Learn_Full!V33</f>
        <v>11</v>
      </c>
      <c r="AM34">
        <f>Learn_Full!W33</f>
        <v>4</v>
      </c>
      <c r="AN34">
        <f>Learn_Full!X33</f>
        <v>4</v>
      </c>
      <c r="AO34">
        <f>Learn_Full!Y33</f>
        <v>5</v>
      </c>
      <c r="AP34">
        <f>Learn_Full!Z33</f>
        <v>11</v>
      </c>
      <c r="AQ34">
        <f>Rich_Full!V33</f>
        <v>0</v>
      </c>
      <c r="AR34">
        <f>Rich_Full!W33</f>
        <v>0</v>
      </c>
      <c r="AS34">
        <f>Rich_Full!X33</f>
        <v>2</v>
      </c>
      <c r="AT34">
        <f>Rich_Full!Y33</f>
        <v>6</v>
      </c>
      <c r="AU34">
        <f>Rich_Full!Z33</f>
        <v>2</v>
      </c>
      <c r="AW34">
        <f t="shared" si="3"/>
        <v>2.5</v>
      </c>
      <c r="AX34">
        <f t="shared" si="4"/>
        <v>5</v>
      </c>
      <c r="AY34">
        <f t="shared" si="5"/>
        <v>6.5</v>
      </c>
    </row>
    <row r="35" spans="1:51" x14ac:dyDescent="0.25">
      <c r="A35">
        <f>Baserun_Full!A34</f>
        <v>31</v>
      </c>
      <c r="B35">
        <f>Baserun_Full!B34</f>
        <v>0</v>
      </c>
      <c r="C35">
        <f>Baserun_Full!C34</f>
        <v>0</v>
      </c>
      <c r="D35">
        <f>Baserun_Full!D34</f>
        <v>0</v>
      </c>
      <c r="E35">
        <f>Baserun_Full!E34</f>
        <v>0</v>
      </c>
      <c r="F35">
        <f>Baserun_Full!F34</f>
        <v>2</v>
      </c>
      <c r="G35">
        <f>Aware_Full!B34</f>
        <v>3</v>
      </c>
      <c r="H35">
        <f>Aware_Full!C34</f>
        <v>3</v>
      </c>
      <c r="I35">
        <f>Aware_Full!D34</f>
        <v>0</v>
      </c>
      <c r="J35">
        <f>Aware_Full!E34</f>
        <v>1</v>
      </c>
      <c r="K35">
        <f>Aware_Full!F34</f>
        <v>0</v>
      </c>
      <c r="L35">
        <f>Learn_Full!B34</f>
        <v>6</v>
      </c>
      <c r="M35">
        <f>Learn_Full!C34</f>
        <v>0</v>
      </c>
      <c r="N35">
        <f>Learn_Full!D34</f>
        <v>0</v>
      </c>
      <c r="O35">
        <f>Learn_Full!E34</f>
        <v>2</v>
      </c>
      <c r="P35">
        <f>Learn_Full!F34</f>
        <v>0</v>
      </c>
      <c r="Q35">
        <f>Rich_Full!B34</f>
        <v>0</v>
      </c>
      <c r="R35">
        <f>Rich_Full!C34</f>
        <v>0</v>
      </c>
      <c r="S35">
        <f>Rich_Full!D34</f>
        <v>0</v>
      </c>
      <c r="T35">
        <f>Rich_Full!E34</f>
        <v>2</v>
      </c>
      <c r="U35">
        <f>Rich_Full!F34</f>
        <v>0</v>
      </c>
      <c r="V35">
        <v>32</v>
      </c>
      <c r="W35">
        <f t="shared" si="0"/>
        <v>0</v>
      </c>
      <c r="X35">
        <f t="shared" si="1"/>
        <v>0</v>
      </c>
      <c r="Y35">
        <f t="shared" si="2"/>
        <v>2</v>
      </c>
      <c r="AA35">
        <f>Baserun_Full!U34</f>
        <v>31</v>
      </c>
      <c r="AB35">
        <f>Baserun_Full!V34</f>
        <v>0</v>
      </c>
      <c r="AC35">
        <f>Baserun_Full!W34</f>
        <v>0</v>
      </c>
      <c r="AD35">
        <f>Baserun_Full!X34</f>
        <v>3</v>
      </c>
      <c r="AE35">
        <f>Baserun_Full!Y34</f>
        <v>2</v>
      </c>
      <c r="AF35">
        <f>Baserun_Full!Z34</f>
        <v>8</v>
      </c>
      <c r="AG35">
        <f>Aware_Full!V34</f>
        <v>6</v>
      </c>
      <c r="AH35">
        <f>Aware_Full!W34</f>
        <v>8</v>
      </c>
      <c r="AI35">
        <f>Aware_Full!X34</f>
        <v>9</v>
      </c>
      <c r="AJ35">
        <f>Aware_Full!Y34</f>
        <v>4</v>
      </c>
      <c r="AK35">
        <f>Aware_Full!Z34</f>
        <v>0</v>
      </c>
      <c r="AL35">
        <f>Learn_Full!V34</f>
        <v>15</v>
      </c>
      <c r="AM35">
        <f>Learn_Full!W34</f>
        <v>4</v>
      </c>
      <c r="AN35">
        <f>Learn_Full!X34</f>
        <v>4</v>
      </c>
      <c r="AO35">
        <f>Learn_Full!Y34</f>
        <v>2</v>
      </c>
      <c r="AP35">
        <f>Learn_Full!Z34</f>
        <v>9</v>
      </c>
      <c r="AQ35">
        <f>Rich_Full!V34</f>
        <v>0</v>
      </c>
      <c r="AR35">
        <f>Rich_Full!W34</f>
        <v>0</v>
      </c>
      <c r="AS35">
        <f>Rich_Full!X34</f>
        <v>1</v>
      </c>
      <c r="AT35">
        <f>Rich_Full!Y34</f>
        <v>3</v>
      </c>
      <c r="AU35">
        <f>Rich_Full!Z34</f>
        <v>2</v>
      </c>
      <c r="AW35">
        <f t="shared" si="3"/>
        <v>2</v>
      </c>
      <c r="AX35">
        <f t="shared" si="4"/>
        <v>4</v>
      </c>
      <c r="AY35">
        <f t="shared" si="5"/>
        <v>8</v>
      </c>
    </row>
    <row r="36" spans="1:51" x14ac:dyDescent="0.25">
      <c r="A36">
        <f>Baserun_Full!A35</f>
        <v>32</v>
      </c>
      <c r="B36">
        <f>Baserun_Full!B35</f>
        <v>0</v>
      </c>
      <c r="C36">
        <f>Baserun_Full!C35</f>
        <v>0</v>
      </c>
      <c r="D36">
        <f>Baserun_Full!D35</f>
        <v>0</v>
      </c>
      <c r="E36">
        <f>Baserun_Full!E35</f>
        <v>1</v>
      </c>
      <c r="F36">
        <f>Baserun_Full!F35</f>
        <v>0</v>
      </c>
      <c r="G36">
        <f>Aware_Full!B35</f>
        <v>1</v>
      </c>
      <c r="H36">
        <f>Aware_Full!C35</f>
        <v>4</v>
      </c>
      <c r="I36">
        <f>Aware_Full!D35</f>
        <v>1</v>
      </c>
      <c r="J36">
        <f>Aware_Full!E35</f>
        <v>4</v>
      </c>
      <c r="K36">
        <f>Aware_Full!F35</f>
        <v>0</v>
      </c>
      <c r="L36">
        <f>Learn_Full!B35</f>
        <v>0</v>
      </c>
      <c r="M36">
        <f>Learn_Full!C35</f>
        <v>1</v>
      </c>
      <c r="N36">
        <f>Learn_Full!D35</f>
        <v>0</v>
      </c>
      <c r="O36">
        <f>Learn_Full!E35</f>
        <v>1</v>
      </c>
      <c r="P36">
        <f>Learn_Full!F35</f>
        <v>0</v>
      </c>
      <c r="Q36">
        <f>Rich_Full!B35</f>
        <v>0</v>
      </c>
      <c r="R36">
        <f>Rich_Full!C35</f>
        <v>0</v>
      </c>
      <c r="S36">
        <f>Rich_Full!D35</f>
        <v>0</v>
      </c>
      <c r="T36">
        <f>Rich_Full!E35</f>
        <v>0</v>
      </c>
      <c r="U36">
        <f>Rich_Full!F35</f>
        <v>0</v>
      </c>
      <c r="V36">
        <v>33</v>
      </c>
      <c r="W36">
        <f t="shared" si="0"/>
        <v>0</v>
      </c>
      <c r="X36">
        <f t="shared" si="1"/>
        <v>0</v>
      </c>
      <c r="Y36">
        <f t="shared" si="2"/>
        <v>1</v>
      </c>
      <c r="AA36">
        <f>Baserun_Full!U35</f>
        <v>32</v>
      </c>
      <c r="AB36">
        <f>Baserun_Full!V35</f>
        <v>0</v>
      </c>
      <c r="AC36">
        <f>Baserun_Full!W35</f>
        <v>0</v>
      </c>
      <c r="AD36">
        <f>Baserun_Full!X35</f>
        <v>0</v>
      </c>
      <c r="AE36">
        <f>Baserun_Full!Y35</f>
        <v>3</v>
      </c>
      <c r="AF36">
        <f>Baserun_Full!Z35</f>
        <v>6</v>
      </c>
      <c r="AG36">
        <f>Aware_Full!V35</f>
        <v>7</v>
      </c>
      <c r="AH36">
        <f>Aware_Full!W35</f>
        <v>12</v>
      </c>
      <c r="AI36">
        <f>Aware_Full!X35</f>
        <v>8</v>
      </c>
      <c r="AJ36">
        <f>Aware_Full!Y35</f>
        <v>8</v>
      </c>
      <c r="AK36">
        <f>Aware_Full!Z35</f>
        <v>0</v>
      </c>
      <c r="AL36">
        <f>Learn_Full!V35</f>
        <v>15</v>
      </c>
      <c r="AM36">
        <f>Learn_Full!W35</f>
        <v>4</v>
      </c>
      <c r="AN36">
        <f>Learn_Full!X35</f>
        <v>3</v>
      </c>
      <c r="AO36">
        <f>Learn_Full!Y35</f>
        <v>3</v>
      </c>
      <c r="AP36">
        <f>Learn_Full!Z35</f>
        <v>9</v>
      </c>
      <c r="AQ36">
        <f>Rich_Full!V35</f>
        <v>0</v>
      </c>
      <c r="AR36">
        <f>Rich_Full!W35</f>
        <v>0</v>
      </c>
      <c r="AS36">
        <f>Rich_Full!X35</f>
        <v>0</v>
      </c>
      <c r="AT36">
        <f>Rich_Full!Y35</f>
        <v>3</v>
      </c>
      <c r="AU36">
        <f>Rich_Full!Z35</f>
        <v>1</v>
      </c>
      <c r="AW36">
        <f t="shared" si="3"/>
        <v>1.5</v>
      </c>
      <c r="AX36">
        <f t="shared" si="4"/>
        <v>4</v>
      </c>
      <c r="AY36">
        <f t="shared" si="5"/>
        <v>8</v>
      </c>
    </row>
    <row r="37" spans="1:51" x14ac:dyDescent="0.25">
      <c r="A37">
        <f>Baserun_Full!A36</f>
        <v>33</v>
      </c>
      <c r="B37">
        <f>Baserun_Full!B36</f>
        <v>0</v>
      </c>
      <c r="C37">
        <f>Baserun_Full!C36</f>
        <v>0</v>
      </c>
      <c r="D37">
        <f>Baserun_Full!D36</f>
        <v>0</v>
      </c>
      <c r="E37">
        <f>Baserun_Full!E36</f>
        <v>0</v>
      </c>
      <c r="F37">
        <f>Baserun_Full!F36</f>
        <v>0</v>
      </c>
      <c r="G37">
        <f>Aware_Full!B36</f>
        <v>0</v>
      </c>
      <c r="H37">
        <f>Aware_Full!C36</f>
        <v>0</v>
      </c>
      <c r="I37">
        <f>Aware_Full!D36</f>
        <v>0</v>
      </c>
      <c r="J37">
        <f>Aware_Full!E36</f>
        <v>3</v>
      </c>
      <c r="K37">
        <f>Aware_Full!F36</f>
        <v>0</v>
      </c>
      <c r="L37">
        <f>Learn_Full!B36</f>
        <v>1</v>
      </c>
      <c r="M37">
        <f>Learn_Full!C36</f>
        <v>0</v>
      </c>
      <c r="N37">
        <f>Learn_Full!D36</f>
        <v>0</v>
      </c>
      <c r="O37">
        <f>Learn_Full!E36</f>
        <v>0</v>
      </c>
      <c r="P37">
        <f>Learn_Full!F36</f>
        <v>4</v>
      </c>
      <c r="Q37">
        <f>Rich_Full!B36</f>
        <v>0</v>
      </c>
      <c r="R37">
        <f>Rich_Full!C36</f>
        <v>0</v>
      </c>
      <c r="S37">
        <f>Rich_Full!D36</f>
        <v>0</v>
      </c>
      <c r="T37">
        <f>Rich_Full!E36</f>
        <v>0</v>
      </c>
      <c r="U37">
        <f>Rich_Full!F36</f>
        <v>0</v>
      </c>
      <c r="V37">
        <v>34</v>
      </c>
      <c r="W37">
        <f t="shared" si="0"/>
        <v>0</v>
      </c>
      <c r="X37">
        <f t="shared" si="1"/>
        <v>0</v>
      </c>
      <c r="Y37">
        <f t="shared" si="2"/>
        <v>0</v>
      </c>
      <c r="AA37">
        <f>Baserun_Full!U36</f>
        <v>33</v>
      </c>
      <c r="AB37">
        <f>Baserun_Full!V36</f>
        <v>0</v>
      </c>
      <c r="AC37">
        <f>Baserun_Full!W36</f>
        <v>0</v>
      </c>
      <c r="AD37">
        <f>Baserun_Full!X36</f>
        <v>0</v>
      </c>
      <c r="AE37">
        <f>Baserun_Full!Y36</f>
        <v>2</v>
      </c>
      <c r="AF37">
        <f>Baserun_Full!Z36</f>
        <v>6</v>
      </c>
      <c r="AG37">
        <f>Aware_Full!V36</f>
        <v>6</v>
      </c>
      <c r="AH37">
        <f>Aware_Full!W36</f>
        <v>12</v>
      </c>
      <c r="AI37">
        <f>Aware_Full!X36</f>
        <v>3</v>
      </c>
      <c r="AJ37">
        <f>Aware_Full!Y36</f>
        <v>10</v>
      </c>
      <c r="AK37">
        <f>Aware_Full!Z36</f>
        <v>0</v>
      </c>
      <c r="AL37">
        <f>Learn_Full!V36</f>
        <v>16</v>
      </c>
      <c r="AM37">
        <f>Learn_Full!W36</f>
        <v>2</v>
      </c>
      <c r="AN37">
        <f>Learn_Full!X36</f>
        <v>1</v>
      </c>
      <c r="AO37">
        <f>Learn_Full!Y36</f>
        <v>3</v>
      </c>
      <c r="AP37">
        <f>Learn_Full!Z36</f>
        <v>11</v>
      </c>
      <c r="AQ37">
        <f>Rich_Full!V36</f>
        <v>0</v>
      </c>
      <c r="AR37">
        <f>Rich_Full!W36</f>
        <v>0</v>
      </c>
      <c r="AS37">
        <f>Rich_Full!X36</f>
        <v>0</v>
      </c>
      <c r="AT37">
        <f>Rich_Full!Y36</f>
        <v>3</v>
      </c>
      <c r="AU37">
        <f>Rich_Full!Z36</f>
        <v>1</v>
      </c>
      <c r="AW37">
        <f t="shared" si="3"/>
        <v>0.5</v>
      </c>
      <c r="AX37">
        <f t="shared" si="4"/>
        <v>3</v>
      </c>
      <c r="AY37">
        <f t="shared" si="5"/>
        <v>8</v>
      </c>
    </row>
    <row r="38" spans="1:51" x14ac:dyDescent="0.25">
      <c r="A38">
        <f>Baserun_Full!A37</f>
        <v>34</v>
      </c>
      <c r="B38">
        <f>Baserun_Full!B37</f>
        <v>0</v>
      </c>
      <c r="C38">
        <f>Baserun_Full!C37</f>
        <v>0</v>
      </c>
      <c r="D38">
        <f>Baserun_Full!D37</f>
        <v>0</v>
      </c>
      <c r="E38">
        <f>Baserun_Full!E37</f>
        <v>0</v>
      </c>
      <c r="F38">
        <f>Baserun_Full!F37</f>
        <v>3</v>
      </c>
      <c r="G38">
        <f>Aware_Full!B37</f>
        <v>0</v>
      </c>
      <c r="H38">
        <f>Aware_Full!C37</f>
        <v>0</v>
      </c>
      <c r="I38">
        <f>Aware_Full!D37</f>
        <v>0</v>
      </c>
      <c r="J38">
        <f>Aware_Full!E37</f>
        <v>0</v>
      </c>
      <c r="K38">
        <f>Aware_Full!F37</f>
        <v>0</v>
      </c>
      <c r="L38">
        <f>Learn_Full!B37</f>
        <v>0</v>
      </c>
      <c r="M38">
        <f>Learn_Full!C37</f>
        <v>0</v>
      </c>
      <c r="N38">
        <f>Learn_Full!D37</f>
        <v>0</v>
      </c>
      <c r="O38">
        <f>Learn_Full!E37</f>
        <v>2</v>
      </c>
      <c r="P38">
        <f>Learn_Full!F37</f>
        <v>0</v>
      </c>
      <c r="Q38">
        <f>Rich_Full!B37</f>
        <v>0</v>
      </c>
      <c r="R38">
        <f>Rich_Full!C37</f>
        <v>0</v>
      </c>
      <c r="S38">
        <f>Rich_Full!D37</f>
        <v>0</v>
      </c>
      <c r="T38">
        <f>Rich_Full!E37</f>
        <v>0</v>
      </c>
      <c r="U38">
        <f>Rich_Full!F37</f>
        <v>0</v>
      </c>
      <c r="V38">
        <v>35</v>
      </c>
      <c r="W38">
        <f t="shared" si="0"/>
        <v>0</v>
      </c>
      <c r="X38">
        <f t="shared" si="1"/>
        <v>0</v>
      </c>
      <c r="Y38">
        <f t="shared" si="2"/>
        <v>0</v>
      </c>
      <c r="AA38">
        <f>Baserun_Full!U37</f>
        <v>34</v>
      </c>
      <c r="AB38">
        <f>Baserun_Full!V37</f>
        <v>0</v>
      </c>
      <c r="AC38">
        <f>Baserun_Full!W37</f>
        <v>0</v>
      </c>
      <c r="AD38">
        <f>Baserun_Full!X37</f>
        <v>0</v>
      </c>
      <c r="AE38">
        <f>Baserun_Full!Y37</f>
        <v>2</v>
      </c>
      <c r="AF38">
        <f>Baserun_Full!Z37</f>
        <v>7</v>
      </c>
      <c r="AG38">
        <f>Aware_Full!V37</f>
        <v>6</v>
      </c>
      <c r="AH38">
        <f>Aware_Full!W37</f>
        <v>12</v>
      </c>
      <c r="AI38">
        <f>Aware_Full!X37</f>
        <v>2</v>
      </c>
      <c r="AJ38">
        <f>Aware_Full!Y37</f>
        <v>10</v>
      </c>
      <c r="AK38">
        <f>Aware_Full!Z37</f>
        <v>0</v>
      </c>
      <c r="AL38">
        <f>Learn_Full!V37</f>
        <v>11</v>
      </c>
      <c r="AM38">
        <f>Learn_Full!W37</f>
        <v>2</v>
      </c>
      <c r="AN38">
        <f>Learn_Full!X37</f>
        <v>1</v>
      </c>
      <c r="AO38">
        <f>Learn_Full!Y37</f>
        <v>5</v>
      </c>
      <c r="AP38">
        <f>Learn_Full!Z37</f>
        <v>6</v>
      </c>
      <c r="AQ38">
        <f>Rich_Full!V37</f>
        <v>0</v>
      </c>
      <c r="AR38">
        <f>Rich_Full!W37</f>
        <v>0</v>
      </c>
      <c r="AS38">
        <f>Rich_Full!X37</f>
        <v>0</v>
      </c>
      <c r="AT38">
        <f>Rich_Full!Y37</f>
        <v>2</v>
      </c>
      <c r="AU38">
        <f>Rich_Full!Z37</f>
        <v>0</v>
      </c>
      <c r="AW38">
        <f t="shared" si="3"/>
        <v>0.5</v>
      </c>
      <c r="AX38">
        <f t="shared" si="4"/>
        <v>2</v>
      </c>
      <c r="AY38">
        <f t="shared" si="5"/>
        <v>6.5</v>
      </c>
    </row>
    <row r="39" spans="1:51" x14ac:dyDescent="0.25">
      <c r="A39">
        <f>Baserun_Full!A38</f>
        <v>35</v>
      </c>
      <c r="B39">
        <f>Baserun_Full!B38</f>
        <v>0</v>
      </c>
      <c r="C39">
        <f>Baserun_Full!C38</f>
        <v>0</v>
      </c>
      <c r="D39">
        <f>Baserun_Full!D38</f>
        <v>0</v>
      </c>
      <c r="E39">
        <f>Baserun_Full!E38</f>
        <v>0</v>
      </c>
      <c r="F39">
        <f>Baserun_Full!F38</f>
        <v>0</v>
      </c>
      <c r="G39">
        <f>Aware_Full!B38</f>
        <v>0</v>
      </c>
      <c r="H39">
        <f>Aware_Full!C38</f>
        <v>0</v>
      </c>
      <c r="I39">
        <f>Aware_Full!D38</f>
        <v>0</v>
      </c>
      <c r="J39">
        <f>Aware_Full!E38</f>
        <v>0</v>
      </c>
      <c r="K39">
        <f>Aware_Full!F38</f>
        <v>0</v>
      </c>
      <c r="L39">
        <f>Learn_Full!B38</f>
        <v>0</v>
      </c>
      <c r="M39">
        <f>Learn_Full!C38</f>
        <v>2</v>
      </c>
      <c r="N39">
        <f>Learn_Full!D38</f>
        <v>0</v>
      </c>
      <c r="O39">
        <f>Learn_Full!E38</f>
        <v>0</v>
      </c>
      <c r="P39">
        <f>Learn_Full!F38</f>
        <v>1</v>
      </c>
      <c r="Q39">
        <f>Rich_Full!B38</f>
        <v>0</v>
      </c>
      <c r="R39">
        <f>Rich_Full!C38</f>
        <v>0</v>
      </c>
      <c r="S39">
        <f>Rich_Full!D38</f>
        <v>0</v>
      </c>
      <c r="T39">
        <f>Rich_Full!E38</f>
        <v>0</v>
      </c>
      <c r="U39">
        <f>Rich_Full!F38</f>
        <v>0</v>
      </c>
      <c r="V39">
        <v>36</v>
      </c>
      <c r="W39">
        <f t="shared" si="0"/>
        <v>0</v>
      </c>
      <c r="X39">
        <f t="shared" si="1"/>
        <v>0</v>
      </c>
      <c r="Y39">
        <f t="shared" si="2"/>
        <v>0</v>
      </c>
      <c r="AA39">
        <f>Baserun_Full!U38</f>
        <v>35</v>
      </c>
      <c r="AB39">
        <f>Baserun_Full!V38</f>
        <v>0</v>
      </c>
      <c r="AC39">
        <f>Baserun_Full!W38</f>
        <v>0</v>
      </c>
      <c r="AD39">
        <f>Baserun_Full!X38</f>
        <v>0</v>
      </c>
      <c r="AE39">
        <f>Baserun_Full!Y38</f>
        <v>2</v>
      </c>
      <c r="AF39">
        <f>Baserun_Full!Z38</f>
        <v>5</v>
      </c>
      <c r="AG39">
        <f>Aware_Full!V38</f>
        <v>5</v>
      </c>
      <c r="AH39">
        <f>Aware_Full!W38</f>
        <v>10</v>
      </c>
      <c r="AI39">
        <f>Aware_Full!X38</f>
        <v>1</v>
      </c>
      <c r="AJ39">
        <f>Aware_Full!Y38</f>
        <v>10</v>
      </c>
      <c r="AK39">
        <f>Aware_Full!Z38</f>
        <v>0</v>
      </c>
      <c r="AL39">
        <f>Learn_Full!V38</f>
        <v>11</v>
      </c>
      <c r="AM39">
        <f>Learn_Full!W38</f>
        <v>3</v>
      </c>
      <c r="AN39">
        <f>Learn_Full!X38</f>
        <v>0</v>
      </c>
      <c r="AO39">
        <f>Learn_Full!Y38</f>
        <v>5</v>
      </c>
      <c r="AP39">
        <f>Learn_Full!Z38</f>
        <v>7</v>
      </c>
      <c r="AQ39">
        <f>Rich_Full!V38</f>
        <v>0</v>
      </c>
      <c r="AR39">
        <f>Rich_Full!W38</f>
        <v>0</v>
      </c>
      <c r="AS39">
        <f>Rich_Full!X38</f>
        <v>0</v>
      </c>
      <c r="AT39">
        <f>Rich_Full!Y38</f>
        <v>2</v>
      </c>
      <c r="AU39">
        <f>Rich_Full!Z38</f>
        <v>0</v>
      </c>
      <c r="AW39">
        <f t="shared" si="3"/>
        <v>0</v>
      </c>
      <c r="AX39">
        <f t="shared" si="4"/>
        <v>3</v>
      </c>
      <c r="AY39">
        <f t="shared" si="5"/>
        <v>6</v>
      </c>
    </row>
    <row r="40" spans="1:51" x14ac:dyDescent="0.25">
      <c r="A40">
        <f>Baserun_Full!A39</f>
        <v>36</v>
      </c>
      <c r="B40">
        <f>Baserun_Full!B39</f>
        <v>0</v>
      </c>
      <c r="C40">
        <f>Baserun_Full!C39</f>
        <v>0</v>
      </c>
      <c r="D40">
        <f>Baserun_Full!D39</f>
        <v>0</v>
      </c>
      <c r="E40">
        <f>Baserun_Full!E39</f>
        <v>1</v>
      </c>
      <c r="F40">
        <f>Baserun_Full!F39</f>
        <v>1</v>
      </c>
      <c r="G40">
        <f>Aware_Full!B39</f>
        <v>0</v>
      </c>
      <c r="H40">
        <f>Aware_Full!C39</f>
        <v>0</v>
      </c>
      <c r="I40">
        <f>Aware_Full!D39</f>
        <v>0</v>
      </c>
      <c r="J40">
        <f>Aware_Full!E39</f>
        <v>0</v>
      </c>
      <c r="K40">
        <f>Aware_Full!F39</f>
        <v>0</v>
      </c>
      <c r="L40">
        <f>Learn_Full!B39</f>
        <v>6</v>
      </c>
      <c r="M40">
        <f>Learn_Full!C39</f>
        <v>0</v>
      </c>
      <c r="N40">
        <f>Learn_Full!D39</f>
        <v>0</v>
      </c>
      <c r="O40">
        <f>Learn_Full!E39</f>
        <v>0</v>
      </c>
      <c r="P40">
        <f>Learn_Full!F39</f>
        <v>4</v>
      </c>
      <c r="Q40">
        <f>Rich_Full!B39</f>
        <v>0</v>
      </c>
      <c r="R40">
        <f>Rich_Full!C39</f>
        <v>0</v>
      </c>
      <c r="S40">
        <f>Rich_Full!D39</f>
        <v>0</v>
      </c>
      <c r="T40">
        <f>Rich_Full!E39</f>
        <v>0</v>
      </c>
      <c r="U40">
        <f>Rich_Full!F39</f>
        <v>0</v>
      </c>
      <c r="V40">
        <v>37</v>
      </c>
      <c r="W40">
        <f t="shared" si="0"/>
        <v>0</v>
      </c>
      <c r="X40">
        <f t="shared" si="1"/>
        <v>0</v>
      </c>
      <c r="Y40">
        <f t="shared" si="2"/>
        <v>0.5</v>
      </c>
      <c r="AA40">
        <f>Baserun_Full!U39</f>
        <v>36</v>
      </c>
      <c r="AB40">
        <f>Baserun_Full!V39</f>
        <v>0</v>
      </c>
      <c r="AC40">
        <f>Baserun_Full!W39</f>
        <v>0</v>
      </c>
      <c r="AD40">
        <f>Baserun_Full!X39</f>
        <v>0</v>
      </c>
      <c r="AE40">
        <f>Baserun_Full!Y39</f>
        <v>2</v>
      </c>
      <c r="AF40">
        <f>Baserun_Full!Z39</f>
        <v>6</v>
      </c>
      <c r="AG40">
        <f>Aware_Full!V39</f>
        <v>4</v>
      </c>
      <c r="AH40">
        <f>Aware_Full!W39</f>
        <v>7</v>
      </c>
      <c r="AI40">
        <f>Aware_Full!X39</f>
        <v>1</v>
      </c>
      <c r="AJ40">
        <f>Aware_Full!Y39</f>
        <v>8</v>
      </c>
      <c r="AK40">
        <f>Aware_Full!Z39</f>
        <v>0</v>
      </c>
      <c r="AL40">
        <f>Learn_Full!V39</f>
        <v>13</v>
      </c>
      <c r="AM40">
        <f>Learn_Full!W39</f>
        <v>3</v>
      </c>
      <c r="AN40">
        <f>Learn_Full!X39</f>
        <v>0</v>
      </c>
      <c r="AO40">
        <f>Learn_Full!Y39</f>
        <v>5</v>
      </c>
      <c r="AP40">
        <f>Learn_Full!Z39</f>
        <v>9</v>
      </c>
      <c r="AQ40">
        <f>Rich_Full!V39</f>
        <v>0</v>
      </c>
      <c r="AR40">
        <f>Rich_Full!W39</f>
        <v>0</v>
      </c>
      <c r="AS40">
        <f>Rich_Full!X39</f>
        <v>0</v>
      </c>
      <c r="AT40">
        <f>Rich_Full!Y39</f>
        <v>2</v>
      </c>
      <c r="AU40">
        <f>Rich_Full!Z39</f>
        <v>0</v>
      </c>
      <c r="AW40">
        <f t="shared" si="3"/>
        <v>0</v>
      </c>
      <c r="AX40">
        <f t="shared" si="4"/>
        <v>3</v>
      </c>
      <c r="AY40">
        <f t="shared" si="5"/>
        <v>6.5</v>
      </c>
    </row>
    <row r="41" spans="1:51" x14ac:dyDescent="0.25">
      <c r="A41">
        <f>Baserun_Full!A40</f>
        <v>37</v>
      </c>
      <c r="B41">
        <f>Baserun_Full!B40</f>
        <v>0</v>
      </c>
      <c r="C41">
        <f>Baserun_Full!C40</f>
        <v>0</v>
      </c>
      <c r="D41">
        <f>Baserun_Full!D40</f>
        <v>0</v>
      </c>
      <c r="E41">
        <f>Baserun_Full!E40</f>
        <v>1</v>
      </c>
      <c r="F41">
        <f>Baserun_Full!F40</f>
        <v>1</v>
      </c>
      <c r="G41">
        <f>Aware_Full!B40</f>
        <v>2</v>
      </c>
      <c r="H41">
        <f>Aware_Full!C40</f>
        <v>1</v>
      </c>
      <c r="I41">
        <f>Aware_Full!D40</f>
        <v>0</v>
      </c>
      <c r="J41">
        <f>Aware_Full!E40</f>
        <v>0</v>
      </c>
      <c r="K41">
        <f>Aware_Full!F40</f>
        <v>0</v>
      </c>
      <c r="L41">
        <f>Learn_Full!B40</f>
        <v>0</v>
      </c>
      <c r="M41">
        <f>Learn_Full!C40</f>
        <v>0</v>
      </c>
      <c r="N41">
        <f>Learn_Full!D40</f>
        <v>0</v>
      </c>
      <c r="O41">
        <f>Learn_Full!E40</f>
        <v>0</v>
      </c>
      <c r="P41">
        <f>Learn_Full!F40</f>
        <v>0</v>
      </c>
      <c r="Q41">
        <f>Rich_Full!B40</f>
        <v>0</v>
      </c>
      <c r="R41">
        <f>Rich_Full!C40</f>
        <v>0</v>
      </c>
      <c r="S41">
        <f>Rich_Full!D40</f>
        <v>0</v>
      </c>
      <c r="T41">
        <f>Rich_Full!E40</f>
        <v>0</v>
      </c>
      <c r="U41">
        <f>Rich_Full!F40</f>
        <v>0</v>
      </c>
      <c r="V41">
        <v>38</v>
      </c>
      <c r="W41">
        <f t="shared" si="0"/>
        <v>0</v>
      </c>
      <c r="X41">
        <f t="shared" si="1"/>
        <v>0</v>
      </c>
      <c r="Y41">
        <f t="shared" si="2"/>
        <v>0.5</v>
      </c>
      <c r="AA41">
        <f>Baserun_Full!U40</f>
        <v>37</v>
      </c>
      <c r="AB41">
        <f>Baserun_Full!V40</f>
        <v>0</v>
      </c>
      <c r="AC41">
        <f>Baserun_Full!W40</f>
        <v>0</v>
      </c>
      <c r="AD41">
        <f>Baserun_Full!X40</f>
        <v>0</v>
      </c>
      <c r="AE41">
        <f>Baserun_Full!Y40</f>
        <v>3</v>
      </c>
      <c r="AF41">
        <f>Baserun_Full!Z40</f>
        <v>5</v>
      </c>
      <c r="AG41">
        <f>Aware_Full!V40</f>
        <v>3</v>
      </c>
      <c r="AH41">
        <f>Aware_Full!W40</f>
        <v>5</v>
      </c>
      <c r="AI41">
        <f>Aware_Full!X40</f>
        <v>1</v>
      </c>
      <c r="AJ41">
        <f>Aware_Full!Y40</f>
        <v>7</v>
      </c>
      <c r="AK41">
        <f>Aware_Full!Z40</f>
        <v>0</v>
      </c>
      <c r="AL41">
        <f>Learn_Full!V40</f>
        <v>7</v>
      </c>
      <c r="AM41">
        <f>Learn_Full!W40</f>
        <v>3</v>
      </c>
      <c r="AN41">
        <f>Learn_Full!X40</f>
        <v>0</v>
      </c>
      <c r="AO41">
        <f>Learn_Full!Y40</f>
        <v>3</v>
      </c>
      <c r="AP41">
        <f>Learn_Full!Z40</f>
        <v>9</v>
      </c>
      <c r="AQ41">
        <f>Rich_Full!V40</f>
        <v>0</v>
      </c>
      <c r="AR41">
        <f>Rich_Full!W40</f>
        <v>0</v>
      </c>
      <c r="AS41">
        <f>Rich_Full!X40</f>
        <v>0</v>
      </c>
      <c r="AT41">
        <f>Rich_Full!Y40</f>
        <v>0</v>
      </c>
      <c r="AU41">
        <f>Rich_Full!Z40</f>
        <v>0</v>
      </c>
      <c r="AW41">
        <f t="shared" si="3"/>
        <v>0</v>
      </c>
      <c r="AX41">
        <f t="shared" si="4"/>
        <v>3</v>
      </c>
      <c r="AY41">
        <f t="shared" si="5"/>
        <v>5</v>
      </c>
    </row>
    <row r="42" spans="1:51" x14ac:dyDescent="0.25">
      <c r="A42">
        <f>Baserun_Full!A41</f>
        <v>38</v>
      </c>
      <c r="B42">
        <f>Baserun_Full!B41</f>
        <v>0</v>
      </c>
      <c r="C42">
        <f>Baserun_Full!C41</f>
        <v>0</v>
      </c>
      <c r="D42">
        <f>Baserun_Full!D41</f>
        <v>0</v>
      </c>
      <c r="E42">
        <f>Baserun_Full!E41</f>
        <v>1</v>
      </c>
      <c r="F42">
        <f>Baserun_Full!F41</f>
        <v>1</v>
      </c>
      <c r="G42">
        <f>Aware_Full!B41</f>
        <v>1</v>
      </c>
      <c r="H42">
        <f>Aware_Full!C41</f>
        <v>1</v>
      </c>
      <c r="I42">
        <f>Aware_Full!D41</f>
        <v>1</v>
      </c>
      <c r="J42">
        <f>Aware_Full!E41</f>
        <v>3</v>
      </c>
      <c r="K42">
        <f>Aware_Full!F41</f>
        <v>0</v>
      </c>
      <c r="L42">
        <f>Learn_Full!B41</f>
        <v>2</v>
      </c>
      <c r="M42">
        <f>Learn_Full!C41</f>
        <v>1</v>
      </c>
      <c r="N42">
        <f>Learn_Full!D41</f>
        <v>0</v>
      </c>
      <c r="O42">
        <f>Learn_Full!E41</f>
        <v>0</v>
      </c>
      <c r="P42">
        <f>Learn_Full!F41</f>
        <v>4</v>
      </c>
      <c r="Q42">
        <f>Rich_Full!B41</f>
        <v>0</v>
      </c>
      <c r="R42">
        <f>Rich_Full!C41</f>
        <v>0</v>
      </c>
      <c r="S42">
        <f>Rich_Full!D41</f>
        <v>0</v>
      </c>
      <c r="T42">
        <f>Rich_Full!E41</f>
        <v>0</v>
      </c>
      <c r="U42">
        <f>Rich_Full!F41</f>
        <v>0</v>
      </c>
      <c r="V42">
        <v>39</v>
      </c>
      <c r="W42">
        <f t="shared" si="0"/>
        <v>0</v>
      </c>
      <c r="X42">
        <f t="shared" si="1"/>
        <v>1</v>
      </c>
      <c r="Y42">
        <f t="shared" si="2"/>
        <v>1</v>
      </c>
      <c r="AA42">
        <f>Baserun_Full!U41</f>
        <v>38</v>
      </c>
      <c r="AB42">
        <f>Baserun_Full!V41</f>
        <v>0</v>
      </c>
      <c r="AC42">
        <f>Baserun_Full!W41</f>
        <v>0</v>
      </c>
      <c r="AD42">
        <f>Baserun_Full!X41</f>
        <v>0</v>
      </c>
      <c r="AE42">
        <f>Baserun_Full!Y41</f>
        <v>3</v>
      </c>
      <c r="AF42">
        <f>Baserun_Full!Z41</f>
        <v>6</v>
      </c>
      <c r="AG42">
        <f>Aware_Full!V41</f>
        <v>3</v>
      </c>
      <c r="AH42">
        <f>Aware_Full!W41</f>
        <v>2</v>
      </c>
      <c r="AI42">
        <f>Aware_Full!X41</f>
        <v>1</v>
      </c>
      <c r="AJ42">
        <f>Aware_Full!Y41</f>
        <v>6</v>
      </c>
      <c r="AK42">
        <f>Aware_Full!Z41</f>
        <v>0</v>
      </c>
      <c r="AL42">
        <f>Learn_Full!V41</f>
        <v>9</v>
      </c>
      <c r="AM42">
        <f>Learn_Full!W41</f>
        <v>3</v>
      </c>
      <c r="AN42">
        <f>Learn_Full!X41</f>
        <v>0</v>
      </c>
      <c r="AO42">
        <f>Learn_Full!Y41</f>
        <v>2</v>
      </c>
      <c r="AP42">
        <f>Learn_Full!Z41</f>
        <v>13</v>
      </c>
      <c r="AQ42">
        <f>Rich_Full!V41</f>
        <v>0</v>
      </c>
      <c r="AR42">
        <f>Rich_Full!W41</f>
        <v>0</v>
      </c>
      <c r="AS42">
        <f>Rich_Full!X41</f>
        <v>0</v>
      </c>
      <c r="AT42">
        <f>Rich_Full!Y41</f>
        <v>0</v>
      </c>
      <c r="AU42">
        <f>Rich_Full!Z41</f>
        <v>0</v>
      </c>
      <c r="AW42">
        <f t="shared" si="3"/>
        <v>0</v>
      </c>
      <c r="AX42">
        <f t="shared" si="4"/>
        <v>2</v>
      </c>
      <c r="AY42">
        <f t="shared" si="5"/>
        <v>4.5</v>
      </c>
    </row>
    <row r="43" spans="1:51" x14ac:dyDescent="0.25">
      <c r="A43">
        <f>Baserun_Full!A42</f>
        <v>39</v>
      </c>
      <c r="B43">
        <f>Baserun_Full!B42</f>
        <v>0</v>
      </c>
      <c r="C43">
        <f>Baserun_Full!C42</f>
        <v>0</v>
      </c>
      <c r="D43">
        <f>Baserun_Full!D42</f>
        <v>0</v>
      </c>
      <c r="E43">
        <f>Baserun_Full!E42</f>
        <v>0</v>
      </c>
      <c r="F43">
        <f>Baserun_Full!F42</f>
        <v>1</v>
      </c>
      <c r="G43">
        <f>Aware_Full!B42</f>
        <v>2</v>
      </c>
      <c r="H43">
        <f>Aware_Full!C42</f>
        <v>0</v>
      </c>
      <c r="I43">
        <f>Aware_Full!D42</f>
        <v>0</v>
      </c>
      <c r="J43">
        <f>Aware_Full!E42</f>
        <v>5</v>
      </c>
      <c r="K43">
        <f>Aware_Full!F42</f>
        <v>0</v>
      </c>
      <c r="L43">
        <f>Learn_Full!B42</f>
        <v>3</v>
      </c>
      <c r="M43">
        <f>Learn_Full!C42</f>
        <v>0</v>
      </c>
      <c r="N43">
        <f>Learn_Full!D42</f>
        <v>0</v>
      </c>
      <c r="O43">
        <f>Learn_Full!E42</f>
        <v>0</v>
      </c>
      <c r="P43">
        <f>Learn_Full!F42</f>
        <v>0</v>
      </c>
      <c r="Q43">
        <f>Rich_Full!B42</f>
        <v>0</v>
      </c>
      <c r="R43">
        <f>Rich_Full!C42</f>
        <v>0</v>
      </c>
      <c r="S43">
        <f>Rich_Full!D42</f>
        <v>0</v>
      </c>
      <c r="T43">
        <f>Rich_Full!E42</f>
        <v>0</v>
      </c>
      <c r="U43">
        <f>Rich_Full!F42</f>
        <v>0</v>
      </c>
      <c r="V43">
        <v>40</v>
      </c>
      <c r="W43">
        <f t="shared" si="0"/>
        <v>0</v>
      </c>
      <c r="X43">
        <f t="shared" si="1"/>
        <v>0</v>
      </c>
      <c r="Y43">
        <f t="shared" si="2"/>
        <v>0.5</v>
      </c>
      <c r="AA43">
        <f>Baserun_Full!U42</f>
        <v>39</v>
      </c>
      <c r="AB43">
        <f>Baserun_Full!V42</f>
        <v>0</v>
      </c>
      <c r="AC43">
        <f>Baserun_Full!W42</f>
        <v>0</v>
      </c>
      <c r="AD43">
        <f>Baserun_Full!X42</f>
        <v>0</v>
      </c>
      <c r="AE43">
        <f>Baserun_Full!Y42</f>
        <v>3</v>
      </c>
      <c r="AF43">
        <f>Baserun_Full!Z42</f>
        <v>7</v>
      </c>
      <c r="AG43">
        <f>Aware_Full!V42</f>
        <v>5</v>
      </c>
      <c r="AH43">
        <f>Aware_Full!W42</f>
        <v>2</v>
      </c>
      <c r="AI43">
        <f>Aware_Full!X42</f>
        <v>1</v>
      </c>
      <c r="AJ43">
        <f>Aware_Full!Y42</f>
        <v>8</v>
      </c>
      <c r="AK43">
        <f>Aware_Full!Z42</f>
        <v>0</v>
      </c>
      <c r="AL43">
        <f>Learn_Full!V42</f>
        <v>11</v>
      </c>
      <c r="AM43">
        <f>Learn_Full!W42</f>
        <v>3</v>
      </c>
      <c r="AN43">
        <f>Learn_Full!X42</f>
        <v>0</v>
      </c>
      <c r="AO43">
        <f>Learn_Full!Y42</f>
        <v>2</v>
      </c>
      <c r="AP43">
        <f>Learn_Full!Z42</f>
        <v>9</v>
      </c>
      <c r="AQ43">
        <f>Rich_Full!V42</f>
        <v>0</v>
      </c>
      <c r="AR43">
        <f>Rich_Full!W42</f>
        <v>0</v>
      </c>
      <c r="AS43">
        <f>Rich_Full!X42</f>
        <v>0</v>
      </c>
      <c r="AT43">
        <f>Rich_Full!Y42</f>
        <v>0</v>
      </c>
      <c r="AU43">
        <f>Rich_Full!Z42</f>
        <v>0</v>
      </c>
      <c r="AW43">
        <f t="shared" si="3"/>
        <v>0</v>
      </c>
      <c r="AX43">
        <f t="shared" si="4"/>
        <v>2</v>
      </c>
      <c r="AY43">
        <f t="shared" si="5"/>
        <v>6</v>
      </c>
    </row>
    <row r="44" spans="1:51" x14ac:dyDescent="0.25">
      <c r="A44">
        <f>Baserun_Full!A43</f>
        <v>40</v>
      </c>
      <c r="B44">
        <f>Baserun_Full!B43</f>
        <v>0</v>
      </c>
      <c r="C44">
        <f>Baserun_Full!C43</f>
        <v>0</v>
      </c>
      <c r="D44">
        <f>Baserun_Full!D43</f>
        <v>0</v>
      </c>
      <c r="E44">
        <f>Baserun_Full!E43</f>
        <v>0</v>
      </c>
      <c r="F44">
        <f>Baserun_Full!F43</f>
        <v>0</v>
      </c>
      <c r="G44">
        <f>Aware_Full!B43</f>
        <v>1</v>
      </c>
      <c r="H44">
        <f>Aware_Full!C43</f>
        <v>1</v>
      </c>
      <c r="I44">
        <f>Aware_Full!D43</f>
        <v>0</v>
      </c>
      <c r="J44">
        <f>Aware_Full!E43</f>
        <v>4</v>
      </c>
      <c r="K44">
        <f>Aware_Full!F43</f>
        <v>0</v>
      </c>
      <c r="L44">
        <f>Learn_Full!B43</f>
        <v>0</v>
      </c>
      <c r="M44">
        <f>Learn_Full!C43</f>
        <v>2</v>
      </c>
      <c r="N44">
        <f>Learn_Full!D43</f>
        <v>0</v>
      </c>
      <c r="O44">
        <f>Learn_Full!E43</f>
        <v>0</v>
      </c>
      <c r="P44">
        <f>Learn_Full!F43</f>
        <v>0</v>
      </c>
      <c r="Q44">
        <f>Rich_Full!B43</f>
        <v>0</v>
      </c>
      <c r="R44">
        <f>Rich_Full!C43</f>
        <v>0</v>
      </c>
      <c r="S44">
        <f>Rich_Full!D43</f>
        <v>0</v>
      </c>
      <c r="T44">
        <f>Rich_Full!E43</f>
        <v>0</v>
      </c>
      <c r="U44">
        <f>Rich_Full!F43</f>
        <v>0</v>
      </c>
      <c r="V44">
        <v>41</v>
      </c>
      <c r="W44">
        <f t="shared" si="0"/>
        <v>0</v>
      </c>
      <c r="X44">
        <f t="shared" si="1"/>
        <v>0</v>
      </c>
      <c r="Y44">
        <f t="shared" si="2"/>
        <v>0.5</v>
      </c>
      <c r="AA44">
        <f>Baserun_Full!U43</f>
        <v>40</v>
      </c>
      <c r="AB44">
        <f>Baserun_Full!V43</f>
        <v>0</v>
      </c>
      <c r="AC44">
        <f>Baserun_Full!W43</f>
        <v>0</v>
      </c>
      <c r="AD44">
        <f>Baserun_Full!X43</f>
        <v>0</v>
      </c>
      <c r="AE44">
        <f>Baserun_Full!Y43</f>
        <v>3</v>
      </c>
      <c r="AF44">
        <f>Baserun_Full!Z43</f>
        <v>4</v>
      </c>
      <c r="AG44">
        <f>Aware_Full!V43</f>
        <v>6</v>
      </c>
      <c r="AH44">
        <f>Aware_Full!W43</f>
        <v>3</v>
      </c>
      <c r="AI44">
        <f>Aware_Full!X43</f>
        <v>1</v>
      </c>
      <c r="AJ44">
        <f>Aware_Full!Y43</f>
        <v>12</v>
      </c>
      <c r="AK44">
        <f>Aware_Full!Z43</f>
        <v>0</v>
      </c>
      <c r="AL44">
        <f>Learn_Full!V43</f>
        <v>11</v>
      </c>
      <c r="AM44">
        <f>Learn_Full!W43</f>
        <v>5</v>
      </c>
      <c r="AN44">
        <f>Learn_Full!X43</f>
        <v>0</v>
      </c>
      <c r="AO44">
        <f>Learn_Full!Y43</f>
        <v>0</v>
      </c>
      <c r="AP44">
        <f>Learn_Full!Z43</f>
        <v>9</v>
      </c>
      <c r="AQ44">
        <f>Rich_Full!V43</f>
        <v>0</v>
      </c>
      <c r="AR44">
        <f>Rich_Full!W43</f>
        <v>0</v>
      </c>
      <c r="AS44">
        <f>Rich_Full!X43</f>
        <v>0</v>
      </c>
      <c r="AT44">
        <f>Rich_Full!Y43</f>
        <v>0</v>
      </c>
      <c r="AU44">
        <f>Rich_Full!Z43</f>
        <v>0</v>
      </c>
      <c r="AW44">
        <f t="shared" si="3"/>
        <v>0</v>
      </c>
      <c r="AX44">
        <f t="shared" si="4"/>
        <v>3</v>
      </c>
      <c r="AY44">
        <f t="shared" si="5"/>
        <v>5.5</v>
      </c>
    </row>
    <row r="45" spans="1:51" x14ac:dyDescent="0.25">
      <c r="A45">
        <f>Baserun_Full!A44</f>
        <v>41</v>
      </c>
      <c r="B45">
        <f>Baserun_Full!B44</f>
        <v>0</v>
      </c>
      <c r="C45">
        <f>Baserun_Full!C44</f>
        <v>0</v>
      </c>
      <c r="D45">
        <f>Baserun_Full!D44</f>
        <v>0</v>
      </c>
      <c r="E45">
        <f>Baserun_Full!E44</f>
        <v>0</v>
      </c>
      <c r="F45">
        <f>Baserun_Full!F44</f>
        <v>0</v>
      </c>
      <c r="G45">
        <f>Aware_Full!B44</f>
        <v>2</v>
      </c>
      <c r="H45">
        <f>Aware_Full!C44</f>
        <v>0</v>
      </c>
      <c r="I45">
        <f>Aware_Full!D44</f>
        <v>1</v>
      </c>
      <c r="J45">
        <f>Aware_Full!E44</f>
        <v>3</v>
      </c>
      <c r="K45">
        <f>Aware_Full!F44</f>
        <v>0</v>
      </c>
      <c r="L45">
        <f>Learn_Full!B44</f>
        <v>2</v>
      </c>
      <c r="M45">
        <f>Learn_Full!C44</f>
        <v>3</v>
      </c>
      <c r="N45">
        <f>Learn_Full!D44</f>
        <v>0</v>
      </c>
      <c r="O45">
        <f>Learn_Full!E44</f>
        <v>0</v>
      </c>
      <c r="P45">
        <f>Learn_Full!F44</f>
        <v>0</v>
      </c>
      <c r="Q45">
        <f>Rich_Full!B44</f>
        <v>0</v>
      </c>
      <c r="R45">
        <f>Rich_Full!C44</f>
        <v>0</v>
      </c>
      <c r="S45">
        <f>Rich_Full!D44</f>
        <v>0</v>
      </c>
      <c r="T45">
        <f>Rich_Full!E44</f>
        <v>0</v>
      </c>
      <c r="U45">
        <f>Rich_Full!F44</f>
        <v>0</v>
      </c>
      <c r="V45">
        <v>42</v>
      </c>
      <c r="W45">
        <f t="shared" si="0"/>
        <v>0</v>
      </c>
      <c r="X45">
        <f t="shared" si="1"/>
        <v>0</v>
      </c>
      <c r="Y45">
        <f t="shared" si="2"/>
        <v>1.5</v>
      </c>
      <c r="AA45">
        <f>Baserun_Full!U44</f>
        <v>41</v>
      </c>
      <c r="AB45">
        <f>Baserun_Full!V44</f>
        <v>0</v>
      </c>
      <c r="AC45">
        <f>Baserun_Full!W44</f>
        <v>0</v>
      </c>
      <c r="AD45">
        <f>Baserun_Full!X44</f>
        <v>0</v>
      </c>
      <c r="AE45">
        <f>Baserun_Full!Y44</f>
        <v>3</v>
      </c>
      <c r="AF45">
        <f>Baserun_Full!Z44</f>
        <v>4</v>
      </c>
      <c r="AG45">
        <f>Aware_Full!V44</f>
        <v>8</v>
      </c>
      <c r="AH45">
        <f>Aware_Full!W44</f>
        <v>3</v>
      </c>
      <c r="AI45">
        <f>Aware_Full!X44</f>
        <v>2</v>
      </c>
      <c r="AJ45">
        <f>Aware_Full!Y44</f>
        <v>15</v>
      </c>
      <c r="AK45">
        <f>Aware_Full!Z44</f>
        <v>0</v>
      </c>
      <c r="AL45">
        <f>Learn_Full!V44</f>
        <v>13</v>
      </c>
      <c r="AM45">
        <f>Learn_Full!W44</f>
        <v>6</v>
      </c>
      <c r="AN45">
        <f>Learn_Full!X44</f>
        <v>0</v>
      </c>
      <c r="AO45">
        <f>Learn_Full!Y44</f>
        <v>0</v>
      </c>
      <c r="AP45">
        <f>Learn_Full!Z44</f>
        <v>8</v>
      </c>
      <c r="AQ45">
        <f>Rich_Full!V44</f>
        <v>0</v>
      </c>
      <c r="AR45">
        <f>Rich_Full!W44</f>
        <v>0</v>
      </c>
      <c r="AS45">
        <f>Rich_Full!X44</f>
        <v>0</v>
      </c>
      <c r="AT45">
        <f>Rich_Full!Y44</f>
        <v>0</v>
      </c>
      <c r="AU45">
        <f>Rich_Full!Z44</f>
        <v>0</v>
      </c>
      <c r="AW45">
        <f t="shared" si="3"/>
        <v>0</v>
      </c>
      <c r="AX45">
        <f t="shared" si="4"/>
        <v>3</v>
      </c>
      <c r="AY45">
        <f t="shared" si="5"/>
        <v>7</v>
      </c>
    </row>
    <row r="46" spans="1:51" x14ac:dyDescent="0.25">
      <c r="A46">
        <f>Baserun_Full!A45</f>
        <v>42</v>
      </c>
      <c r="B46">
        <f>Baserun_Full!B45</f>
        <v>0</v>
      </c>
      <c r="C46">
        <f>Baserun_Full!C45</f>
        <v>0</v>
      </c>
      <c r="D46">
        <f>Baserun_Full!D45</f>
        <v>0</v>
      </c>
      <c r="E46">
        <f>Baserun_Full!E45</f>
        <v>0</v>
      </c>
      <c r="F46">
        <f>Baserun_Full!F45</f>
        <v>0</v>
      </c>
      <c r="G46">
        <f>Aware_Full!B45</f>
        <v>1</v>
      </c>
      <c r="H46">
        <f>Aware_Full!C45</f>
        <v>0</v>
      </c>
      <c r="I46">
        <f>Aware_Full!D45</f>
        <v>0</v>
      </c>
      <c r="J46">
        <f>Aware_Full!E45</f>
        <v>0</v>
      </c>
      <c r="K46">
        <f>Aware_Full!F45</f>
        <v>0</v>
      </c>
      <c r="L46">
        <f>Learn_Full!B45</f>
        <v>0</v>
      </c>
      <c r="M46">
        <f>Learn_Full!C45</f>
        <v>0</v>
      </c>
      <c r="N46">
        <f>Learn_Full!D45</f>
        <v>0</v>
      </c>
      <c r="O46">
        <f>Learn_Full!E45</f>
        <v>0</v>
      </c>
      <c r="P46">
        <f>Learn_Full!F45</f>
        <v>0</v>
      </c>
      <c r="Q46">
        <f>Rich_Full!B45</f>
        <v>0</v>
      </c>
      <c r="R46">
        <f>Rich_Full!C45</f>
        <v>0</v>
      </c>
      <c r="S46">
        <f>Rich_Full!D45</f>
        <v>0</v>
      </c>
      <c r="T46">
        <f>Rich_Full!E45</f>
        <v>0</v>
      </c>
      <c r="U46">
        <f>Rich_Full!F45</f>
        <v>0</v>
      </c>
      <c r="V46">
        <v>43</v>
      </c>
      <c r="W46">
        <f t="shared" si="0"/>
        <v>0</v>
      </c>
      <c r="X46">
        <f t="shared" si="1"/>
        <v>0</v>
      </c>
      <c r="Y46">
        <f t="shared" si="2"/>
        <v>0</v>
      </c>
      <c r="AA46">
        <f>Baserun_Full!U45</f>
        <v>42</v>
      </c>
      <c r="AB46">
        <f>Baserun_Full!V45</f>
        <v>0</v>
      </c>
      <c r="AC46">
        <f>Baserun_Full!W45</f>
        <v>0</v>
      </c>
      <c r="AD46">
        <f>Baserun_Full!X45</f>
        <v>0</v>
      </c>
      <c r="AE46">
        <f>Baserun_Full!Y45</f>
        <v>2</v>
      </c>
      <c r="AF46">
        <f>Baserun_Full!Z45</f>
        <v>3</v>
      </c>
      <c r="AG46">
        <f>Aware_Full!V45</f>
        <v>9</v>
      </c>
      <c r="AH46">
        <f>Aware_Full!W45</f>
        <v>3</v>
      </c>
      <c r="AI46">
        <f>Aware_Full!X45</f>
        <v>2</v>
      </c>
      <c r="AJ46">
        <f>Aware_Full!Y45</f>
        <v>15</v>
      </c>
      <c r="AK46">
        <f>Aware_Full!Z45</f>
        <v>0</v>
      </c>
      <c r="AL46">
        <f>Learn_Full!V45</f>
        <v>7</v>
      </c>
      <c r="AM46">
        <f>Learn_Full!W45</f>
        <v>6</v>
      </c>
      <c r="AN46">
        <f>Learn_Full!X45</f>
        <v>0</v>
      </c>
      <c r="AO46">
        <f>Learn_Full!Y45</f>
        <v>0</v>
      </c>
      <c r="AP46">
        <f>Learn_Full!Z45</f>
        <v>4</v>
      </c>
      <c r="AQ46">
        <f>Rich_Full!V45</f>
        <v>0</v>
      </c>
      <c r="AR46">
        <f>Rich_Full!W45</f>
        <v>0</v>
      </c>
      <c r="AS46">
        <f>Rich_Full!X45</f>
        <v>0</v>
      </c>
      <c r="AT46">
        <f>Rich_Full!Y45</f>
        <v>0</v>
      </c>
      <c r="AU46">
        <f>Rich_Full!Z45</f>
        <v>0</v>
      </c>
      <c r="AW46">
        <f t="shared" si="3"/>
        <v>0</v>
      </c>
      <c r="AX46">
        <f t="shared" si="4"/>
        <v>2</v>
      </c>
      <c r="AY46">
        <f t="shared" si="5"/>
        <v>5</v>
      </c>
    </row>
    <row r="47" spans="1:51" x14ac:dyDescent="0.25">
      <c r="A47">
        <f>Baserun_Full!A46</f>
        <v>43</v>
      </c>
      <c r="B47">
        <f>Baserun_Full!B46</f>
        <v>0</v>
      </c>
      <c r="C47">
        <f>Baserun_Full!C46</f>
        <v>0</v>
      </c>
      <c r="D47">
        <f>Baserun_Full!D46</f>
        <v>0</v>
      </c>
      <c r="E47">
        <f>Baserun_Full!E46</f>
        <v>0</v>
      </c>
      <c r="F47">
        <f>Baserun_Full!F46</f>
        <v>0</v>
      </c>
      <c r="G47">
        <f>Aware_Full!B46</f>
        <v>0</v>
      </c>
      <c r="H47">
        <f>Aware_Full!C46</f>
        <v>0</v>
      </c>
      <c r="I47">
        <f>Aware_Full!D46</f>
        <v>0</v>
      </c>
      <c r="J47">
        <f>Aware_Full!E46</f>
        <v>0</v>
      </c>
      <c r="K47">
        <f>Aware_Full!F46</f>
        <v>0</v>
      </c>
      <c r="L47">
        <f>Learn_Full!B46</f>
        <v>0</v>
      </c>
      <c r="M47">
        <f>Learn_Full!C46</f>
        <v>1</v>
      </c>
      <c r="N47">
        <f>Learn_Full!D46</f>
        <v>0</v>
      </c>
      <c r="O47">
        <f>Learn_Full!E46</f>
        <v>0</v>
      </c>
      <c r="P47">
        <f>Learn_Full!F46</f>
        <v>0</v>
      </c>
      <c r="Q47">
        <f>Rich_Full!B46</f>
        <v>0</v>
      </c>
      <c r="R47">
        <f>Rich_Full!C46</f>
        <v>0</v>
      </c>
      <c r="S47">
        <f>Rich_Full!D46</f>
        <v>0</v>
      </c>
      <c r="T47">
        <f>Rich_Full!E46</f>
        <v>0</v>
      </c>
      <c r="U47">
        <f>Rich_Full!F46</f>
        <v>0</v>
      </c>
      <c r="V47">
        <v>44</v>
      </c>
      <c r="W47">
        <f t="shared" si="0"/>
        <v>0</v>
      </c>
      <c r="X47">
        <f t="shared" si="1"/>
        <v>0</v>
      </c>
      <c r="Y47">
        <f t="shared" si="2"/>
        <v>0</v>
      </c>
      <c r="AA47">
        <f>Baserun_Full!U46</f>
        <v>43</v>
      </c>
      <c r="AB47">
        <f>Baserun_Full!V46</f>
        <v>0</v>
      </c>
      <c r="AC47">
        <f>Baserun_Full!W46</f>
        <v>0</v>
      </c>
      <c r="AD47">
        <f>Baserun_Full!X46</f>
        <v>0</v>
      </c>
      <c r="AE47">
        <f>Baserun_Full!Y46</f>
        <v>1</v>
      </c>
      <c r="AF47">
        <f>Baserun_Full!Z46</f>
        <v>2</v>
      </c>
      <c r="AG47">
        <f>Aware_Full!V46</f>
        <v>7</v>
      </c>
      <c r="AH47">
        <f>Aware_Full!W46</f>
        <v>2</v>
      </c>
      <c r="AI47">
        <f>Aware_Full!X46</f>
        <v>2</v>
      </c>
      <c r="AJ47">
        <f>Aware_Full!Y46</f>
        <v>15</v>
      </c>
      <c r="AK47">
        <f>Aware_Full!Z46</f>
        <v>0</v>
      </c>
      <c r="AL47">
        <f>Learn_Full!V46</f>
        <v>7</v>
      </c>
      <c r="AM47">
        <f>Learn_Full!W46</f>
        <v>7</v>
      </c>
      <c r="AN47">
        <f>Learn_Full!X46</f>
        <v>0</v>
      </c>
      <c r="AO47">
        <f>Learn_Full!Y46</f>
        <v>0</v>
      </c>
      <c r="AP47">
        <f>Learn_Full!Z46</f>
        <v>4</v>
      </c>
      <c r="AQ47">
        <f>Rich_Full!V46</f>
        <v>0</v>
      </c>
      <c r="AR47">
        <f>Rich_Full!W46</f>
        <v>0</v>
      </c>
      <c r="AS47">
        <f>Rich_Full!X46</f>
        <v>0</v>
      </c>
      <c r="AT47">
        <f>Rich_Full!Y46</f>
        <v>0</v>
      </c>
      <c r="AU47">
        <f>Rich_Full!Z46</f>
        <v>0</v>
      </c>
      <c r="AW47">
        <f t="shared" si="3"/>
        <v>0</v>
      </c>
      <c r="AX47">
        <f t="shared" si="4"/>
        <v>2</v>
      </c>
      <c r="AY47">
        <f t="shared" si="5"/>
        <v>5.5</v>
      </c>
    </row>
    <row r="48" spans="1:51" x14ac:dyDescent="0.25">
      <c r="A48">
        <f>Baserun_Full!A47</f>
        <v>44</v>
      </c>
      <c r="B48">
        <f>Baserun_Full!B47</f>
        <v>0</v>
      </c>
      <c r="C48">
        <f>Baserun_Full!C47</f>
        <v>0</v>
      </c>
      <c r="D48">
        <f>Baserun_Full!D47</f>
        <v>0</v>
      </c>
      <c r="E48">
        <f>Baserun_Full!E47</f>
        <v>0</v>
      </c>
      <c r="F48">
        <f>Baserun_Full!F47</f>
        <v>0</v>
      </c>
      <c r="G48">
        <f>Aware_Full!B47</f>
        <v>1</v>
      </c>
      <c r="H48">
        <f>Aware_Full!C47</f>
        <v>0</v>
      </c>
      <c r="I48">
        <f>Aware_Full!D47</f>
        <v>0</v>
      </c>
      <c r="J48">
        <f>Aware_Full!E47</f>
        <v>0</v>
      </c>
      <c r="K48">
        <f>Aware_Full!F47</f>
        <v>0</v>
      </c>
      <c r="L48">
        <f>Learn_Full!B47</f>
        <v>1</v>
      </c>
      <c r="M48">
        <f>Learn_Full!C47</f>
        <v>0</v>
      </c>
      <c r="N48">
        <f>Learn_Full!D47</f>
        <v>0</v>
      </c>
      <c r="O48">
        <f>Learn_Full!E47</f>
        <v>0</v>
      </c>
      <c r="P48">
        <f>Learn_Full!F47</f>
        <v>0</v>
      </c>
      <c r="Q48">
        <f>Rich_Full!B47</f>
        <v>0</v>
      </c>
      <c r="R48">
        <f>Rich_Full!C47</f>
        <v>0</v>
      </c>
      <c r="S48">
        <f>Rich_Full!D47</f>
        <v>0</v>
      </c>
      <c r="T48">
        <f>Rich_Full!E47</f>
        <v>0</v>
      </c>
      <c r="U48">
        <f>Rich_Full!F47</f>
        <v>0</v>
      </c>
      <c r="V48">
        <v>45</v>
      </c>
      <c r="W48">
        <f t="shared" si="0"/>
        <v>0</v>
      </c>
      <c r="X48">
        <f t="shared" si="1"/>
        <v>0</v>
      </c>
      <c r="Y48">
        <f t="shared" si="2"/>
        <v>0</v>
      </c>
      <c r="AA48">
        <f>Baserun_Full!U47</f>
        <v>44</v>
      </c>
      <c r="AB48">
        <f>Baserun_Full!V47</f>
        <v>0</v>
      </c>
      <c r="AC48">
        <f>Baserun_Full!W47</f>
        <v>0</v>
      </c>
      <c r="AD48">
        <f>Baserun_Full!X47</f>
        <v>0</v>
      </c>
      <c r="AE48">
        <f>Baserun_Full!Y47</f>
        <v>0</v>
      </c>
      <c r="AF48">
        <f>Baserun_Full!Z47</f>
        <v>1</v>
      </c>
      <c r="AG48">
        <f>Aware_Full!V47</f>
        <v>7</v>
      </c>
      <c r="AH48">
        <f>Aware_Full!W47</f>
        <v>1</v>
      </c>
      <c r="AI48">
        <f>Aware_Full!X47</f>
        <v>1</v>
      </c>
      <c r="AJ48">
        <f>Aware_Full!Y47</f>
        <v>12</v>
      </c>
      <c r="AK48">
        <f>Aware_Full!Z47</f>
        <v>0</v>
      </c>
      <c r="AL48">
        <f>Learn_Full!V47</f>
        <v>6</v>
      </c>
      <c r="AM48">
        <f>Learn_Full!W47</f>
        <v>6</v>
      </c>
      <c r="AN48">
        <f>Learn_Full!X47</f>
        <v>0</v>
      </c>
      <c r="AO48">
        <f>Learn_Full!Y47</f>
        <v>0</v>
      </c>
      <c r="AP48">
        <f>Learn_Full!Z47</f>
        <v>0</v>
      </c>
      <c r="AQ48">
        <f>Rich_Full!V47</f>
        <v>0</v>
      </c>
      <c r="AR48">
        <f>Rich_Full!W47</f>
        <v>0</v>
      </c>
      <c r="AS48">
        <f>Rich_Full!X47</f>
        <v>0</v>
      </c>
      <c r="AT48">
        <f>Rich_Full!Y47</f>
        <v>0</v>
      </c>
      <c r="AU48">
        <f>Rich_Full!Z47</f>
        <v>0</v>
      </c>
      <c r="AW48">
        <f t="shared" si="3"/>
        <v>0</v>
      </c>
      <c r="AX48">
        <f t="shared" si="4"/>
        <v>0</v>
      </c>
      <c r="AY48">
        <f t="shared" si="5"/>
        <v>3.5</v>
      </c>
    </row>
    <row r="49" spans="1:51" x14ac:dyDescent="0.25">
      <c r="A49">
        <f>Baserun_Full!A48</f>
        <v>45</v>
      </c>
      <c r="B49">
        <f>Baserun_Full!B48</f>
        <v>0</v>
      </c>
      <c r="C49">
        <f>Baserun_Full!C48</f>
        <v>0</v>
      </c>
      <c r="D49">
        <f>Baserun_Full!D48</f>
        <v>0</v>
      </c>
      <c r="E49">
        <f>Baserun_Full!E48</f>
        <v>0</v>
      </c>
      <c r="F49">
        <f>Baserun_Full!F48</f>
        <v>0</v>
      </c>
      <c r="G49">
        <f>Aware_Full!B48</f>
        <v>0</v>
      </c>
      <c r="H49">
        <f>Aware_Full!C48</f>
        <v>0</v>
      </c>
      <c r="I49">
        <f>Aware_Full!D48</f>
        <v>0</v>
      </c>
      <c r="J49">
        <f>Aware_Full!E48</f>
        <v>1</v>
      </c>
      <c r="K49">
        <f>Aware_Full!F48</f>
        <v>0</v>
      </c>
      <c r="L49">
        <f>Learn_Full!B48</f>
        <v>0</v>
      </c>
      <c r="M49">
        <f>Learn_Full!C48</f>
        <v>0</v>
      </c>
      <c r="N49">
        <f>Learn_Full!D48</f>
        <v>0</v>
      </c>
      <c r="O49">
        <f>Learn_Full!E48</f>
        <v>0</v>
      </c>
      <c r="P49">
        <f>Learn_Full!F48</f>
        <v>0</v>
      </c>
      <c r="Q49">
        <f>Rich_Full!B48</f>
        <v>0</v>
      </c>
      <c r="R49">
        <f>Rich_Full!C48</f>
        <v>0</v>
      </c>
      <c r="S49">
        <f>Rich_Full!D48</f>
        <v>0</v>
      </c>
      <c r="T49">
        <f>Rich_Full!E48</f>
        <v>0</v>
      </c>
      <c r="U49">
        <f>Rich_Full!F48</f>
        <v>0</v>
      </c>
      <c r="V49">
        <v>46</v>
      </c>
      <c r="W49">
        <f t="shared" si="0"/>
        <v>0</v>
      </c>
      <c r="X49">
        <f t="shared" si="1"/>
        <v>0</v>
      </c>
      <c r="Y49">
        <f t="shared" si="2"/>
        <v>0</v>
      </c>
      <c r="AA49">
        <f>Baserun_Full!U48</f>
        <v>45</v>
      </c>
      <c r="AB49">
        <f>Baserun_Full!V48</f>
        <v>0</v>
      </c>
      <c r="AC49">
        <f>Baserun_Full!W48</f>
        <v>0</v>
      </c>
      <c r="AD49">
        <f>Baserun_Full!X48</f>
        <v>0</v>
      </c>
      <c r="AE49">
        <f>Baserun_Full!Y48</f>
        <v>0</v>
      </c>
      <c r="AF49">
        <f>Baserun_Full!Z48</f>
        <v>0</v>
      </c>
      <c r="AG49">
        <f>Aware_Full!V48</f>
        <v>5</v>
      </c>
      <c r="AH49">
        <f>Aware_Full!W48</f>
        <v>1</v>
      </c>
      <c r="AI49">
        <f>Aware_Full!X48</f>
        <v>1</v>
      </c>
      <c r="AJ49">
        <f>Aware_Full!Y48</f>
        <v>8</v>
      </c>
      <c r="AK49">
        <f>Aware_Full!Z48</f>
        <v>0</v>
      </c>
      <c r="AL49">
        <f>Learn_Full!V48</f>
        <v>3</v>
      </c>
      <c r="AM49">
        <f>Learn_Full!W48</f>
        <v>6</v>
      </c>
      <c r="AN49">
        <f>Learn_Full!X48</f>
        <v>0</v>
      </c>
      <c r="AO49">
        <f>Learn_Full!Y48</f>
        <v>0</v>
      </c>
      <c r="AP49">
        <f>Learn_Full!Z48</f>
        <v>0</v>
      </c>
      <c r="AQ49">
        <f>Rich_Full!V48</f>
        <v>0</v>
      </c>
      <c r="AR49">
        <f>Rich_Full!W48</f>
        <v>0</v>
      </c>
      <c r="AS49">
        <f>Rich_Full!X48</f>
        <v>0</v>
      </c>
      <c r="AT49">
        <f>Rich_Full!Y48</f>
        <v>0</v>
      </c>
      <c r="AU49">
        <f>Rich_Full!Z48</f>
        <v>0</v>
      </c>
      <c r="AW49">
        <f t="shared" si="3"/>
        <v>0</v>
      </c>
      <c r="AX49">
        <f t="shared" si="4"/>
        <v>0</v>
      </c>
      <c r="AY49">
        <f t="shared" si="5"/>
        <v>2</v>
      </c>
    </row>
    <row r="50" spans="1:51" x14ac:dyDescent="0.25">
      <c r="A50">
        <f>Baserun_Full!A49</f>
        <v>46</v>
      </c>
      <c r="B50">
        <f>Baserun_Full!B49</f>
        <v>0</v>
      </c>
      <c r="C50">
        <f>Baserun_Full!C49</f>
        <v>0</v>
      </c>
      <c r="D50">
        <f>Baserun_Full!D49</f>
        <v>0</v>
      </c>
      <c r="E50">
        <f>Baserun_Full!E49</f>
        <v>0</v>
      </c>
      <c r="F50">
        <f>Baserun_Full!F49</f>
        <v>0</v>
      </c>
      <c r="G50">
        <f>Aware_Full!B49</f>
        <v>0</v>
      </c>
      <c r="H50">
        <f>Aware_Full!C49</f>
        <v>0</v>
      </c>
      <c r="I50">
        <f>Aware_Full!D49</f>
        <v>0</v>
      </c>
      <c r="J50">
        <f>Aware_Full!E49</f>
        <v>0</v>
      </c>
      <c r="K50">
        <f>Aware_Full!F49</f>
        <v>0</v>
      </c>
      <c r="L50">
        <f>Learn_Full!B49</f>
        <v>1</v>
      </c>
      <c r="M50">
        <f>Learn_Full!C49</f>
        <v>2</v>
      </c>
      <c r="N50">
        <f>Learn_Full!D49</f>
        <v>0</v>
      </c>
      <c r="O50">
        <f>Learn_Full!E49</f>
        <v>0</v>
      </c>
      <c r="P50">
        <f>Learn_Full!F49</f>
        <v>0</v>
      </c>
      <c r="Q50">
        <f>Rich_Full!B49</f>
        <v>0</v>
      </c>
      <c r="R50">
        <f>Rich_Full!C49</f>
        <v>0</v>
      </c>
      <c r="S50">
        <f>Rich_Full!D49</f>
        <v>0</v>
      </c>
      <c r="T50">
        <f>Rich_Full!E49</f>
        <v>0</v>
      </c>
      <c r="U50">
        <f>Rich_Full!F49</f>
        <v>0</v>
      </c>
      <c r="V50">
        <v>47</v>
      </c>
      <c r="W50">
        <f t="shared" si="0"/>
        <v>0</v>
      </c>
      <c r="X50">
        <f t="shared" si="1"/>
        <v>0</v>
      </c>
      <c r="Y50">
        <f t="shared" si="2"/>
        <v>0</v>
      </c>
      <c r="AA50">
        <f>Baserun_Full!U49</f>
        <v>46</v>
      </c>
      <c r="AB50">
        <f>Baserun_Full!V49</f>
        <v>0</v>
      </c>
      <c r="AC50">
        <f>Baserun_Full!W49</f>
        <v>0</v>
      </c>
      <c r="AD50">
        <f>Baserun_Full!X49</f>
        <v>0</v>
      </c>
      <c r="AE50">
        <f>Baserun_Full!Y49</f>
        <v>0</v>
      </c>
      <c r="AF50">
        <f>Baserun_Full!Z49</f>
        <v>0</v>
      </c>
      <c r="AG50">
        <f>Aware_Full!V49</f>
        <v>4</v>
      </c>
      <c r="AH50">
        <f>Aware_Full!W49</f>
        <v>0</v>
      </c>
      <c r="AI50">
        <f>Aware_Full!X49</f>
        <v>1</v>
      </c>
      <c r="AJ50">
        <f>Aware_Full!Y49</f>
        <v>4</v>
      </c>
      <c r="AK50">
        <f>Aware_Full!Z49</f>
        <v>0</v>
      </c>
      <c r="AL50">
        <f>Learn_Full!V49</f>
        <v>4</v>
      </c>
      <c r="AM50">
        <f>Learn_Full!W49</f>
        <v>6</v>
      </c>
      <c r="AN50">
        <f>Learn_Full!X49</f>
        <v>0</v>
      </c>
      <c r="AO50">
        <f>Learn_Full!Y49</f>
        <v>0</v>
      </c>
      <c r="AP50">
        <f>Learn_Full!Z49</f>
        <v>0</v>
      </c>
      <c r="AQ50">
        <f>Rich_Full!V49</f>
        <v>0</v>
      </c>
      <c r="AR50">
        <f>Rich_Full!W49</f>
        <v>0</v>
      </c>
      <c r="AS50">
        <f>Rich_Full!X49</f>
        <v>0</v>
      </c>
      <c r="AT50">
        <f>Rich_Full!Y49</f>
        <v>0</v>
      </c>
      <c r="AU50">
        <f>Rich_Full!Z49</f>
        <v>0</v>
      </c>
      <c r="AW50">
        <f t="shared" si="3"/>
        <v>0</v>
      </c>
      <c r="AX50">
        <f t="shared" si="4"/>
        <v>0</v>
      </c>
      <c r="AY50">
        <f t="shared" si="5"/>
        <v>2.5</v>
      </c>
    </row>
    <row r="51" spans="1:51" x14ac:dyDescent="0.25">
      <c r="A51">
        <f>Baserun_Full!A50</f>
        <v>47</v>
      </c>
      <c r="B51">
        <f>Baserun_Full!B50</f>
        <v>0</v>
      </c>
      <c r="C51">
        <f>Baserun_Full!C50</f>
        <v>0</v>
      </c>
      <c r="D51">
        <f>Baserun_Full!D50</f>
        <v>0</v>
      </c>
      <c r="E51">
        <f>Baserun_Full!E50</f>
        <v>0</v>
      </c>
      <c r="F51">
        <f>Baserun_Full!F50</f>
        <v>0</v>
      </c>
      <c r="G51">
        <f>Aware_Full!B50</f>
        <v>0</v>
      </c>
      <c r="H51">
        <f>Aware_Full!C50</f>
        <v>0</v>
      </c>
      <c r="I51">
        <f>Aware_Full!D50</f>
        <v>1</v>
      </c>
      <c r="J51">
        <f>Aware_Full!E50</f>
        <v>1</v>
      </c>
      <c r="K51">
        <f>Aware_Full!F50</f>
        <v>0</v>
      </c>
      <c r="L51">
        <f>Learn_Full!B50</f>
        <v>2</v>
      </c>
      <c r="M51">
        <f>Learn_Full!C50</f>
        <v>0</v>
      </c>
      <c r="N51">
        <f>Learn_Full!D50</f>
        <v>0</v>
      </c>
      <c r="O51">
        <f>Learn_Full!E50</f>
        <v>0</v>
      </c>
      <c r="P51">
        <f>Learn_Full!F50</f>
        <v>0</v>
      </c>
      <c r="Q51">
        <f>Rich_Full!B50</f>
        <v>0</v>
      </c>
      <c r="R51">
        <f>Rich_Full!C50</f>
        <v>0</v>
      </c>
      <c r="S51">
        <f>Rich_Full!D50</f>
        <v>0</v>
      </c>
      <c r="T51">
        <f>Rich_Full!E50</f>
        <v>0</v>
      </c>
      <c r="U51">
        <f>Rich_Full!F50</f>
        <v>0</v>
      </c>
      <c r="V51">
        <v>48</v>
      </c>
      <c r="W51">
        <f t="shared" si="0"/>
        <v>0</v>
      </c>
      <c r="X51">
        <f t="shared" si="1"/>
        <v>0</v>
      </c>
      <c r="Y51">
        <f t="shared" si="2"/>
        <v>0</v>
      </c>
      <c r="AA51">
        <f>Baserun_Full!U50</f>
        <v>47</v>
      </c>
      <c r="AB51">
        <f>Baserun_Full!V50</f>
        <v>0</v>
      </c>
      <c r="AC51">
        <f>Baserun_Full!W50</f>
        <v>0</v>
      </c>
      <c r="AD51">
        <f>Baserun_Full!X50</f>
        <v>0</v>
      </c>
      <c r="AE51">
        <f>Baserun_Full!Y50</f>
        <v>0</v>
      </c>
      <c r="AF51">
        <f>Baserun_Full!Z50</f>
        <v>0</v>
      </c>
      <c r="AG51">
        <f>Aware_Full!V50</f>
        <v>2</v>
      </c>
      <c r="AH51">
        <f>Aware_Full!W50</f>
        <v>0</v>
      </c>
      <c r="AI51">
        <f>Aware_Full!X50</f>
        <v>1</v>
      </c>
      <c r="AJ51">
        <f>Aware_Full!Y50</f>
        <v>2</v>
      </c>
      <c r="AK51">
        <f>Aware_Full!Z50</f>
        <v>0</v>
      </c>
      <c r="AL51">
        <f>Learn_Full!V50</f>
        <v>4</v>
      </c>
      <c r="AM51">
        <f>Learn_Full!W50</f>
        <v>3</v>
      </c>
      <c r="AN51">
        <f>Learn_Full!X50</f>
        <v>0</v>
      </c>
      <c r="AO51">
        <f>Learn_Full!Y50</f>
        <v>0</v>
      </c>
      <c r="AP51">
        <f>Learn_Full!Z50</f>
        <v>0</v>
      </c>
      <c r="AQ51">
        <f>Rich_Full!V50</f>
        <v>0</v>
      </c>
      <c r="AR51">
        <f>Rich_Full!W50</f>
        <v>0</v>
      </c>
      <c r="AS51">
        <f>Rich_Full!X50</f>
        <v>0</v>
      </c>
      <c r="AT51">
        <f>Rich_Full!Y50</f>
        <v>0</v>
      </c>
      <c r="AU51">
        <f>Rich_Full!Z50</f>
        <v>0</v>
      </c>
      <c r="AW51">
        <f t="shared" si="3"/>
        <v>0</v>
      </c>
      <c r="AX51">
        <f t="shared" si="4"/>
        <v>0</v>
      </c>
      <c r="AY51">
        <f t="shared" si="5"/>
        <v>1.5</v>
      </c>
    </row>
    <row r="52" spans="1:51" x14ac:dyDescent="0.25">
      <c r="A52">
        <f>Baserun_Full!A51</f>
        <v>48</v>
      </c>
      <c r="B52">
        <f>Baserun_Full!B51</f>
        <v>0</v>
      </c>
      <c r="C52">
        <f>Baserun_Full!C51</f>
        <v>0</v>
      </c>
      <c r="D52">
        <f>Baserun_Full!D51</f>
        <v>0</v>
      </c>
      <c r="E52">
        <f>Baserun_Full!E51</f>
        <v>0</v>
      </c>
      <c r="F52">
        <f>Baserun_Full!F51</f>
        <v>0</v>
      </c>
      <c r="G52">
        <f>Aware_Full!B51</f>
        <v>0</v>
      </c>
      <c r="H52">
        <f>Aware_Full!C51</f>
        <v>0</v>
      </c>
      <c r="I52">
        <f>Aware_Full!D51</f>
        <v>0</v>
      </c>
      <c r="J52">
        <f>Aware_Full!E51</f>
        <v>0</v>
      </c>
      <c r="K52">
        <f>Aware_Full!F51</f>
        <v>0</v>
      </c>
      <c r="L52">
        <f>Learn_Full!B51</f>
        <v>0</v>
      </c>
      <c r="M52">
        <f>Learn_Full!C51</f>
        <v>4</v>
      </c>
      <c r="N52">
        <f>Learn_Full!D51</f>
        <v>0</v>
      </c>
      <c r="O52">
        <f>Learn_Full!E51</f>
        <v>0</v>
      </c>
      <c r="P52">
        <f>Learn_Full!F51</f>
        <v>0</v>
      </c>
      <c r="Q52">
        <f>Rich_Full!B51</f>
        <v>0</v>
      </c>
      <c r="R52">
        <f>Rich_Full!C51</f>
        <v>0</v>
      </c>
      <c r="S52">
        <f>Rich_Full!D51</f>
        <v>0</v>
      </c>
      <c r="T52">
        <f>Rich_Full!E51</f>
        <v>0</v>
      </c>
      <c r="U52">
        <f>Rich_Full!F51</f>
        <v>0</v>
      </c>
      <c r="V52">
        <v>49</v>
      </c>
      <c r="W52">
        <f t="shared" si="0"/>
        <v>0</v>
      </c>
      <c r="X52">
        <f t="shared" si="1"/>
        <v>0</v>
      </c>
      <c r="Y52">
        <f t="shared" si="2"/>
        <v>0</v>
      </c>
      <c r="AA52">
        <f>Baserun_Full!U51</f>
        <v>48</v>
      </c>
      <c r="AB52">
        <f>Baserun_Full!V51</f>
        <v>0</v>
      </c>
      <c r="AC52">
        <f>Baserun_Full!W51</f>
        <v>0</v>
      </c>
      <c r="AD52">
        <f>Baserun_Full!X51</f>
        <v>0</v>
      </c>
      <c r="AE52">
        <f>Baserun_Full!Y51</f>
        <v>0</v>
      </c>
      <c r="AF52">
        <f>Baserun_Full!Z51</f>
        <v>0</v>
      </c>
      <c r="AG52">
        <f>Aware_Full!V51</f>
        <v>1</v>
      </c>
      <c r="AH52">
        <f>Aware_Full!W51</f>
        <v>0</v>
      </c>
      <c r="AI52">
        <f>Aware_Full!X51</f>
        <v>1</v>
      </c>
      <c r="AJ52">
        <f>Aware_Full!Y51</f>
        <v>2</v>
      </c>
      <c r="AK52">
        <f>Aware_Full!Z51</f>
        <v>0</v>
      </c>
      <c r="AL52">
        <f>Learn_Full!V51</f>
        <v>4</v>
      </c>
      <c r="AM52">
        <f>Learn_Full!W51</f>
        <v>7</v>
      </c>
      <c r="AN52">
        <f>Learn_Full!X51</f>
        <v>0</v>
      </c>
      <c r="AO52">
        <f>Learn_Full!Y51</f>
        <v>0</v>
      </c>
      <c r="AP52">
        <f>Learn_Full!Z51</f>
        <v>0</v>
      </c>
      <c r="AQ52">
        <f>Rich_Full!V51</f>
        <v>0</v>
      </c>
      <c r="AR52">
        <f>Rich_Full!W51</f>
        <v>0</v>
      </c>
      <c r="AS52">
        <f>Rich_Full!X51</f>
        <v>0</v>
      </c>
      <c r="AT52">
        <f>Rich_Full!Y51</f>
        <v>0</v>
      </c>
      <c r="AU52">
        <f>Rich_Full!Z51</f>
        <v>0</v>
      </c>
      <c r="AW52">
        <f t="shared" si="3"/>
        <v>0</v>
      </c>
      <c r="AX52">
        <f t="shared" si="4"/>
        <v>0</v>
      </c>
      <c r="AY52">
        <f t="shared" si="5"/>
        <v>1</v>
      </c>
    </row>
    <row r="53" spans="1:51" x14ac:dyDescent="0.25">
      <c r="A53">
        <f>Baserun_Full!A52</f>
        <v>49</v>
      </c>
      <c r="B53">
        <f>Baserun_Full!B52</f>
        <v>0</v>
      </c>
      <c r="C53">
        <f>Baserun_Full!C52</f>
        <v>0</v>
      </c>
      <c r="D53">
        <f>Baserun_Full!D52</f>
        <v>0</v>
      </c>
      <c r="E53">
        <f>Baserun_Full!E52</f>
        <v>0</v>
      </c>
      <c r="F53">
        <f>Baserun_Full!F52</f>
        <v>0</v>
      </c>
      <c r="G53">
        <f>Aware_Full!B52</f>
        <v>0</v>
      </c>
      <c r="H53">
        <f>Aware_Full!C52</f>
        <v>0</v>
      </c>
      <c r="I53">
        <f>Aware_Full!D52</f>
        <v>0</v>
      </c>
      <c r="J53">
        <f>Aware_Full!E52</f>
        <v>0</v>
      </c>
      <c r="K53">
        <f>Aware_Full!F52</f>
        <v>0</v>
      </c>
      <c r="L53">
        <f>Learn_Full!B52</f>
        <v>0</v>
      </c>
      <c r="M53">
        <f>Learn_Full!C52</f>
        <v>2</v>
      </c>
      <c r="N53">
        <f>Learn_Full!D52</f>
        <v>0</v>
      </c>
      <c r="O53">
        <f>Learn_Full!E52</f>
        <v>0</v>
      </c>
      <c r="P53">
        <f>Learn_Full!F52</f>
        <v>0</v>
      </c>
      <c r="Q53">
        <f>Rich_Full!B52</f>
        <v>0</v>
      </c>
      <c r="R53">
        <f>Rich_Full!C52</f>
        <v>0</v>
      </c>
      <c r="S53">
        <f>Rich_Full!D52</f>
        <v>0</v>
      </c>
      <c r="T53">
        <f>Rich_Full!E52</f>
        <v>0</v>
      </c>
      <c r="U53">
        <f>Rich_Full!F52</f>
        <v>0</v>
      </c>
      <c r="V53">
        <v>50</v>
      </c>
      <c r="W53">
        <f t="shared" si="0"/>
        <v>0</v>
      </c>
      <c r="X53">
        <f t="shared" si="1"/>
        <v>0</v>
      </c>
      <c r="Y53">
        <f t="shared" si="2"/>
        <v>0</v>
      </c>
      <c r="AA53">
        <f>Baserun_Full!U52</f>
        <v>49</v>
      </c>
      <c r="AB53">
        <f>Baserun_Full!V52</f>
        <v>0</v>
      </c>
      <c r="AC53">
        <f>Baserun_Full!W52</f>
        <v>0</v>
      </c>
      <c r="AD53">
        <f>Baserun_Full!X52</f>
        <v>0</v>
      </c>
      <c r="AE53">
        <f>Baserun_Full!Y52</f>
        <v>0</v>
      </c>
      <c r="AF53">
        <f>Baserun_Full!Z52</f>
        <v>0</v>
      </c>
      <c r="AG53">
        <f>Aware_Full!V52</f>
        <v>1</v>
      </c>
      <c r="AH53">
        <f>Aware_Full!W52</f>
        <v>0</v>
      </c>
      <c r="AI53">
        <f>Aware_Full!X52</f>
        <v>1</v>
      </c>
      <c r="AJ53">
        <f>Aware_Full!Y52</f>
        <v>2</v>
      </c>
      <c r="AK53">
        <f>Aware_Full!Z52</f>
        <v>0</v>
      </c>
      <c r="AL53">
        <f>Learn_Full!V52</f>
        <v>4</v>
      </c>
      <c r="AM53">
        <f>Learn_Full!W52</f>
        <v>8</v>
      </c>
      <c r="AN53">
        <f>Learn_Full!X52</f>
        <v>0</v>
      </c>
      <c r="AO53">
        <f>Learn_Full!Y52</f>
        <v>0</v>
      </c>
      <c r="AP53">
        <f>Learn_Full!Z52</f>
        <v>0</v>
      </c>
      <c r="AQ53">
        <f>Rich_Full!V52</f>
        <v>0</v>
      </c>
      <c r="AR53">
        <f>Rich_Full!W52</f>
        <v>0</v>
      </c>
      <c r="AS53">
        <f>Rich_Full!X52</f>
        <v>0</v>
      </c>
      <c r="AT53">
        <f>Rich_Full!Y52</f>
        <v>0</v>
      </c>
      <c r="AU53">
        <f>Rich_Full!Z52</f>
        <v>0</v>
      </c>
      <c r="AW53">
        <f t="shared" si="3"/>
        <v>0</v>
      </c>
      <c r="AX53">
        <f t="shared" si="4"/>
        <v>0</v>
      </c>
      <c r="AY53">
        <f t="shared" si="5"/>
        <v>1</v>
      </c>
    </row>
    <row r="54" spans="1:51" x14ac:dyDescent="0.25">
      <c r="A54" t="str">
        <f>Baserun_Full!A53</f>
        <v>Sum</v>
      </c>
      <c r="B54">
        <f>Baserun_Full!B53</f>
        <v>71</v>
      </c>
      <c r="C54">
        <f>Baserun_Full!C53</f>
        <v>60</v>
      </c>
      <c r="D54">
        <f>Baserun_Full!D53</f>
        <v>51</v>
      </c>
      <c r="E54">
        <f>Baserun_Full!E53</f>
        <v>73</v>
      </c>
      <c r="F54">
        <f>Baserun_Full!F53</f>
        <v>71</v>
      </c>
      <c r="G54">
        <f>Aware_Full!B53</f>
        <v>70</v>
      </c>
      <c r="H54">
        <f>Aware_Full!C53</f>
        <v>69</v>
      </c>
      <c r="I54">
        <f>Aware_Full!D53</f>
        <v>66</v>
      </c>
      <c r="J54">
        <f>Aware_Full!E53</f>
        <v>72</v>
      </c>
      <c r="K54">
        <f>Aware_Full!F53</f>
        <v>54</v>
      </c>
      <c r="L54">
        <f>Learn_Full!B53</f>
        <v>78</v>
      </c>
      <c r="M54">
        <f>Learn_Full!C53</f>
        <v>70</v>
      </c>
      <c r="N54">
        <f>Learn_Full!D53</f>
        <v>52</v>
      </c>
      <c r="O54">
        <f>Learn_Full!E53</f>
        <v>71</v>
      </c>
      <c r="P54">
        <f>Learn_Full!F53</f>
        <v>67</v>
      </c>
      <c r="Q54">
        <f>Rich_Full!B53</f>
        <v>76</v>
      </c>
      <c r="R54">
        <f>Rich_Full!C53</f>
        <v>77</v>
      </c>
      <c r="S54">
        <f>Rich_Full!D53</f>
        <v>80</v>
      </c>
      <c r="T54">
        <f>Rich_Full!E53</f>
        <v>83</v>
      </c>
      <c r="U54">
        <f>Rich_Full!F53</f>
        <v>83</v>
      </c>
      <c r="W54">
        <f t="shared" si="0"/>
        <v>63</v>
      </c>
      <c r="X54">
        <f t="shared" si="1"/>
        <v>70</v>
      </c>
      <c r="Y54">
        <f t="shared" si="2"/>
        <v>71</v>
      </c>
      <c r="AA54" t="str">
        <f>Baserun_Full!U53</f>
        <v>Sum</v>
      </c>
      <c r="AB54">
        <f>Baserun_Full!V53</f>
        <v>426</v>
      </c>
      <c r="AC54">
        <f>Baserun_Full!W53</f>
        <v>360</v>
      </c>
      <c r="AD54">
        <f>Baserun_Full!X53</f>
        <v>306</v>
      </c>
      <c r="AE54">
        <f>Baserun_Full!Y53</f>
        <v>438</v>
      </c>
      <c r="AF54">
        <f>Baserun_Full!Z53</f>
        <v>426</v>
      </c>
      <c r="AG54">
        <f>Aware_Full!V53</f>
        <v>420</v>
      </c>
      <c r="AH54">
        <f>Aware_Full!W53</f>
        <v>414</v>
      </c>
      <c r="AI54">
        <f>Aware_Full!X53</f>
        <v>393</v>
      </c>
      <c r="AJ54">
        <f>Aware_Full!Y53</f>
        <v>428</v>
      </c>
      <c r="AK54">
        <f>Aware_Full!Z53</f>
        <v>324</v>
      </c>
      <c r="AL54">
        <f>Learn_Full!V53</f>
        <v>460</v>
      </c>
      <c r="AM54">
        <f>Learn_Full!W53</f>
        <v>390</v>
      </c>
      <c r="AN54">
        <f>Learn_Full!X53</f>
        <v>312</v>
      </c>
      <c r="AO54">
        <f>Learn_Full!Y53</f>
        <v>426</v>
      </c>
      <c r="AP54">
        <f>Learn_Full!Z53</f>
        <v>402</v>
      </c>
      <c r="AQ54">
        <f>Rich_Full!V53</f>
        <v>456</v>
      </c>
      <c r="AR54">
        <f>Rich_Full!W53</f>
        <v>462</v>
      </c>
      <c r="AS54">
        <f>Rich_Full!X53</f>
        <v>480</v>
      </c>
      <c r="AT54">
        <f>Rich_Full!Y53</f>
        <v>498</v>
      </c>
      <c r="AU54">
        <f>Rich_Full!Z53</f>
        <v>498</v>
      </c>
      <c r="AW54">
        <f t="shared" si="3"/>
        <v>375</v>
      </c>
      <c r="AX54">
        <f t="shared" si="4"/>
        <v>414</v>
      </c>
      <c r="AY54">
        <f t="shared" si="5"/>
        <v>426</v>
      </c>
    </row>
  </sheetData>
  <mergeCells count="10">
    <mergeCell ref="B2:F2"/>
    <mergeCell ref="G2:K2"/>
    <mergeCell ref="L2:P2"/>
    <mergeCell ref="Q2:U2"/>
    <mergeCell ref="A1:Y1"/>
    <mergeCell ref="AA1:AY1"/>
    <mergeCell ref="AB2:AF2"/>
    <mergeCell ref="AG2:AK2"/>
    <mergeCell ref="AL2:AP2"/>
    <mergeCell ref="AQ2:AU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881-D3DA-4354-B067-BEBD363A7B9D}">
  <dimension ref="A1:AM55"/>
  <sheetViews>
    <sheetView zoomScale="70" zoomScaleNormal="70" workbookViewId="0">
      <selection activeCell="AM3" sqref="AM3"/>
    </sheetView>
  </sheetViews>
  <sheetFormatPr defaultRowHeight="15" x14ac:dyDescent="0.25"/>
  <sheetData>
    <row r="1" spans="1:39" x14ac:dyDescent="0.25">
      <c r="B1" s="7" t="s">
        <v>11</v>
      </c>
      <c r="C1" s="7"/>
      <c r="D1" s="7"/>
      <c r="E1" s="7"/>
      <c r="F1" s="7"/>
      <c r="L1" s="7" t="s">
        <v>15</v>
      </c>
      <c r="M1" s="7"/>
      <c r="N1" s="7"/>
      <c r="O1" s="7"/>
      <c r="P1" s="7"/>
      <c r="V1" s="7" t="s">
        <v>2</v>
      </c>
      <c r="W1" s="7"/>
      <c r="X1" s="7"/>
      <c r="Y1" s="7"/>
      <c r="Z1" s="7"/>
      <c r="AF1" s="7" t="s">
        <v>73</v>
      </c>
      <c r="AG1" s="7"/>
      <c r="AH1" s="7"/>
      <c r="AI1" s="7"/>
      <c r="AJ1" s="7"/>
    </row>
    <row r="2" spans="1:39" x14ac:dyDescent="0.25">
      <c r="A2" t="s">
        <v>10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21</v>
      </c>
      <c r="H2" t="s">
        <v>22</v>
      </c>
      <c r="I2" t="s">
        <v>23</v>
      </c>
      <c r="K2" t="s">
        <v>10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29</v>
      </c>
      <c r="R2" t="s">
        <v>30</v>
      </c>
      <c r="S2" t="s">
        <v>31</v>
      </c>
      <c r="U2" t="s">
        <v>10</v>
      </c>
      <c r="V2" t="s">
        <v>75</v>
      </c>
      <c r="W2" t="s">
        <v>76</v>
      </c>
      <c r="X2" t="s">
        <v>77</v>
      </c>
      <c r="Y2" t="s">
        <v>78</v>
      </c>
      <c r="Z2" t="s">
        <v>79</v>
      </c>
      <c r="AA2" t="s">
        <v>90</v>
      </c>
      <c r="AB2" t="s">
        <v>91</v>
      </c>
      <c r="AC2" t="s">
        <v>92</v>
      </c>
      <c r="AE2" t="s">
        <v>10</v>
      </c>
      <c r="AF2" t="s">
        <v>80</v>
      </c>
      <c r="AG2" t="s">
        <v>81</v>
      </c>
      <c r="AH2" t="s">
        <v>82</v>
      </c>
      <c r="AI2" t="s">
        <v>83</v>
      </c>
      <c r="AJ2" t="s">
        <v>84</v>
      </c>
      <c r="AK2" t="s">
        <v>98</v>
      </c>
      <c r="AL2" t="s">
        <v>99</v>
      </c>
      <c r="AM2" t="s">
        <v>100</v>
      </c>
    </row>
    <row r="3" spans="1:39" x14ac:dyDescent="0.25">
      <c r="A3">
        <v>0</v>
      </c>
      <c r="B3">
        <f>Baserun1!H2</f>
        <v>2</v>
      </c>
      <c r="C3">
        <f>Baserun2!H2</f>
        <v>2</v>
      </c>
      <c r="D3">
        <f>Baserun3!H2</f>
        <v>2</v>
      </c>
      <c r="E3">
        <f>Baserun4!H2</f>
        <v>2</v>
      </c>
      <c r="F3">
        <f>Baserun5!H2</f>
        <v>2</v>
      </c>
      <c r="G3">
        <f>MIN(B3:F3)</f>
        <v>2</v>
      </c>
      <c r="H3">
        <f>AVERAGE(B3:F3)</f>
        <v>2</v>
      </c>
      <c r="I3">
        <f>MAX(B3:F3)</f>
        <v>2</v>
      </c>
      <c r="K3">
        <v>0</v>
      </c>
      <c r="L3">
        <f>Baserun1!$G2</f>
        <v>100</v>
      </c>
      <c r="M3">
        <f>Baserun2!$G2</f>
        <v>100</v>
      </c>
      <c r="N3">
        <f>Baserun3!$G2</f>
        <v>100</v>
      </c>
      <c r="O3">
        <f>Baserun4!$G2</f>
        <v>100</v>
      </c>
      <c r="P3">
        <f>Baserun5!$G2</f>
        <v>100</v>
      </c>
      <c r="Q3">
        <f>MIN(L3:P3)</f>
        <v>100</v>
      </c>
      <c r="R3">
        <f>AVERAGE(L3:P3)</f>
        <v>100</v>
      </c>
      <c r="S3">
        <f>MAX(L3:P3)</f>
        <v>100</v>
      </c>
      <c r="U3">
        <v>0</v>
      </c>
      <c r="V3">
        <f>Baserun1!D2</f>
        <v>2</v>
      </c>
      <c r="W3">
        <f>Baserun2!D2</f>
        <v>2</v>
      </c>
      <c r="X3">
        <f>Baserun3!D2</f>
        <v>2</v>
      </c>
      <c r="Y3">
        <f>Baserun4!D2</f>
        <v>2</v>
      </c>
      <c r="Z3">
        <f>Baserun5!D2</f>
        <v>2</v>
      </c>
      <c r="AA3">
        <f>MIN(V3:Z3)</f>
        <v>2</v>
      </c>
      <c r="AB3">
        <f>AVERAGE(V3:Z3)</f>
        <v>2</v>
      </c>
      <c r="AC3">
        <f>MAX(V3:Z3)</f>
        <v>2</v>
      </c>
      <c r="AE3">
        <v>0</v>
      </c>
      <c r="AF3">
        <f>L3</f>
        <v>100</v>
      </c>
      <c r="AG3">
        <f t="shared" ref="AG3:AJ3" si="0">M3</f>
        <v>100</v>
      </c>
      <c r="AH3">
        <f t="shared" si="0"/>
        <v>100</v>
      </c>
      <c r="AI3">
        <f t="shared" si="0"/>
        <v>100</v>
      </c>
      <c r="AJ3">
        <f t="shared" si="0"/>
        <v>100</v>
      </c>
      <c r="AK3">
        <f>MIN(AF3:AJ3)</f>
        <v>100</v>
      </c>
      <c r="AL3">
        <f>AVERAGE(AF3:AJ3)</f>
        <v>100</v>
      </c>
      <c r="AM3">
        <f>MAX(AF3:AJ3)</f>
        <v>100</v>
      </c>
    </row>
    <row r="4" spans="1:39" x14ac:dyDescent="0.25">
      <c r="A4">
        <v>1</v>
      </c>
      <c r="B4">
        <f>Baserun1!H3</f>
        <v>0</v>
      </c>
      <c r="C4">
        <f>Baserun2!H3</f>
        <v>4</v>
      </c>
      <c r="D4">
        <f>Baserun3!H3</f>
        <v>1</v>
      </c>
      <c r="E4">
        <f>Baserun4!H3</f>
        <v>3</v>
      </c>
      <c r="F4">
        <f>Baserun5!H3</f>
        <v>1</v>
      </c>
      <c r="G4">
        <f t="shared" ref="G4:G52" si="1">MIN(B4:F4)</f>
        <v>0</v>
      </c>
      <c r="H4">
        <f t="shared" ref="H4:H52" si="2">AVERAGE(B4:F4)</f>
        <v>1.8</v>
      </c>
      <c r="I4">
        <f t="shared" ref="I4:I52" si="3">MAX(B4:F4)</f>
        <v>4</v>
      </c>
      <c r="K4">
        <v>1</v>
      </c>
      <c r="L4">
        <f>Baserun1!$G3</f>
        <v>100</v>
      </c>
      <c r="M4">
        <f>Baserun2!$G3</f>
        <v>100</v>
      </c>
      <c r="N4">
        <f>Baserun3!$G3</f>
        <v>100</v>
      </c>
      <c r="O4">
        <f>Baserun4!$G3</f>
        <v>100</v>
      </c>
      <c r="P4">
        <f>Baserun5!$G3</f>
        <v>99</v>
      </c>
      <c r="Q4">
        <f t="shared" ref="Q4:Q52" si="4">MIN(L4:P4)</f>
        <v>99</v>
      </c>
      <c r="R4">
        <f t="shared" ref="R4:R53" si="5">AVERAGE(L4:P4)</f>
        <v>99.8</v>
      </c>
      <c r="S4">
        <f t="shared" ref="S4:S53" si="6">MAX(L4:P4)</f>
        <v>100</v>
      </c>
      <c r="U4">
        <v>1</v>
      </c>
      <c r="V4">
        <f>Baserun1!D3</f>
        <v>2</v>
      </c>
      <c r="W4">
        <f>Baserun2!D3</f>
        <v>6</v>
      </c>
      <c r="X4">
        <f>Baserun3!D3</f>
        <v>3</v>
      </c>
      <c r="Y4">
        <f>Baserun4!D3</f>
        <v>5</v>
      </c>
      <c r="Z4">
        <f>Baserun5!D3</f>
        <v>3</v>
      </c>
      <c r="AA4">
        <f t="shared" ref="AA4:AA52" si="7">MIN(V4:Z4)</f>
        <v>2</v>
      </c>
      <c r="AB4">
        <f t="shared" ref="AB4:AB52" si="8">AVERAGE(V4:Z4)</f>
        <v>3.8</v>
      </c>
      <c r="AC4">
        <f t="shared" ref="AC4:AC52" si="9">MAX(V4:Z4)</f>
        <v>6</v>
      </c>
      <c r="AE4">
        <v>1</v>
      </c>
      <c r="AF4">
        <f>AVERAGE(L3:L4)</f>
        <v>100</v>
      </c>
      <c r="AG4">
        <f t="shared" ref="AG4:AJ4" si="10">AVERAGE(M3:M4)</f>
        <v>100</v>
      </c>
      <c r="AH4">
        <f t="shared" si="10"/>
        <v>100</v>
      </c>
      <c r="AI4">
        <f t="shared" si="10"/>
        <v>100</v>
      </c>
      <c r="AJ4">
        <f t="shared" si="10"/>
        <v>99.5</v>
      </c>
      <c r="AK4">
        <f t="shared" ref="AK4:AK52" si="11">MIN(AF4:AJ4)</f>
        <v>99.5</v>
      </c>
      <c r="AL4">
        <f t="shared" ref="AL4:AL52" si="12">AVERAGE(AF4:AJ4)</f>
        <v>99.9</v>
      </c>
      <c r="AM4">
        <f t="shared" ref="AM4:AM52" si="13">MAX(AF4:AJ4)</f>
        <v>100</v>
      </c>
    </row>
    <row r="5" spans="1:39" x14ac:dyDescent="0.25">
      <c r="A5">
        <v>2</v>
      </c>
      <c r="B5">
        <f>Baserun1!H4</f>
        <v>5</v>
      </c>
      <c r="C5">
        <f>Baserun2!H4</f>
        <v>9</v>
      </c>
      <c r="D5">
        <f>Baserun3!H4</f>
        <v>3</v>
      </c>
      <c r="E5">
        <f>Baserun4!H4</f>
        <v>4</v>
      </c>
      <c r="F5">
        <f>Baserun5!H4</f>
        <v>2</v>
      </c>
      <c r="G5">
        <f t="shared" si="1"/>
        <v>2</v>
      </c>
      <c r="H5">
        <f t="shared" si="2"/>
        <v>4.5999999999999996</v>
      </c>
      <c r="I5">
        <f t="shared" si="3"/>
        <v>9</v>
      </c>
      <c r="K5">
        <v>2</v>
      </c>
      <c r="L5">
        <f>Baserun1!$G4</f>
        <v>100</v>
      </c>
      <c r="M5">
        <f>Baserun2!$G4</f>
        <v>100</v>
      </c>
      <c r="N5">
        <f>Baserun3!$G4</f>
        <v>100</v>
      </c>
      <c r="O5">
        <f>Baserun4!$G4</f>
        <v>100</v>
      </c>
      <c r="P5">
        <f>Baserun5!$G4</f>
        <v>99</v>
      </c>
      <c r="Q5">
        <f t="shared" si="4"/>
        <v>99</v>
      </c>
      <c r="R5">
        <f t="shared" si="5"/>
        <v>99.8</v>
      </c>
      <c r="S5">
        <f t="shared" si="6"/>
        <v>100</v>
      </c>
      <c r="U5">
        <v>2</v>
      </c>
      <c r="V5">
        <f>Baserun1!D4</f>
        <v>7</v>
      </c>
      <c r="W5">
        <f>Baserun2!D4</f>
        <v>15</v>
      </c>
      <c r="X5">
        <f>Baserun3!D4</f>
        <v>6</v>
      </c>
      <c r="Y5">
        <f>Baserun4!D4</f>
        <v>9</v>
      </c>
      <c r="Z5">
        <f>Baserun5!D4</f>
        <v>5</v>
      </c>
      <c r="AA5">
        <f t="shared" si="7"/>
        <v>5</v>
      </c>
      <c r="AB5">
        <f t="shared" si="8"/>
        <v>8.4</v>
      </c>
      <c r="AC5">
        <f t="shared" si="9"/>
        <v>15</v>
      </c>
      <c r="AE5">
        <v>2</v>
      </c>
      <c r="AF5">
        <f>AVERAGE(L3:L5)</f>
        <v>100</v>
      </c>
      <c r="AG5">
        <f t="shared" ref="AG5:AJ5" si="14">AVERAGE(M3:M5)</f>
        <v>100</v>
      </c>
      <c r="AH5">
        <f t="shared" si="14"/>
        <v>100</v>
      </c>
      <c r="AI5">
        <f t="shared" si="14"/>
        <v>100</v>
      </c>
      <c r="AJ5">
        <f t="shared" si="14"/>
        <v>99.333333333333329</v>
      </c>
      <c r="AK5">
        <f t="shared" si="11"/>
        <v>99.333333333333329</v>
      </c>
      <c r="AL5">
        <f t="shared" si="12"/>
        <v>99.86666666666666</v>
      </c>
      <c r="AM5">
        <f t="shared" si="13"/>
        <v>100</v>
      </c>
    </row>
    <row r="6" spans="1:39" x14ac:dyDescent="0.25">
      <c r="A6">
        <v>3</v>
      </c>
      <c r="B6">
        <f>Baserun1!H5</f>
        <v>8</v>
      </c>
      <c r="C6">
        <f>Baserun2!H5</f>
        <v>10</v>
      </c>
      <c r="D6">
        <f>Baserun3!H5</f>
        <v>3</v>
      </c>
      <c r="E6">
        <f>Baserun4!H5</f>
        <v>6</v>
      </c>
      <c r="F6">
        <f>Baserun5!H5</f>
        <v>6</v>
      </c>
      <c r="G6">
        <f t="shared" si="1"/>
        <v>3</v>
      </c>
      <c r="H6">
        <f t="shared" si="2"/>
        <v>6.6</v>
      </c>
      <c r="I6">
        <f t="shared" si="3"/>
        <v>10</v>
      </c>
      <c r="K6">
        <v>3</v>
      </c>
      <c r="L6">
        <f>Baserun1!$G5</f>
        <v>100</v>
      </c>
      <c r="M6">
        <f>Baserun2!$G5</f>
        <v>99</v>
      </c>
      <c r="N6">
        <f>Baserun3!$G5</f>
        <v>99</v>
      </c>
      <c r="O6">
        <f>Baserun4!$G5</f>
        <v>99</v>
      </c>
      <c r="P6">
        <f>Baserun5!$G5</f>
        <v>99</v>
      </c>
      <c r="Q6">
        <f t="shared" si="4"/>
        <v>99</v>
      </c>
      <c r="R6">
        <f t="shared" si="5"/>
        <v>99.2</v>
      </c>
      <c r="S6">
        <f t="shared" si="6"/>
        <v>100</v>
      </c>
      <c r="U6">
        <v>3</v>
      </c>
      <c r="V6">
        <f>Baserun1!D5</f>
        <v>15</v>
      </c>
      <c r="W6">
        <f>Baserun2!D5</f>
        <v>25</v>
      </c>
      <c r="X6">
        <f>Baserun3!D5</f>
        <v>9</v>
      </c>
      <c r="Y6">
        <f>Baserun4!D5</f>
        <v>15</v>
      </c>
      <c r="Z6">
        <f>Baserun5!D5</f>
        <v>11</v>
      </c>
      <c r="AA6">
        <f t="shared" si="7"/>
        <v>9</v>
      </c>
      <c r="AB6">
        <f t="shared" si="8"/>
        <v>15</v>
      </c>
      <c r="AC6">
        <f t="shared" si="9"/>
        <v>25</v>
      </c>
      <c r="AE6">
        <v>3</v>
      </c>
      <c r="AF6">
        <f>AVERAGE(L3:L6)</f>
        <v>100</v>
      </c>
      <c r="AG6">
        <f t="shared" ref="AG6:AJ6" si="15">AVERAGE(M3:M6)</f>
        <v>99.75</v>
      </c>
      <c r="AH6">
        <f t="shared" si="15"/>
        <v>99.75</v>
      </c>
      <c r="AI6">
        <f t="shared" si="15"/>
        <v>99.75</v>
      </c>
      <c r="AJ6">
        <f t="shared" si="15"/>
        <v>99.25</v>
      </c>
      <c r="AK6">
        <f t="shared" si="11"/>
        <v>99.25</v>
      </c>
      <c r="AL6">
        <f t="shared" si="12"/>
        <v>99.7</v>
      </c>
      <c r="AM6">
        <f t="shared" si="13"/>
        <v>100</v>
      </c>
    </row>
    <row r="7" spans="1:39" x14ac:dyDescent="0.25">
      <c r="A7">
        <v>4</v>
      </c>
      <c r="B7">
        <f>Baserun1!H6</f>
        <v>4</v>
      </c>
      <c r="C7">
        <f>Baserun2!H6</f>
        <v>6</v>
      </c>
      <c r="D7">
        <f>Baserun3!H6</f>
        <v>3</v>
      </c>
      <c r="E7">
        <f>Baserun4!H6</f>
        <v>3</v>
      </c>
      <c r="F7">
        <f>Baserun5!H6</f>
        <v>2</v>
      </c>
      <c r="G7">
        <f t="shared" si="1"/>
        <v>2</v>
      </c>
      <c r="H7">
        <f t="shared" si="2"/>
        <v>3.6</v>
      </c>
      <c r="I7">
        <f t="shared" si="3"/>
        <v>6</v>
      </c>
      <c r="K7">
        <v>4</v>
      </c>
      <c r="L7">
        <f>Baserun1!$G6</f>
        <v>39</v>
      </c>
      <c r="M7">
        <f>Baserun2!$G6</f>
        <v>37</v>
      </c>
      <c r="N7">
        <f>Baserun3!$G6</f>
        <v>38</v>
      </c>
      <c r="O7">
        <f>Baserun4!$G6</f>
        <v>37</v>
      </c>
      <c r="P7">
        <f>Baserun5!$G6</f>
        <v>30</v>
      </c>
      <c r="Q7">
        <f t="shared" si="4"/>
        <v>30</v>
      </c>
      <c r="R7">
        <f t="shared" si="5"/>
        <v>36.200000000000003</v>
      </c>
      <c r="S7">
        <f t="shared" si="6"/>
        <v>39</v>
      </c>
      <c r="U7">
        <v>4</v>
      </c>
      <c r="V7">
        <f>Baserun1!D6</f>
        <v>19</v>
      </c>
      <c r="W7">
        <f>Baserun2!D6</f>
        <v>31</v>
      </c>
      <c r="X7">
        <f>Baserun3!D6</f>
        <v>12</v>
      </c>
      <c r="Y7">
        <f>Baserun4!D6</f>
        <v>18</v>
      </c>
      <c r="Z7">
        <f>Baserun5!D6</f>
        <v>13</v>
      </c>
      <c r="AA7">
        <f t="shared" si="7"/>
        <v>12</v>
      </c>
      <c r="AB7">
        <f t="shared" si="8"/>
        <v>18.600000000000001</v>
      </c>
      <c r="AC7">
        <f t="shared" si="9"/>
        <v>31</v>
      </c>
      <c r="AE7">
        <v>4</v>
      </c>
      <c r="AF7">
        <f>AVERAGE(L3:L7)</f>
        <v>87.8</v>
      </c>
      <c r="AG7">
        <f t="shared" ref="AG7:AJ7" si="16">AVERAGE(M3:M7)</f>
        <v>87.2</v>
      </c>
      <c r="AH7">
        <f t="shared" si="16"/>
        <v>87.4</v>
      </c>
      <c r="AI7">
        <f t="shared" si="16"/>
        <v>87.2</v>
      </c>
      <c r="AJ7">
        <f t="shared" si="16"/>
        <v>85.4</v>
      </c>
      <c r="AK7">
        <f t="shared" si="11"/>
        <v>85.4</v>
      </c>
      <c r="AL7">
        <f t="shared" si="12"/>
        <v>87</v>
      </c>
      <c r="AM7">
        <f t="shared" si="13"/>
        <v>87.8</v>
      </c>
    </row>
    <row r="8" spans="1:39" x14ac:dyDescent="0.25">
      <c r="A8">
        <v>5</v>
      </c>
      <c r="B8">
        <f>Baserun1!H7</f>
        <v>15</v>
      </c>
      <c r="C8">
        <f>Baserun2!H7</f>
        <v>5</v>
      </c>
      <c r="D8">
        <f>Baserun3!H7</f>
        <v>2</v>
      </c>
      <c r="E8">
        <f>Baserun4!H7</f>
        <v>6</v>
      </c>
      <c r="F8">
        <f>Baserun5!H7</f>
        <v>6</v>
      </c>
      <c r="G8">
        <f t="shared" si="1"/>
        <v>2</v>
      </c>
      <c r="H8">
        <f t="shared" si="2"/>
        <v>6.8</v>
      </c>
      <c r="I8">
        <f t="shared" si="3"/>
        <v>15</v>
      </c>
      <c r="K8">
        <v>5</v>
      </c>
      <c r="L8">
        <f>Baserun1!$G7</f>
        <v>97</v>
      </c>
      <c r="M8">
        <f>Baserun2!$G7</f>
        <v>36</v>
      </c>
      <c r="N8">
        <f>Baserun3!$G7</f>
        <v>52</v>
      </c>
      <c r="O8">
        <f>Baserun4!$G7</f>
        <v>42</v>
      </c>
      <c r="P8">
        <f>Baserun5!$G7</f>
        <v>46</v>
      </c>
      <c r="Q8">
        <f t="shared" si="4"/>
        <v>36</v>
      </c>
      <c r="R8">
        <f t="shared" si="5"/>
        <v>54.6</v>
      </c>
      <c r="S8">
        <f t="shared" si="6"/>
        <v>97</v>
      </c>
      <c r="U8">
        <v>5</v>
      </c>
      <c r="V8">
        <f>Baserun1!D7</f>
        <v>34</v>
      </c>
      <c r="W8">
        <f>Baserun2!D7</f>
        <v>36</v>
      </c>
      <c r="X8">
        <f>Baserun3!D7</f>
        <v>14</v>
      </c>
      <c r="Y8">
        <f>Baserun4!D7</f>
        <v>24</v>
      </c>
      <c r="Z8">
        <f>Baserun5!D7</f>
        <v>19</v>
      </c>
      <c r="AA8">
        <f t="shared" si="7"/>
        <v>14</v>
      </c>
      <c r="AB8">
        <f t="shared" si="8"/>
        <v>25.4</v>
      </c>
      <c r="AC8">
        <f t="shared" si="9"/>
        <v>36</v>
      </c>
      <c r="AE8">
        <v>5</v>
      </c>
      <c r="AF8">
        <f>AVERAGE(L3:L8)</f>
        <v>89.333333333333329</v>
      </c>
      <c r="AG8">
        <f t="shared" ref="AG8:AJ23" si="17">AVERAGE(M3:M8)</f>
        <v>78.666666666666671</v>
      </c>
      <c r="AH8">
        <f t="shared" si="17"/>
        <v>81.5</v>
      </c>
      <c r="AI8">
        <f t="shared" si="17"/>
        <v>79.666666666666671</v>
      </c>
      <c r="AJ8">
        <f t="shared" si="17"/>
        <v>78.833333333333329</v>
      </c>
      <c r="AK8">
        <f t="shared" si="11"/>
        <v>78.666666666666671</v>
      </c>
      <c r="AL8">
        <f t="shared" si="12"/>
        <v>81.599999999999994</v>
      </c>
      <c r="AM8">
        <f t="shared" si="13"/>
        <v>89.333333333333329</v>
      </c>
    </row>
    <row r="9" spans="1:39" x14ac:dyDescent="0.25">
      <c r="A9">
        <v>6</v>
      </c>
      <c r="B9">
        <f>Baserun1!H8</f>
        <v>7</v>
      </c>
      <c r="C9">
        <f>Baserun2!H8</f>
        <v>7</v>
      </c>
      <c r="D9">
        <f>Baserun3!H8</f>
        <v>4</v>
      </c>
      <c r="E9">
        <f>Baserun4!H8</f>
        <v>7</v>
      </c>
      <c r="F9">
        <f>Baserun5!H8</f>
        <v>4</v>
      </c>
      <c r="G9">
        <f t="shared" si="1"/>
        <v>4</v>
      </c>
      <c r="H9">
        <f t="shared" si="2"/>
        <v>5.8</v>
      </c>
      <c r="I9">
        <f t="shared" si="3"/>
        <v>7</v>
      </c>
      <c r="K9">
        <v>6</v>
      </c>
      <c r="L9">
        <f>Baserun1!$G8</f>
        <v>37</v>
      </c>
      <c r="M9">
        <f>Baserun2!$G8</f>
        <v>28</v>
      </c>
      <c r="N9">
        <f>Baserun3!$G8</f>
        <v>37</v>
      </c>
      <c r="O9">
        <f>Baserun4!$G8</f>
        <v>34</v>
      </c>
      <c r="P9">
        <f>Baserun5!$G8</f>
        <v>29</v>
      </c>
      <c r="Q9">
        <f t="shared" si="4"/>
        <v>28</v>
      </c>
      <c r="R9">
        <f t="shared" si="5"/>
        <v>33</v>
      </c>
      <c r="S9">
        <f t="shared" si="6"/>
        <v>37</v>
      </c>
      <c r="U9">
        <v>6</v>
      </c>
      <c r="V9">
        <f>Baserun1!D8</f>
        <v>39</v>
      </c>
      <c r="W9">
        <f>Baserun2!D8</f>
        <v>41</v>
      </c>
      <c r="X9">
        <f>Baserun3!D8</f>
        <v>16</v>
      </c>
      <c r="Y9">
        <f>Baserun4!D8</f>
        <v>29</v>
      </c>
      <c r="Z9">
        <f>Baserun5!D8</f>
        <v>21</v>
      </c>
      <c r="AA9">
        <f t="shared" si="7"/>
        <v>16</v>
      </c>
      <c r="AB9">
        <f t="shared" si="8"/>
        <v>29.2</v>
      </c>
      <c r="AC9">
        <f t="shared" si="9"/>
        <v>41</v>
      </c>
      <c r="AE9">
        <v>6</v>
      </c>
      <c r="AF9">
        <f>AVERAGE(L4:L9)</f>
        <v>78.833333333333329</v>
      </c>
      <c r="AG9">
        <f t="shared" si="17"/>
        <v>66.666666666666671</v>
      </c>
      <c r="AH9">
        <f t="shared" si="17"/>
        <v>71</v>
      </c>
      <c r="AI9">
        <f t="shared" si="17"/>
        <v>68.666666666666671</v>
      </c>
      <c r="AJ9">
        <f t="shared" si="17"/>
        <v>67</v>
      </c>
      <c r="AK9">
        <f t="shared" si="11"/>
        <v>66.666666666666671</v>
      </c>
      <c r="AL9">
        <f t="shared" si="12"/>
        <v>70.433333333333337</v>
      </c>
      <c r="AM9">
        <f t="shared" si="13"/>
        <v>78.833333333333329</v>
      </c>
    </row>
    <row r="10" spans="1:39" x14ac:dyDescent="0.25">
      <c r="A10">
        <v>7</v>
      </c>
      <c r="B10">
        <f>Baserun1!H9</f>
        <v>7</v>
      </c>
      <c r="C10">
        <f>Baserun2!H9</f>
        <v>2</v>
      </c>
      <c r="D10">
        <f>Baserun3!H9</f>
        <v>5</v>
      </c>
      <c r="E10">
        <f>Baserun4!H9</f>
        <v>4</v>
      </c>
      <c r="F10">
        <f>Baserun5!H9</f>
        <v>3</v>
      </c>
      <c r="G10">
        <f t="shared" si="1"/>
        <v>2</v>
      </c>
      <c r="H10">
        <f t="shared" si="2"/>
        <v>4.2</v>
      </c>
      <c r="I10">
        <f t="shared" si="3"/>
        <v>7</v>
      </c>
      <c r="K10">
        <v>7</v>
      </c>
      <c r="L10">
        <f>Baserun1!$G9</f>
        <v>30</v>
      </c>
      <c r="M10">
        <f>Baserun2!$G9</f>
        <v>14</v>
      </c>
      <c r="N10">
        <f>Baserun3!$G9</f>
        <v>34</v>
      </c>
      <c r="O10">
        <f>Baserun4!$G9</f>
        <v>30</v>
      </c>
      <c r="P10">
        <f>Baserun5!$G9</f>
        <v>26</v>
      </c>
      <c r="Q10">
        <f t="shared" si="4"/>
        <v>14</v>
      </c>
      <c r="R10">
        <f t="shared" si="5"/>
        <v>26.8</v>
      </c>
      <c r="S10">
        <f t="shared" si="6"/>
        <v>34</v>
      </c>
      <c r="U10">
        <v>7</v>
      </c>
      <c r="V10">
        <f>Baserun1!D9</f>
        <v>46</v>
      </c>
      <c r="W10">
        <f>Baserun2!D9</f>
        <v>39</v>
      </c>
      <c r="X10">
        <f>Baserun3!D9</f>
        <v>20</v>
      </c>
      <c r="Y10">
        <f>Baserun4!D9</f>
        <v>30</v>
      </c>
      <c r="Z10">
        <f>Baserun5!D9</f>
        <v>23</v>
      </c>
      <c r="AA10">
        <f t="shared" si="7"/>
        <v>20</v>
      </c>
      <c r="AB10">
        <f t="shared" si="8"/>
        <v>31.6</v>
      </c>
      <c r="AC10">
        <f t="shared" si="9"/>
        <v>46</v>
      </c>
      <c r="AE10">
        <v>7</v>
      </c>
      <c r="AF10">
        <f t="shared" ref="AF10:AJ25" si="18">AVERAGE(L5:L10)</f>
        <v>67.166666666666671</v>
      </c>
      <c r="AG10">
        <f t="shared" si="17"/>
        <v>52.333333333333336</v>
      </c>
      <c r="AH10">
        <f t="shared" si="17"/>
        <v>60</v>
      </c>
      <c r="AI10">
        <f t="shared" si="17"/>
        <v>57</v>
      </c>
      <c r="AJ10">
        <f t="shared" si="17"/>
        <v>54.833333333333336</v>
      </c>
      <c r="AK10">
        <f t="shared" si="11"/>
        <v>52.333333333333336</v>
      </c>
      <c r="AL10">
        <f t="shared" si="12"/>
        <v>58.266666666666666</v>
      </c>
      <c r="AM10">
        <f t="shared" si="13"/>
        <v>67.166666666666671</v>
      </c>
    </row>
    <row r="11" spans="1:39" x14ac:dyDescent="0.25">
      <c r="A11">
        <v>8</v>
      </c>
      <c r="B11">
        <f>Baserun1!H10</f>
        <v>8</v>
      </c>
      <c r="C11">
        <f>Baserun2!H10</f>
        <v>5</v>
      </c>
      <c r="D11">
        <f>Baserun3!H10</f>
        <v>2</v>
      </c>
      <c r="E11">
        <f>Baserun4!H10</f>
        <v>7</v>
      </c>
      <c r="F11">
        <f>Baserun5!H10</f>
        <v>5</v>
      </c>
      <c r="G11">
        <f t="shared" si="1"/>
        <v>2</v>
      </c>
      <c r="H11">
        <f t="shared" si="2"/>
        <v>5.4</v>
      </c>
      <c r="I11">
        <f t="shared" si="3"/>
        <v>8</v>
      </c>
      <c r="K11">
        <v>8</v>
      </c>
      <c r="L11">
        <f>Baserun1!$G10</f>
        <v>30</v>
      </c>
      <c r="M11">
        <f>Baserun2!$G10</f>
        <v>26</v>
      </c>
      <c r="N11">
        <f>Baserun3!$G10</f>
        <v>29</v>
      </c>
      <c r="O11">
        <f>Baserun4!$G10</f>
        <v>32</v>
      </c>
      <c r="P11">
        <f>Baserun5!$G10</f>
        <v>21</v>
      </c>
      <c r="Q11">
        <f t="shared" si="4"/>
        <v>21</v>
      </c>
      <c r="R11">
        <f t="shared" si="5"/>
        <v>27.6</v>
      </c>
      <c r="S11">
        <f t="shared" si="6"/>
        <v>32</v>
      </c>
      <c r="U11">
        <v>8</v>
      </c>
      <c r="V11">
        <f>Baserun1!D10</f>
        <v>49</v>
      </c>
      <c r="W11">
        <f>Baserun2!D10</f>
        <v>35</v>
      </c>
      <c r="X11">
        <f>Baserun3!D10</f>
        <v>19</v>
      </c>
      <c r="Y11">
        <f>Baserun4!D10</f>
        <v>33</v>
      </c>
      <c r="Z11">
        <f>Baserun5!D10</f>
        <v>26</v>
      </c>
      <c r="AA11">
        <f t="shared" si="7"/>
        <v>19</v>
      </c>
      <c r="AB11">
        <f t="shared" si="8"/>
        <v>32.4</v>
      </c>
      <c r="AC11">
        <f t="shared" si="9"/>
        <v>49</v>
      </c>
      <c r="AE11">
        <v>8</v>
      </c>
      <c r="AF11">
        <f t="shared" si="18"/>
        <v>55.5</v>
      </c>
      <c r="AG11">
        <f t="shared" si="17"/>
        <v>40</v>
      </c>
      <c r="AH11">
        <f t="shared" si="17"/>
        <v>48.166666666666664</v>
      </c>
      <c r="AI11">
        <f t="shared" si="17"/>
        <v>45.666666666666664</v>
      </c>
      <c r="AJ11">
        <f t="shared" si="17"/>
        <v>41.833333333333336</v>
      </c>
      <c r="AK11">
        <f t="shared" si="11"/>
        <v>40</v>
      </c>
      <c r="AL11">
        <f t="shared" si="12"/>
        <v>46.233333333333334</v>
      </c>
      <c r="AM11">
        <f t="shared" si="13"/>
        <v>55.5</v>
      </c>
    </row>
    <row r="12" spans="1:39" x14ac:dyDescent="0.25">
      <c r="A12">
        <v>9</v>
      </c>
      <c r="B12">
        <f>Baserun1!H11</f>
        <v>0</v>
      </c>
      <c r="C12">
        <f>Baserun2!H11</f>
        <v>4</v>
      </c>
      <c r="D12">
        <f>Baserun3!H11</f>
        <v>2</v>
      </c>
      <c r="E12">
        <f>Baserun4!H11</f>
        <v>3</v>
      </c>
      <c r="F12">
        <f>Baserun5!H11</f>
        <v>5</v>
      </c>
      <c r="G12">
        <f t="shared" si="1"/>
        <v>0</v>
      </c>
      <c r="H12">
        <f t="shared" si="2"/>
        <v>2.8</v>
      </c>
      <c r="I12">
        <f t="shared" si="3"/>
        <v>5</v>
      </c>
      <c r="K12">
        <v>9</v>
      </c>
      <c r="L12">
        <f>Baserun1!$G11</f>
        <v>22</v>
      </c>
      <c r="M12">
        <f>Baserun2!$G11</f>
        <v>18</v>
      </c>
      <c r="N12">
        <f>Baserun3!$G11</f>
        <v>32</v>
      </c>
      <c r="O12">
        <f>Baserun4!$G11</f>
        <v>21</v>
      </c>
      <c r="P12">
        <f>Baserun5!$G11</f>
        <v>23</v>
      </c>
      <c r="Q12">
        <f t="shared" si="4"/>
        <v>18</v>
      </c>
      <c r="R12">
        <f t="shared" si="5"/>
        <v>23.2</v>
      </c>
      <c r="S12">
        <f t="shared" si="6"/>
        <v>32</v>
      </c>
      <c r="U12">
        <v>9</v>
      </c>
      <c r="V12">
        <f>Baserun1!D11</f>
        <v>41</v>
      </c>
      <c r="W12">
        <f>Baserun2!D11</f>
        <v>29</v>
      </c>
      <c r="X12">
        <f>Baserun3!D11</f>
        <v>18</v>
      </c>
      <c r="Y12">
        <f>Baserun4!D11</f>
        <v>30</v>
      </c>
      <c r="Z12">
        <f>Baserun5!D11</f>
        <v>25</v>
      </c>
      <c r="AA12">
        <f t="shared" si="7"/>
        <v>18</v>
      </c>
      <c r="AB12">
        <f t="shared" si="8"/>
        <v>28.6</v>
      </c>
      <c r="AC12">
        <f t="shared" si="9"/>
        <v>41</v>
      </c>
      <c r="AE12">
        <v>9</v>
      </c>
      <c r="AF12">
        <f t="shared" si="18"/>
        <v>42.5</v>
      </c>
      <c r="AG12">
        <f t="shared" si="17"/>
        <v>26.5</v>
      </c>
      <c r="AH12">
        <f t="shared" si="17"/>
        <v>37</v>
      </c>
      <c r="AI12">
        <f t="shared" si="17"/>
        <v>32.666666666666664</v>
      </c>
      <c r="AJ12">
        <f t="shared" si="17"/>
        <v>29.166666666666668</v>
      </c>
      <c r="AK12">
        <f t="shared" si="11"/>
        <v>26.5</v>
      </c>
      <c r="AL12">
        <f t="shared" si="12"/>
        <v>33.566666666666663</v>
      </c>
      <c r="AM12">
        <f t="shared" si="13"/>
        <v>42.5</v>
      </c>
    </row>
    <row r="13" spans="1:39" x14ac:dyDescent="0.25">
      <c r="A13">
        <v>10</v>
      </c>
      <c r="B13">
        <f>Baserun1!H12</f>
        <v>0</v>
      </c>
      <c r="C13">
        <f>Baserun2!H12</f>
        <v>4</v>
      </c>
      <c r="D13">
        <f>Baserun3!H12</f>
        <v>3</v>
      </c>
      <c r="E13">
        <f>Baserun4!H12</f>
        <v>3</v>
      </c>
      <c r="F13">
        <f>Baserun5!H12</f>
        <v>3</v>
      </c>
      <c r="G13">
        <f t="shared" si="1"/>
        <v>0</v>
      </c>
      <c r="H13">
        <f t="shared" si="2"/>
        <v>2.6</v>
      </c>
      <c r="I13">
        <f t="shared" si="3"/>
        <v>4</v>
      </c>
      <c r="K13">
        <v>10</v>
      </c>
      <c r="L13">
        <f>Baserun1!$G12</f>
        <v>20</v>
      </c>
      <c r="M13">
        <f>Baserun2!$G12</f>
        <v>27</v>
      </c>
      <c r="N13">
        <f>Baserun3!$G12</f>
        <v>35</v>
      </c>
      <c r="O13">
        <f>Baserun4!$G12</f>
        <v>23</v>
      </c>
      <c r="P13">
        <f>Baserun5!$G12</f>
        <v>26</v>
      </c>
      <c r="Q13">
        <f t="shared" si="4"/>
        <v>20</v>
      </c>
      <c r="R13">
        <f t="shared" si="5"/>
        <v>26.2</v>
      </c>
      <c r="S13">
        <f t="shared" si="6"/>
        <v>35</v>
      </c>
      <c r="U13">
        <v>10</v>
      </c>
      <c r="V13">
        <f>Baserun1!D12</f>
        <v>37</v>
      </c>
      <c r="W13">
        <f>Baserun2!D12</f>
        <v>27</v>
      </c>
      <c r="X13">
        <f>Baserun3!D12</f>
        <v>18</v>
      </c>
      <c r="Y13">
        <f>Baserun4!D12</f>
        <v>30</v>
      </c>
      <c r="Z13">
        <f>Baserun5!D12</f>
        <v>26</v>
      </c>
      <c r="AA13">
        <f t="shared" si="7"/>
        <v>18</v>
      </c>
      <c r="AB13">
        <f t="shared" si="8"/>
        <v>27.6</v>
      </c>
      <c r="AC13">
        <f t="shared" si="9"/>
        <v>37</v>
      </c>
      <c r="AE13">
        <v>10</v>
      </c>
      <c r="AF13">
        <f t="shared" si="18"/>
        <v>39.333333333333336</v>
      </c>
      <c r="AG13">
        <f t="shared" si="17"/>
        <v>24.833333333333332</v>
      </c>
      <c r="AH13">
        <f t="shared" si="17"/>
        <v>36.5</v>
      </c>
      <c r="AI13">
        <f t="shared" si="17"/>
        <v>30.333333333333332</v>
      </c>
      <c r="AJ13">
        <f t="shared" si="17"/>
        <v>28.5</v>
      </c>
      <c r="AK13">
        <f t="shared" si="11"/>
        <v>24.833333333333332</v>
      </c>
      <c r="AL13">
        <f t="shared" si="12"/>
        <v>31.9</v>
      </c>
      <c r="AM13">
        <f t="shared" si="13"/>
        <v>39.333333333333336</v>
      </c>
    </row>
    <row r="14" spans="1:39" x14ac:dyDescent="0.25">
      <c r="A14">
        <v>11</v>
      </c>
      <c r="B14">
        <f>Baserun1!H13</f>
        <v>0</v>
      </c>
      <c r="C14">
        <f>Baserun2!H13</f>
        <v>0</v>
      </c>
      <c r="D14">
        <f>Baserun3!H13</f>
        <v>2</v>
      </c>
      <c r="E14">
        <f>Baserun4!H13</f>
        <v>2</v>
      </c>
      <c r="F14">
        <f>Baserun5!H13</f>
        <v>2</v>
      </c>
      <c r="G14">
        <f t="shared" si="1"/>
        <v>0</v>
      </c>
      <c r="H14">
        <f t="shared" si="2"/>
        <v>1.2</v>
      </c>
      <c r="I14">
        <f t="shared" si="3"/>
        <v>2</v>
      </c>
      <c r="K14">
        <v>11</v>
      </c>
      <c r="L14">
        <f>Baserun1!$G13</f>
        <v>18</v>
      </c>
      <c r="M14">
        <f>Baserun2!$G13</f>
        <v>26</v>
      </c>
      <c r="N14">
        <f>Baserun3!$G13</f>
        <v>41</v>
      </c>
      <c r="O14">
        <f>Baserun4!$G13</f>
        <v>25</v>
      </c>
      <c r="P14">
        <f>Baserun5!$G13</f>
        <v>26</v>
      </c>
      <c r="Q14">
        <f t="shared" si="4"/>
        <v>18</v>
      </c>
      <c r="R14">
        <f t="shared" si="5"/>
        <v>27.2</v>
      </c>
      <c r="S14">
        <f t="shared" si="6"/>
        <v>41</v>
      </c>
      <c r="U14">
        <v>11</v>
      </c>
      <c r="V14">
        <f>Baserun1!D13</f>
        <v>22</v>
      </c>
      <c r="W14">
        <f>Baserun2!D13</f>
        <v>22</v>
      </c>
      <c r="X14">
        <f>Baserun3!D13</f>
        <v>18</v>
      </c>
      <c r="Y14">
        <f>Baserun4!D13</f>
        <v>26</v>
      </c>
      <c r="Z14">
        <f>Baserun5!D13</f>
        <v>22</v>
      </c>
      <c r="AA14">
        <f t="shared" si="7"/>
        <v>18</v>
      </c>
      <c r="AB14">
        <f t="shared" si="8"/>
        <v>22</v>
      </c>
      <c r="AC14">
        <f t="shared" si="9"/>
        <v>26</v>
      </c>
      <c r="AE14">
        <v>11</v>
      </c>
      <c r="AF14">
        <f t="shared" si="18"/>
        <v>26.166666666666668</v>
      </c>
      <c r="AG14">
        <f t="shared" si="17"/>
        <v>23.166666666666668</v>
      </c>
      <c r="AH14">
        <f t="shared" si="17"/>
        <v>34.666666666666664</v>
      </c>
      <c r="AI14">
        <f t="shared" si="17"/>
        <v>27.5</v>
      </c>
      <c r="AJ14">
        <f t="shared" si="17"/>
        <v>25.166666666666668</v>
      </c>
      <c r="AK14">
        <f t="shared" si="11"/>
        <v>23.166666666666668</v>
      </c>
      <c r="AL14">
        <f t="shared" si="12"/>
        <v>27.333333333333332</v>
      </c>
      <c r="AM14">
        <f t="shared" si="13"/>
        <v>34.666666666666664</v>
      </c>
    </row>
    <row r="15" spans="1:39" x14ac:dyDescent="0.25">
      <c r="A15">
        <v>12</v>
      </c>
      <c r="B15">
        <f>Baserun1!H14</f>
        <v>1</v>
      </c>
      <c r="C15">
        <f>Baserun2!H14</f>
        <v>1</v>
      </c>
      <c r="D15">
        <f>Baserun3!H14</f>
        <v>2</v>
      </c>
      <c r="E15">
        <f>Baserun4!H14</f>
        <v>1</v>
      </c>
      <c r="F15">
        <f>Baserun5!H14</f>
        <v>0</v>
      </c>
      <c r="G15">
        <f t="shared" si="1"/>
        <v>0</v>
      </c>
      <c r="H15">
        <f t="shared" si="2"/>
        <v>1</v>
      </c>
      <c r="I15">
        <f t="shared" si="3"/>
        <v>2</v>
      </c>
      <c r="K15">
        <v>12</v>
      </c>
      <c r="L15">
        <f>Baserun1!$G14</f>
        <v>17</v>
      </c>
      <c r="M15">
        <f>Baserun2!$G14</f>
        <v>23</v>
      </c>
      <c r="N15">
        <f>Baserun3!$G14</f>
        <v>30</v>
      </c>
      <c r="O15">
        <f>Baserun4!$G14</f>
        <v>23</v>
      </c>
      <c r="P15">
        <f>Baserun5!$G14</f>
        <v>21</v>
      </c>
      <c r="Q15">
        <f t="shared" si="4"/>
        <v>17</v>
      </c>
      <c r="R15">
        <f t="shared" si="5"/>
        <v>22.8</v>
      </c>
      <c r="S15">
        <f t="shared" si="6"/>
        <v>30</v>
      </c>
      <c r="U15">
        <v>12</v>
      </c>
      <c r="V15">
        <f>Baserun1!D14</f>
        <v>16</v>
      </c>
      <c r="W15">
        <f>Baserun2!D14</f>
        <v>16</v>
      </c>
      <c r="X15">
        <f>Baserun3!D14</f>
        <v>16</v>
      </c>
      <c r="Y15">
        <f>Baserun4!D14</f>
        <v>20</v>
      </c>
      <c r="Z15">
        <f>Baserun5!D14</f>
        <v>18</v>
      </c>
      <c r="AA15">
        <f t="shared" si="7"/>
        <v>16</v>
      </c>
      <c r="AB15">
        <f t="shared" si="8"/>
        <v>17.2</v>
      </c>
      <c r="AC15">
        <f t="shared" si="9"/>
        <v>20</v>
      </c>
      <c r="AE15">
        <v>12</v>
      </c>
      <c r="AF15">
        <f t="shared" si="18"/>
        <v>22.833333333333332</v>
      </c>
      <c r="AG15">
        <f t="shared" si="17"/>
        <v>22.333333333333332</v>
      </c>
      <c r="AH15">
        <f t="shared" si="17"/>
        <v>33.5</v>
      </c>
      <c r="AI15">
        <f t="shared" si="17"/>
        <v>25.666666666666668</v>
      </c>
      <c r="AJ15">
        <f t="shared" si="17"/>
        <v>23.833333333333332</v>
      </c>
      <c r="AK15">
        <f t="shared" si="11"/>
        <v>22.333333333333332</v>
      </c>
      <c r="AL15">
        <f t="shared" si="12"/>
        <v>25.633333333333333</v>
      </c>
      <c r="AM15">
        <f t="shared" si="13"/>
        <v>33.5</v>
      </c>
    </row>
    <row r="16" spans="1:39" x14ac:dyDescent="0.25">
      <c r="A16">
        <v>13</v>
      </c>
      <c r="B16">
        <f>Baserun1!H15</f>
        <v>5</v>
      </c>
      <c r="C16">
        <f>Baserun2!H15</f>
        <v>0</v>
      </c>
      <c r="D16">
        <f>Baserun3!H15</f>
        <v>2</v>
      </c>
      <c r="E16">
        <f>Baserun4!H15</f>
        <v>5</v>
      </c>
      <c r="F16">
        <f>Baserun5!H15</f>
        <v>2</v>
      </c>
      <c r="G16">
        <f t="shared" si="1"/>
        <v>0</v>
      </c>
      <c r="H16">
        <f t="shared" si="2"/>
        <v>2.8</v>
      </c>
      <c r="I16">
        <f t="shared" si="3"/>
        <v>5</v>
      </c>
      <c r="K16">
        <v>13</v>
      </c>
      <c r="L16">
        <f>Baserun1!$G15</f>
        <v>92</v>
      </c>
      <c r="M16">
        <f>Baserun2!$G15</f>
        <v>27</v>
      </c>
      <c r="N16">
        <f>Baserun3!$G15</f>
        <v>35</v>
      </c>
      <c r="O16">
        <f>Baserun4!$G15</f>
        <v>34</v>
      </c>
      <c r="P16">
        <f>Baserun5!$G15</f>
        <v>25</v>
      </c>
      <c r="Q16">
        <f t="shared" si="4"/>
        <v>25</v>
      </c>
      <c r="R16">
        <f t="shared" si="5"/>
        <v>42.6</v>
      </c>
      <c r="S16">
        <f t="shared" si="6"/>
        <v>92</v>
      </c>
      <c r="U16">
        <v>13</v>
      </c>
      <c r="V16">
        <f>Baserun1!D15</f>
        <v>14</v>
      </c>
      <c r="W16">
        <f>Baserun2!D15</f>
        <v>14</v>
      </c>
      <c r="X16">
        <f>Baserun3!D15</f>
        <v>13</v>
      </c>
      <c r="Y16">
        <f>Baserun4!D15</f>
        <v>21</v>
      </c>
      <c r="Z16">
        <f>Baserun5!D15</f>
        <v>17</v>
      </c>
      <c r="AA16">
        <f t="shared" si="7"/>
        <v>13</v>
      </c>
      <c r="AB16">
        <f t="shared" si="8"/>
        <v>15.8</v>
      </c>
      <c r="AC16">
        <f t="shared" si="9"/>
        <v>21</v>
      </c>
      <c r="AE16">
        <v>13</v>
      </c>
      <c r="AF16">
        <f t="shared" si="18"/>
        <v>33.166666666666664</v>
      </c>
      <c r="AG16">
        <f t="shared" si="17"/>
        <v>24.5</v>
      </c>
      <c r="AH16">
        <f t="shared" si="17"/>
        <v>33.666666666666664</v>
      </c>
      <c r="AI16">
        <f t="shared" si="17"/>
        <v>26.333333333333332</v>
      </c>
      <c r="AJ16">
        <f t="shared" si="17"/>
        <v>23.666666666666668</v>
      </c>
      <c r="AK16">
        <f t="shared" si="11"/>
        <v>23.666666666666668</v>
      </c>
      <c r="AL16">
        <f t="shared" si="12"/>
        <v>28.266666666666662</v>
      </c>
      <c r="AM16">
        <f t="shared" si="13"/>
        <v>33.666666666666664</v>
      </c>
    </row>
    <row r="17" spans="1:39" x14ac:dyDescent="0.25">
      <c r="A17">
        <v>14</v>
      </c>
      <c r="B17">
        <f>Baserun1!H16</f>
        <v>5</v>
      </c>
      <c r="C17">
        <f>Baserun2!H16</f>
        <v>0</v>
      </c>
      <c r="D17">
        <f>Baserun3!H16</f>
        <v>1</v>
      </c>
      <c r="E17">
        <f>Baserun4!H16</f>
        <v>4</v>
      </c>
      <c r="F17">
        <f>Baserun5!H16</f>
        <v>0</v>
      </c>
      <c r="G17">
        <f t="shared" si="1"/>
        <v>0</v>
      </c>
      <c r="H17">
        <f t="shared" si="2"/>
        <v>2</v>
      </c>
      <c r="I17">
        <f t="shared" si="3"/>
        <v>5</v>
      </c>
      <c r="K17">
        <v>14</v>
      </c>
      <c r="L17">
        <f>Baserun1!$G16</f>
        <v>97</v>
      </c>
      <c r="M17">
        <f>Baserun2!$G16</f>
        <v>29</v>
      </c>
      <c r="N17">
        <f>Baserun3!$G16</f>
        <v>36</v>
      </c>
      <c r="O17">
        <f>Baserun4!$G16</f>
        <v>35</v>
      </c>
      <c r="P17">
        <f>Baserun5!$G16</f>
        <v>31</v>
      </c>
      <c r="Q17">
        <f t="shared" si="4"/>
        <v>29</v>
      </c>
      <c r="R17">
        <f t="shared" si="5"/>
        <v>45.6</v>
      </c>
      <c r="S17">
        <f t="shared" si="6"/>
        <v>97</v>
      </c>
      <c r="U17">
        <v>14</v>
      </c>
      <c r="V17">
        <f>Baserun1!D16</f>
        <v>11</v>
      </c>
      <c r="W17">
        <f>Baserun2!D16</f>
        <v>9</v>
      </c>
      <c r="X17">
        <f>Baserun3!D16</f>
        <v>12</v>
      </c>
      <c r="Y17">
        <f>Baserun4!D16</f>
        <v>18</v>
      </c>
      <c r="Z17">
        <f>Baserun5!D16</f>
        <v>12</v>
      </c>
      <c r="AA17">
        <f t="shared" si="7"/>
        <v>9</v>
      </c>
      <c r="AB17">
        <f t="shared" si="8"/>
        <v>12.4</v>
      </c>
      <c r="AC17">
        <f t="shared" si="9"/>
        <v>18</v>
      </c>
      <c r="AE17">
        <v>14</v>
      </c>
      <c r="AF17">
        <f t="shared" si="18"/>
        <v>44.333333333333336</v>
      </c>
      <c r="AG17">
        <f t="shared" si="17"/>
        <v>25</v>
      </c>
      <c r="AH17">
        <f t="shared" si="17"/>
        <v>34.833333333333336</v>
      </c>
      <c r="AI17">
        <f t="shared" si="17"/>
        <v>26.833333333333332</v>
      </c>
      <c r="AJ17">
        <f t="shared" si="17"/>
        <v>25.333333333333332</v>
      </c>
      <c r="AK17">
        <f t="shared" si="11"/>
        <v>25</v>
      </c>
      <c r="AL17">
        <f t="shared" si="12"/>
        <v>31.266666666666673</v>
      </c>
      <c r="AM17">
        <f t="shared" si="13"/>
        <v>44.333333333333336</v>
      </c>
    </row>
    <row r="18" spans="1:39" x14ac:dyDescent="0.25">
      <c r="A18">
        <v>15</v>
      </c>
      <c r="B18">
        <f>Baserun1!H17</f>
        <v>3</v>
      </c>
      <c r="C18">
        <f>Baserun2!H17</f>
        <v>1</v>
      </c>
      <c r="D18">
        <f>Baserun3!H17</f>
        <v>1</v>
      </c>
      <c r="E18">
        <f>Baserun4!H17</f>
        <v>0</v>
      </c>
      <c r="F18">
        <f>Baserun5!H17</f>
        <v>1</v>
      </c>
      <c r="G18">
        <f t="shared" si="1"/>
        <v>0</v>
      </c>
      <c r="H18">
        <f t="shared" si="2"/>
        <v>1.2</v>
      </c>
      <c r="I18">
        <f t="shared" si="3"/>
        <v>3</v>
      </c>
      <c r="K18">
        <v>15</v>
      </c>
      <c r="L18">
        <f>Baserun1!$G17</f>
        <v>100</v>
      </c>
      <c r="M18">
        <f>Baserun2!$G17</f>
        <v>95</v>
      </c>
      <c r="N18">
        <f>Baserun3!$G17</f>
        <v>34</v>
      </c>
      <c r="O18">
        <f>Baserun4!$G17</f>
        <v>32</v>
      </c>
      <c r="P18">
        <f>Baserun5!$G17</f>
        <v>26</v>
      </c>
      <c r="Q18">
        <f t="shared" si="4"/>
        <v>26</v>
      </c>
      <c r="R18">
        <f t="shared" si="5"/>
        <v>57.4</v>
      </c>
      <c r="S18">
        <f t="shared" si="6"/>
        <v>100</v>
      </c>
      <c r="U18">
        <v>15</v>
      </c>
      <c r="V18">
        <f>Baserun1!D17</f>
        <v>14</v>
      </c>
      <c r="W18">
        <f>Baserun2!D17</f>
        <v>6</v>
      </c>
      <c r="X18">
        <f>Baserun3!D17</f>
        <v>11</v>
      </c>
      <c r="Y18">
        <f>Baserun4!D17</f>
        <v>15</v>
      </c>
      <c r="Z18">
        <f>Baserun5!D17</f>
        <v>8</v>
      </c>
      <c r="AA18">
        <f t="shared" si="7"/>
        <v>6</v>
      </c>
      <c r="AB18">
        <f t="shared" si="8"/>
        <v>10.8</v>
      </c>
      <c r="AC18">
        <f t="shared" si="9"/>
        <v>15</v>
      </c>
      <c r="AE18">
        <v>15</v>
      </c>
      <c r="AF18">
        <f t="shared" si="18"/>
        <v>57.333333333333336</v>
      </c>
      <c r="AG18">
        <f t="shared" si="17"/>
        <v>37.833333333333336</v>
      </c>
      <c r="AH18">
        <f t="shared" si="17"/>
        <v>35.166666666666664</v>
      </c>
      <c r="AI18">
        <f t="shared" si="17"/>
        <v>28.666666666666668</v>
      </c>
      <c r="AJ18">
        <f t="shared" si="17"/>
        <v>25.833333333333332</v>
      </c>
      <c r="AK18">
        <f t="shared" si="11"/>
        <v>25.833333333333332</v>
      </c>
      <c r="AL18">
        <f t="shared" si="12"/>
        <v>36.966666666666669</v>
      </c>
      <c r="AM18">
        <f t="shared" si="13"/>
        <v>57.333333333333336</v>
      </c>
    </row>
    <row r="19" spans="1:39" x14ac:dyDescent="0.25">
      <c r="A19">
        <v>16</v>
      </c>
      <c r="B19">
        <f>Baserun1!H18</f>
        <v>1</v>
      </c>
      <c r="C19">
        <f>Baserun2!H18</f>
        <v>0</v>
      </c>
      <c r="D19">
        <f>Baserun3!H18</f>
        <v>0</v>
      </c>
      <c r="E19">
        <f>Baserun4!H18</f>
        <v>1</v>
      </c>
      <c r="F19">
        <f>Baserun5!H18</f>
        <v>0</v>
      </c>
      <c r="G19">
        <f t="shared" si="1"/>
        <v>0</v>
      </c>
      <c r="H19">
        <f t="shared" si="2"/>
        <v>0.4</v>
      </c>
      <c r="I19">
        <f t="shared" si="3"/>
        <v>1</v>
      </c>
      <c r="K19">
        <v>16</v>
      </c>
      <c r="L19">
        <f>Baserun1!$G18</f>
        <v>56</v>
      </c>
      <c r="M19">
        <f>Baserun2!$G18</f>
        <v>44</v>
      </c>
      <c r="N19">
        <f>Baserun3!$G18</f>
        <v>34</v>
      </c>
      <c r="O19">
        <f>Baserun4!$G18</f>
        <v>45</v>
      </c>
      <c r="P19">
        <f>Baserun5!$G18</f>
        <v>96</v>
      </c>
      <c r="Q19">
        <f t="shared" si="4"/>
        <v>34</v>
      </c>
      <c r="R19">
        <f t="shared" si="5"/>
        <v>55</v>
      </c>
      <c r="S19">
        <f t="shared" si="6"/>
        <v>96</v>
      </c>
      <c r="U19">
        <v>16</v>
      </c>
      <c r="V19">
        <f>Baserun1!D18</f>
        <v>15</v>
      </c>
      <c r="W19">
        <f>Baserun2!D18</f>
        <v>2</v>
      </c>
      <c r="X19">
        <f>Baserun3!D18</f>
        <v>8</v>
      </c>
      <c r="Y19">
        <f>Baserun4!D18</f>
        <v>13</v>
      </c>
      <c r="Z19">
        <f>Baserun5!D18</f>
        <v>5</v>
      </c>
      <c r="AA19">
        <f t="shared" si="7"/>
        <v>2</v>
      </c>
      <c r="AB19">
        <f t="shared" si="8"/>
        <v>8.6</v>
      </c>
      <c r="AC19">
        <f t="shared" si="9"/>
        <v>15</v>
      </c>
      <c r="AE19">
        <v>16</v>
      </c>
      <c r="AF19">
        <f t="shared" si="18"/>
        <v>63.333333333333336</v>
      </c>
      <c r="AG19">
        <f t="shared" si="17"/>
        <v>40.666666666666664</v>
      </c>
      <c r="AH19">
        <f t="shared" si="17"/>
        <v>35</v>
      </c>
      <c r="AI19">
        <f t="shared" si="17"/>
        <v>32.333333333333336</v>
      </c>
      <c r="AJ19">
        <f t="shared" si="17"/>
        <v>37.5</v>
      </c>
      <c r="AK19">
        <f t="shared" si="11"/>
        <v>32.333333333333336</v>
      </c>
      <c r="AL19">
        <f t="shared" si="12"/>
        <v>41.766666666666666</v>
      </c>
      <c r="AM19">
        <f t="shared" si="13"/>
        <v>63.333333333333336</v>
      </c>
    </row>
    <row r="20" spans="1:39" x14ac:dyDescent="0.25">
      <c r="A20">
        <v>17</v>
      </c>
      <c r="B20">
        <f>Baserun1!H19</f>
        <v>0</v>
      </c>
      <c r="C20">
        <f>Baserun2!H19</f>
        <v>0</v>
      </c>
      <c r="D20">
        <f>Baserun3!H19</f>
        <v>1</v>
      </c>
      <c r="E20">
        <f>Baserun4!H19</f>
        <v>0</v>
      </c>
      <c r="F20">
        <f>Baserun5!H19</f>
        <v>0</v>
      </c>
      <c r="G20">
        <f t="shared" si="1"/>
        <v>0</v>
      </c>
      <c r="H20">
        <f t="shared" si="2"/>
        <v>0.2</v>
      </c>
      <c r="I20">
        <f t="shared" si="3"/>
        <v>1</v>
      </c>
      <c r="K20">
        <v>17</v>
      </c>
      <c r="L20">
        <f>Baserun1!$G19</f>
        <v>33</v>
      </c>
      <c r="M20">
        <f>Baserun2!$G19</f>
        <v>99</v>
      </c>
      <c r="N20">
        <f>Baserun3!$G19</f>
        <v>31</v>
      </c>
      <c r="O20">
        <f>Baserun4!$G19</f>
        <v>34</v>
      </c>
      <c r="P20">
        <f>Baserun5!$G19</f>
        <v>30</v>
      </c>
      <c r="Q20">
        <f t="shared" si="4"/>
        <v>30</v>
      </c>
      <c r="R20">
        <f t="shared" si="5"/>
        <v>45.4</v>
      </c>
      <c r="S20">
        <f t="shared" si="6"/>
        <v>99</v>
      </c>
      <c r="U20">
        <v>17</v>
      </c>
      <c r="V20">
        <f>Baserun1!D19</f>
        <v>15</v>
      </c>
      <c r="W20">
        <f>Baserun2!D19</f>
        <v>2</v>
      </c>
      <c r="X20">
        <f>Baserun3!D19</f>
        <v>7</v>
      </c>
      <c r="Y20">
        <f>Baserun4!D19</f>
        <v>11</v>
      </c>
      <c r="Z20">
        <f>Baserun5!D19</f>
        <v>3</v>
      </c>
      <c r="AA20">
        <f t="shared" si="7"/>
        <v>2</v>
      </c>
      <c r="AB20">
        <f t="shared" si="8"/>
        <v>7.6</v>
      </c>
      <c r="AC20">
        <f t="shared" si="9"/>
        <v>15</v>
      </c>
      <c r="AE20">
        <v>17</v>
      </c>
      <c r="AF20">
        <f t="shared" si="18"/>
        <v>65.833333333333329</v>
      </c>
      <c r="AG20">
        <f t="shared" si="17"/>
        <v>52.833333333333336</v>
      </c>
      <c r="AH20">
        <f t="shared" si="17"/>
        <v>33.333333333333336</v>
      </c>
      <c r="AI20">
        <f t="shared" si="17"/>
        <v>33.833333333333336</v>
      </c>
      <c r="AJ20">
        <f t="shared" si="17"/>
        <v>38.166666666666664</v>
      </c>
      <c r="AK20">
        <f t="shared" si="11"/>
        <v>33.333333333333336</v>
      </c>
      <c r="AL20">
        <f t="shared" si="12"/>
        <v>44.8</v>
      </c>
      <c r="AM20">
        <f t="shared" si="13"/>
        <v>65.833333333333329</v>
      </c>
    </row>
    <row r="21" spans="1:39" x14ac:dyDescent="0.25">
      <c r="A21">
        <v>18</v>
      </c>
      <c r="B21">
        <f>Baserun1!H20</f>
        <v>0</v>
      </c>
      <c r="C21">
        <f>Baserun2!H20</f>
        <v>0</v>
      </c>
      <c r="D21">
        <f>Baserun3!H20</f>
        <v>1</v>
      </c>
      <c r="E21">
        <f>Baserun4!H20</f>
        <v>0</v>
      </c>
      <c r="F21">
        <f>Baserun5!H20</f>
        <v>3</v>
      </c>
      <c r="G21">
        <f t="shared" si="1"/>
        <v>0</v>
      </c>
      <c r="H21">
        <f t="shared" si="2"/>
        <v>0.8</v>
      </c>
      <c r="I21">
        <f t="shared" si="3"/>
        <v>3</v>
      </c>
      <c r="K21">
        <v>18</v>
      </c>
      <c r="L21">
        <f>Baserun1!$G20</f>
        <v>35</v>
      </c>
      <c r="M21">
        <f>Baserun2!$G20</f>
        <v>99</v>
      </c>
      <c r="N21">
        <f>Baserun3!$G20</f>
        <v>52</v>
      </c>
      <c r="O21">
        <f>Baserun4!$G20</f>
        <v>41</v>
      </c>
      <c r="P21">
        <f>Baserun5!$G20</f>
        <v>98</v>
      </c>
      <c r="Q21">
        <f t="shared" si="4"/>
        <v>35</v>
      </c>
      <c r="R21">
        <f t="shared" si="5"/>
        <v>65</v>
      </c>
      <c r="S21">
        <f t="shared" si="6"/>
        <v>99</v>
      </c>
      <c r="U21">
        <v>18</v>
      </c>
      <c r="V21">
        <f>Baserun1!D20</f>
        <v>14</v>
      </c>
      <c r="W21">
        <f>Baserun2!D20</f>
        <v>1</v>
      </c>
      <c r="X21">
        <f>Baserun3!D20</f>
        <v>6</v>
      </c>
      <c r="Y21">
        <f>Baserun4!D20</f>
        <v>10</v>
      </c>
      <c r="Z21">
        <f>Baserun5!D20</f>
        <v>6</v>
      </c>
      <c r="AA21">
        <f t="shared" si="7"/>
        <v>1</v>
      </c>
      <c r="AB21">
        <f t="shared" si="8"/>
        <v>7.4</v>
      </c>
      <c r="AC21">
        <f t="shared" si="9"/>
        <v>14</v>
      </c>
      <c r="AE21">
        <v>18</v>
      </c>
      <c r="AF21">
        <f t="shared" si="18"/>
        <v>68.833333333333329</v>
      </c>
      <c r="AG21">
        <f t="shared" si="17"/>
        <v>65.5</v>
      </c>
      <c r="AH21">
        <f t="shared" si="17"/>
        <v>37</v>
      </c>
      <c r="AI21">
        <f t="shared" si="17"/>
        <v>36.833333333333336</v>
      </c>
      <c r="AJ21">
        <f t="shared" si="17"/>
        <v>51</v>
      </c>
      <c r="AK21">
        <f t="shared" si="11"/>
        <v>36.833333333333336</v>
      </c>
      <c r="AL21">
        <f t="shared" si="12"/>
        <v>51.833333333333329</v>
      </c>
      <c r="AM21">
        <f t="shared" si="13"/>
        <v>68.833333333333329</v>
      </c>
    </row>
    <row r="22" spans="1:39" x14ac:dyDescent="0.25">
      <c r="A22">
        <v>19</v>
      </c>
      <c r="B22">
        <f>Baserun1!H21</f>
        <v>0</v>
      </c>
      <c r="C22">
        <f>Baserun2!H21</f>
        <v>0</v>
      </c>
      <c r="D22">
        <f>Baserun3!H21</f>
        <v>0</v>
      </c>
      <c r="E22">
        <f>Baserun4!H21</f>
        <v>2</v>
      </c>
      <c r="F22">
        <f>Baserun5!H21</f>
        <v>0</v>
      </c>
      <c r="G22">
        <f t="shared" si="1"/>
        <v>0</v>
      </c>
      <c r="H22">
        <f t="shared" si="2"/>
        <v>0.4</v>
      </c>
      <c r="I22">
        <f t="shared" si="3"/>
        <v>2</v>
      </c>
      <c r="K22">
        <v>19</v>
      </c>
      <c r="L22">
        <f>Baserun1!$G21</f>
        <v>34</v>
      </c>
      <c r="M22">
        <f>Baserun2!$G21</f>
        <v>48</v>
      </c>
      <c r="N22">
        <f>Baserun3!$G21</f>
        <v>55</v>
      </c>
      <c r="O22">
        <f>Baserun4!$G21</f>
        <v>94</v>
      </c>
      <c r="P22">
        <f>Baserun5!$G21</f>
        <v>46</v>
      </c>
      <c r="Q22">
        <f t="shared" si="4"/>
        <v>34</v>
      </c>
      <c r="R22">
        <f t="shared" si="5"/>
        <v>55.4</v>
      </c>
      <c r="S22">
        <f t="shared" si="6"/>
        <v>94</v>
      </c>
      <c r="U22">
        <v>19</v>
      </c>
      <c r="V22">
        <f>Baserun1!D21</f>
        <v>9</v>
      </c>
      <c r="W22">
        <f>Baserun2!D21</f>
        <v>1</v>
      </c>
      <c r="X22">
        <f>Baserun3!D21</f>
        <v>4</v>
      </c>
      <c r="Y22">
        <f>Baserun4!D21</f>
        <v>7</v>
      </c>
      <c r="Z22">
        <f>Baserun5!D21</f>
        <v>4</v>
      </c>
      <c r="AA22">
        <f t="shared" si="7"/>
        <v>1</v>
      </c>
      <c r="AB22">
        <f t="shared" si="8"/>
        <v>5</v>
      </c>
      <c r="AC22">
        <f t="shared" si="9"/>
        <v>9</v>
      </c>
      <c r="AE22">
        <v>19</v>
      </c>
      <c r="AF22">
        <f t="shared" si="18"/>
        <v>59.166666666666664</v>
      </c>
      <c r="AG22">
        <f t="shared" si="17"/>
        <v>69</v>
      </c>
      <c r="AH22">
        <f t="shared" si="17"/>
        <v>40.333333333333336</v>
      </c>
      <c r="AI22">
        <f t="shared" si="17"/>
        <v>46.833333333333336</v>
      </c>
      <c r="AJ22">
        <f t="shared" si="17"/>
        <v>54.5</v>
      </c>
      <c r="AK22">
        <f t="shared" si="11"/>
        <v>40.333333333333336</v>
      </c>
      <c r="AL22">
        <f t="shared" si="12"/>
        <v>53.966666666666676</v>
      </c>
      <c r="AM22">
        <f t="shared" si="13"/>
        <v>69</v>
      </c>
    </row>
    <row r="23" spans="1:39" x14ac:dyDescent="0.25">
      <c r="A23">
        <v>20</v>
      </c>
      <c r="B23">
        <f>Baserun1!H22</f>
        <v>0</v>
      </c>
      <c r="C23">
        <f>Baserun2!H22</f>
        <v>0</v>
      </c>
      <c r="D23">
        <f>Baserun3!H22</f>
        <v>2</v>
      </c>
      <c r="E23">
        <f>Baserun4!H22</f>
        <v>0</v>
      </c>
      <c r="F23">
        <f>Baserun5!H22</f>
        <v>1</v>
      </c>
      <c r="G23">
        <f t="shared" si="1"/>
        <v>0</v>
      </c>
      <c r="H23">
        <f t="shared" si="2"/>
        <v>0.6</v>
      </c>
      <c r="I23">
        <f t="shared" si="3"/>
        <v>2</v>
      </c>
      <c r="K23">
        <v>20</v>
      </c>
      <c r="L23">
        <f>Baserun1!$G22</f>
        <v>51</v>
      </c>
      <c r="M23">
        <f>Baserun2!$G22</f>
        <v>99</v>
      </c>
      <c r="N23">
        <f>Baserun3!$G22</f>
        <v>99</v>
      </c>
      <c r="O23">
        <f>Baserun4!$G22</f>
        <v>53</v>
      </c>
      <c r="P23">
        <f>Baserun5!$G22</f>
        <v>99</v>
      </c>
      <c r="Q23">
        <f t="shared" si="4"/>
        <v>51</v>
      </c>
      <c r="R23">
        <f t="shared" si="5"/>
        <v>80.2</v>
      </c>
      <c r="S23">
        <f t="shared" si="6"/>
        <v>99</v>
      </c>
      <c r="U23">
        <v>20</v>
      </c>
      <c r="V23">
        <f>Baserun1!D22</f>
        <v>4</v>
      </c>
      <c r="W23">
        <f>Baserun2!D22</f>
        <v>1</v>
      </c>
      <c r="X23">
        <f>Baserun3!D22</f>
        <v>5</v>
      </c>
      <c r="Y23">
        <f>Baserun4!D22</f>
        <v>3</v>
      </c>
      <c r="Z23">
        <f>Baserun5!D22</f>
        <v>5</v>
      </c>
      <c r="AA23">
        <f t="shared" si="7"/>
        <v>1</v>
      </c>
      <c r="AB23">
        <f t="shared" si="8"/>
        <v>3.6</v>
      </c>
      <c r="AC23">
        <f t="shared" si="9"/>
        <v>5</v>
      </c>
      <c r="AE23">
        <v>20</v>
      </c>
      <c r="AF23">
        <f t="shared" si="18"/>
        <v>51.5</v>
      </c>
      <c r="AG23">
        <f t="shared" si="17"/>
        <v>80.666666666666671</v>
      </c>
      <c r="AH23">
        <f t="shared" si="17"/>
        <v>50.833333333333336</v>
      </c>
      <c r="AI23">
        <f t="shared" si="17"/>
        <v>49.833333333333336</v>
      </c>
      <c r="AJ23">
        <f t="shared" si="17"/>
        <v>65.833333333333329</v>
      </c>
      <c r="AK23">
        <f t="shared" si="11"/>
        <v>49.833333333333336</v>
      </c>
      <c r="AL23">
        <f t="shared" si="12"/>
        <v>59.733333333333334</v>
      </c>
      <c r="AM23">
        <f t="shared" si="13"/>
        <v>80.666666666666671</v>
      </c>
    </row>
    <row r="24" spans="1:39" x14ac:dyDescent="0.25">
      <c r="A24">
        <v>21</v>
      </c>
      <c r="B24">
        <f>Baserun1!H23</f>
        <v>0</v>
      </c>
      <c r="C24">
        <f>Baserun2!H23</f>
        <v>0</v>
      </c>
      <c r="D24">
        <f>Baserun3!H23</f>
        <v>0</v>
      </c>
      <c r="E24">
        <f>Baserun4!H23</f>
        <v>1</v>
      </c>
      <c r="F24">
        <f>Baserun5!H23</f>
        <v>4</v>
      </c>
      <c r="G24">
        <f t="shared" si="1"/>
        <v>0</v>
      </c>
      <c r="H24">
        <f t="shared" si="2"/>
        <v>1</v>
      </c>
      <c r="I24">
        <f t="shared" si="3"/>
        <v>4</v>
      </c>
      <c r="K24">
        <v>21</v>
      </c>
      <c r="L24">
        <f>Baserun1!$G23</f>
        <v>98</v>
      </c>
      <c r="M24">
        <f>Baserun2!$G23</f>
        <v>99</v>
      </c>
      <c r="N24">
        <f>Baserun3!$G23</f>
        <v>59</v>
      </c>
      <c r="O24">
        <f>Baserun4!$G23</f>
        <v>99</v>
      </c>
      <c r="P24">
        <f>Baserun5!$G23</f>
        <v>98</v>
      </c>
      <c r="Q24">
        <f t="shared" si="4"/>
        <v>59</v>
      </c>
      <c r="R24">
        <f t="shared" si="5"/>
        <v>90.6</v>
      </c>
      <c r="S24">
        <f t="shared" si="6"/>
        <v>99</v>
      </c>
      <c r="U24">
        <v>21</v>
      </c>
      <c r="V24">
        <f>Baserun1!D23</f>
        <v>1</v>
      </c>
      <c r="W24">
        <f>Baserun2!D23</f>
        <v>0</v>
      </c>
      <c r="X24">
        <f>Baserun3!D23</f>
        <v>4</v>
      </c>
      <c r="Y24">
        <f>Baserun4!D23</f>
        <v>4</v>
      </c>
      <c r="Z24">
        <f>Baserun5!D23</f>
        <v>8</v>
      </c>
      <c r="AA24">
        <f t="shared" si="7"/>
        <v>0</v>
      </c>
      <c r="AB24">
        <f t="shared" si="8"/>
        <v>3.4</v>
      </c>
      <c r="AC24">
        <f t="shared" si="9"/>
        <v>8</v>
      </c>
      <c r="AE24">
        <v>21</v>
      </c>
      <c r="AF24">
        <f t="shared" si="18"/>
        <v>51.166666666666664</v>
      </c>
      <c r="AG24">
        <f t="shared" si="18"/>
        <v>81.333333333333329</v>
      </c>
      <c r="AH24">
        <f t="shared" si="18"/>
        <v>55</v>
      </c>
      <c r="AI24">
        <f t="shared" si="18"/>
        <v>61</v>
      </c>
      <c r="AJ24">
        <f t="shared" si="18"/>
        <v>77.833333333333329</v>
      </c>
      <c r="AK24">
        <f t="shared" si="11"/>
        <v>51.166666666666664</v>
      </c>
      <c r="AL24">
        <f t="shared" si="12"/>
        <v>65.266666666666666</v>
      </c>
      <c r="AM24">
        <f t="shared" si="13"/>
        <v>81.333333333333329</v>
      </c>
    </row>
    <row r="25" spans="1:39" x14ac:dyDescent="0.25">
      <c r="A25">
        <v>22</v>
      </c>
      <c r="B25">
        <f>Baserun1!H24</f>
        <v>0</v>
      </c>
      <c r="C25" s="2">
        <f>Baserun2!H24</f>
        <v>0</v>
      </c>
      <c r="D25">
        <f>Baserun3!H24</f>
        <v>0</v>
      </c>
      <c r="E25">
        <f>Baserun4!H24</f>
        <v>2</v>
      </c>
      <c r="F25">
        <f>Baserun5!H24</f>
        <v>0</v>
      </c>
      <c r="G25">
        <f t="shared" si="1"/>
        <v>0</v>
      </c>
      <c r="H25">
        <f t="shared" si="2"/>
        <v>0.4</v>
      </c>
      <c r="I25">
        <f t="shared" si="3"/>
        <v>2</v>
      </c>
      <c r="K25">
        <v>22</v>
      </c>
      <c r="L25">
        <f>Baserun1!$G24</f>
        <v>100</v>
      </c>
      <c r="M25" s="2">
        <f>100</f>
        <v>100</v>
      </c>
      <c r="N25">
        <f>Baserun3!$G24</f>
        <v>62</v>
      </c>
      <c r="O25">
        <f>Baserun4!$G24</f>
        <v>98</v>
      </c>
      <c r="P25">
        <f>Baserun5!$G24</f>
        <v>40</v>
      </c>
      <c r="Q25">
        <f t="shared" si="4"/>
        <v>40</v>
      </c>
      <c r="R25">
        <f t="shared" si="5"/>
        <v>80</v>
      </c>
      <c r="S25">
        <f t="shared" si="6"/>
        <v>100</v>
      </c>
      <c r="U25">
        <v>22</v>
      </c>
      <c r="V25">
        <f>Baserun1!D24</f>
        <v>0</v>
      </c>
      <c r="W25" s="2">
        <f>Baserun2!D24</f>
        <v>0</v>
      </c>
      <c r="X25">
        <f>Baserun3!D24</f>
        <v>4</v>
      </c>
      <c r="Y25">
        <f>Baserun4!D24</f>
        <v>5</v>
      </c>
      <c r="Z25">
        <f>Baserun5!D24</f>
        <v>8</v>
      </c>
      <c r="AA25">
        <f t="shared" si="7"/>
        <v>0</v>
      </c>
      <c r="AB25">
        <f t="shared" si="8"/>
        <v>3.4</v>
      </c>
      <c r="AC25">
        <f t="shared" si="9"/>
        <v>8</v>
      </c>
      <c r="AE25">
        <v>22</v>
      </c>
      <c r="AF25">
        <f t="shared" si="18"/>
        <v>58.5</v>
      </c>
      <c r="AG25" s="2">
        <f t="shared" si="18"/>
        <v>90.666666666666671</v>
      </c>
      <c r="AH25">
        <f t="shared" si="18"/>
        <v>59.666666666666664</v>
      </c>
      <c r="AI25">
        <f t="shared" si="18"/>
        <v>69.833333333333329</v>
      </c>
      <c r="AJ25">
        <f t="shared" si="18"/>
        <v>68.5</v>
      </c>
      <c r="AK25">
        <f t="shared" si="11"/>
        <v>58.5</v>
      </c>
      <c r="AL25">
        <f t="shared" si="12"/>
        <v>69.433333333333337</v>
      </c>
      <c r="AM25">
        <f t="shared" si="13"/>
        <v>90.666666666666671</v>
      </c>
    </row>
    <row r="26" spans="1:39" x14ac:dyDescent="0.25">
      <c r="A26">
        <v>23</v>
      </c>
      <c r="B26" s="2">
        <f>Baserun1!H25</f>
        <v>0</v>
      </c>
      <c r="C26" s="2">
        <f>Baserun2!H25</f>
        <v>0</v>
      </c>
      <c r="D26">
        <f>Baserun3!H25</f>
        <v>1</v>
      </c>
      <c r="E26">
        <f>Baserun4!H25</f>
        <v>0</v>
      </c>
      <c r="F26">
        <f>Baserun5!H25</f>
        <v>4</v>
      </c>
      <c r="G26">
        <f t="shared" si="1"/>
        <v>0</v>
      </c>
      <c r="H26">
        <f t="shared" si="2"/>
        <v>1</v>
      </c>
      <c r="I26">
        <f t="shared" si="3"/>
        <v>4</v>
      </c>
      <c r="K26">
        <v>23</v>
      </c>
      <c r="L26" s="2">
        <f>100</f>
        <v>100</v>
      </c>
      <c r="M26" s="2">
        <f>100</f>
        <v>100</v>
      </c>
      <c r="N26">
        <f>Baserun3!$G25</f>
        <v>99</v>
      </c>
      <c r="O26">
        <f>Baserun4!$G25</f>
        <v>35</v>
      </c>
      <c r="P26">
        <f>Baserun5!$G25</f>
        <v>96</v>
      </c>
      <c r="Q26">
        <f t="shared" si="4"/>
        <v>35</v>
      </c>
      <c r="R26">
        <f t="shared" si="5"/>
        <v>86</v>
      </c>
      <c r="S26">
        <f t="shared" si="6"/>
        <v>100</v>
      </c>
      <c r="U26">
        <v>23</v>
      </c>
      <c r="V26" s="2">
        <f>Baserun1!D25</f>
        <v>0</v>
      </c>
      <c r="W26" s="2">
        <f>Baserun2!D25</f>
        <v>0</v>
      </c>
      <c r="X26">
        <f>Baserun3!D25</f>
        <v>4</v>
      </c>
      <c r="Y26">
        <f>Baserun4!D25</f>
        <v>5</v>
      </c>
      <c r="Z26">
        <f>Baserun5!D25</f>
        <v>12</v>
      </c>
      <c r="AA26">
        <f t="shared" si="7"/>
        <v>0</v>
      </c>
      <c r="AB26">
        <f t="shared" si="8"/>
        <v>4.2</v>
      </c>
      <c r="AC26">
        <f t="shared" si="9"/>
        <v>12</v>
      </c>
      <c r="AE26">
        <v>23</v>
      </c>
      <c r="AF26" s="2">
        <f t="shared" ref="AF26:AJ41" si="19">AVERAGE(L21:L26)</f>
        <v>69.666666666666671</v>
      </c>
      <c r="AG26" s="2">
        <f t="shared" si="19"/>
        <v>90.833333333333329</v>
      </c>
      <c r="AH26">
        <f t="shared" si="19"/>
        <v>71</v>
      </c>
      <c r="AI26">
        <f t="shared" si="19"/>
        <v>70</v>
      </c>
      <c r="AJ26">
        <f t="shared" si="19"/>
        <v>79.5</v>
      </c>
      <c r="AK26">
        <f t="shared" si="11"/>
        <v>69.666666666666671</v>
      </c>
      <c r="AL26">
        <f t="shared" si="12"/>
        <v>76.2</v>
      </c>
      <c r="AM26">
        <f t="shared" si="13"/>
        <v>90.833333333333329</v>
      </c>
    </row>
    <row r="27" spans="1:39" x14ac:dyDescent="0.25">
      <c r="A27">
        <v>24</v>
      </c>
      <c r="B27" s="2">
        <f>Baserun1!H26</f>
        <v>0</v>
      </c>
      <c r="C27" s="2">
        <f>Baserun2!H26</f>
        <v>0</v>
      </c>
      <c r="D27">
        <f>Baserun3!H26</f>
        <v>1</v>
      </c>
      <c r="E27">
        <f>Baserun4!H26</f>
        <v>1</v>
      </c>
      <c r="F27">
        <f>Baserun5!H26</f>
        <v>0</v>
      </c>
      <c r="G27">
        <f t="shared" si="1"/>
        <v>0</v>
      </c>
      <c r="H27">
        <f t="shared" si="2"/>
        <v>0.4</v>
      </c>
      <c r="I27">
        <f t="shared" si="3"/>
        <v>1</v>
      </c>
      <c r="K27">
        <v>24</v>
      </c>
      <c r="L27" s="2">
        <f>100</f>
        <v>100</v>
      </c>
      <c r="M27" s="2">
        <f>100</f>
        <v>100</v>
      </c>
      <c r="N27">
        <f>Baserun3!$G26</f>
        <v>40</v>
      </c>
      <c r="O27">
        <f>Baserun4!$G26</f>
        <v>98</v>
      </c>
      <c r="P27">
        <f>Baserun5!$G26</f>
        <v>48</v>
      </c>
      <c r="Q27">
        <f t="shared" si="4"/>
        <v>40</v>
      </c>
      <c r="R27">
        <f t="shared" si="5"/>
        <v>77.2</v>
      </c>
      <c r="S27">
        <f t="shared" si="6"/>
        <v>100</v>
      </c>
      <c r="U27">
        <v>24</v>
      </c>
      <c r="V27" s="2">
        <f>Baserun1!D26</f>
        <v>0</v>
      </c>
      <c r="W27" s="2">
        <f>Baserun2!D26</f>
        <v>0</v>
      </c>
      <c r="X27">
        <f>Baserun3!D26</f>
        <v>4</v>
      </c>
      <c r="Y27">
        <f>Baserun4!D26</f>
        <v>6</v>
      </c>
      <c r="Z27">
        <f>Baserun5!D26</f>
        <v>9</v>
      </c>
      <c r="AA27">
        <f t="shared" si="7"/>
        <v>0</v>
      </c>
      <c r="AB27">
        <f t="shared" si="8"/>
        <v>3.8</v>
      </c>
      <c r="AC27">
        <f t="shared" si="9"/>
        <v>9</v>
      </c>
      <c r="AE27">
        <v>24</v>
      </c>
      <c r="AF27" s="2">
        <f t="shared" si="19"/>
        <v>80.5</v>
      </c>
      <c r="AG27" s="2">
        <f t="shared" si="19"/>
        <v>91</v>
      </c>
      <c r="AH27">
        <f t="shared" si="19"/>
        <v>69</v>
      </c>
      <c r="AI27">
        <f t="shared" si="19"/>
        <v>79.5</v>
      </c>
      <c r="AJ27">
        <f t="shared" si="19"/>
        <v>71.166666666666671</v>
      </c>
      <c r="AK27">
        <f t="shared" si="11"/>
        <v>69</v>
      </c>
      <c r="AL27">
        <f t="shared" si="12"/>
        <v>78.233333333333334</v>
      </c>
      <c r="AM27">
        <f t="shared" si="13"/>
        <v>91</v>
      </c>
    </row>
    <row r="28" spans="1:39" x14ac:dyDescent="0.25">
      <c r="A28">
        <v>25</v>
      </c>
      <c r="B28" s="2">
        <f>Baserun1!H27</f>
        <v>0</v>
      </c>
      <c r="C28" s="2">
        <f>Baserun2!H27</f>
        <v>0</v>
      </c>
      <c r="D28">
        <f>Baserun3!H27</f>
        <v>4</v>
      </c>
      <c r="E28">
        <f>Baserun4!H27</f>
        <v>0</v>
      </c>
      <c r="F28">
        <f>Baserun5!H27</f>
        <v>0</v>
      </c>
      <c r="G28">
        <f t="shared" si="1"/>
        <v>0</v>
      </c>
      <c r="H28">
        <f t="shared" si="2"/>
        <v>0.8</v>
      </c>
      <c r="I28">
        <f t="shared" si="3"/>
        <v>4</v>
      </c>
      <c r="K28">
        <v>25</v>
      </c>
      <c r="L28" s="2">
        <f>100</f>
        <v>100</v>
      </c>
      <c r="M28" s="2">
        <f>100</f>
        <v>100</v>
      </c>
      <c r="N28">
        <f>Baserun3!$G27</f>
        <v>99</v>
      </c>
      <c r="O28">
        <f>Baserun4!$G27</f>
        <v>53</v>
      </c>
      <c r="P28">
        <f>Baserun5!$G27</f>
        <v>40</v>
      </c>
      <c r="Q28">
        <f t="shared" si="4"/>
        <v>40</v>
      </c>
      <c r="R28">
        <f t="shared" si="5"/>
        <v>78.400000000000006</v>
      </c>
      <c r="S28">
        <f t="shared" si="6"/>
        <v>100</v>
      </c>
      <c r="U28">
        <v>25</v>
      </c>
      <c r="V28" s="2">
        <f>Baserun1!D27</f>
        <v>0</v>
      </c>
      <c r="W28" s="2">
        <f>Baserun2!D27</f>
        <v>0</v>
      </c>
      <c r="X28">
        <f>Baserun3!D27</f>
        <v>8</v>
      </c>
      <c r="Y28">
        <f>Baserun4!D27</f>
        <v>4</v>
      </c>
      <c r="Z28">
        <f>Baserun5!D27</f>
        <v>9</v>
      </c>
      <c r="AA28">
        <f t="shared" si="7"/>
        <v>0</v>
      </c>
      <c r="AB28">
        <f t="shared" si="8"/>
        <v>4.2</v>
      </c>
      <c r="AC28">
        <f t="shared" si="9"/>
        <v>9</v>
      </c>
      <c r="AE28">
        <v>25</v>
      </c>
      <c r="AF28" s="2">
        <f t="shared" si="19"/>
        <v>91.5</v>
      </c>
      <c r="AG28" s="2">
        <f t="shared" si="19"/>
        <v>99.666666666666671</v>
      </c>
      <c r="AH28">
        <f t="shared" si="19"/>
        <v>76.333333333333329</v>
      </c>
      <c r="AI28">
        <f t="shared" si="19"/>
        <v>72.666666666666671</v>
      </c>
      <c r="AJ28">
        <f t="shared" si="19"/>
        <v>70.166666666666671</v>
      </c>
      <c r="AK28">
        <f t="shared" si="11"/>
        <v>70.166666666666671</v>
      </c>
      <c r="AL28">
        <f t="shared" si="12"/>
        <v>82.066666666666677</v>
      </c>
      <c r="AM28">
        <f t="shared" si="13"/>
        <v>99.666666666666671</v>
      </c>
    </row>
    <row r="29" spans="1:39" x14ac:dyDescent="0.25">
      <c r="A29">
        <v>26</v>
      </c>
      <c r="B29" s="2">
        <f>Baserun1!H28</f>
        <v>0</v>
      </c>
      <c r="C29" s="2">
        <f>Baserun2!H28</f>
        <v>0</v>
      </c>
      <c r="D29">
        <f>Baserun3!H28</f>
        <v>3</v>
      </c>
      <c r="E29">
        <f>Baserun4!H28</f>
        <v>0</v>
      </c>
      <c r="F29">
        <f>Baserun5!H28</f>
        <v>2</v>
      </c>
      <c r="G29">
        <f t="shared" si="1"/>
        <v>0</v>
      </c>
      <c r="H29">
        <f t="shared" si="2"/>
        <v>1</v>
      </c>
      <c r="I29">
        <f t="shared" si="3"/>
        <v>3</v>
      </c>
      <c r="K29">
        <v>26</v>
      </c>
      <c r="L29" s="2">
        <f>100</f>
        <v>100</v>
      </c>
      <c r="M29" s="2">
        <f>100</f>
        <v>100</v>
      </c>
      <c r="N29">
        <f>Baserun3!$G28</f>
        <v>100</v>
      </c>
      <c r="O29">
        <f>Baserun4!$G28</f>
        <v>38</v>
      </c>
      <c r="P29">
        <f>Baserun5!$G28</f>
        <v>96</v>
      </c>
      <c r="Q29">
        <f t="shared" si="4"/>
        <v>38</v>
      </c>
      <c r="R29">
        <f t="shared" si="5"/>
        <v>86.8</v>
      </c>
      <c r="S29">
        <f t="shared" si="6"/>
        <v>100</v>
      </c>
      <c r="U29">
        <v>26</v>
      </c>
      <c r="V29" s="2">
        <f>Baserun1!D28</f>
        <v>0</v>
      </c>
      <c r="W29" s="2">
        <f>Baserun2!D28</f>
        <v>0</v>
      </c>
      <c r="X29">
        <f>Baserun3!D28</f>
        <v>9</v>
      </c>
      <c r="Y29">
        <f>Baserun4!D28</f>
        <v>4</v>
      </c>
      <c r="Z29">
        <f>Baserun5!D28</f>
        <v>10</v>
      </c>
      <c r="AA29">
        <f t="shared" si="7"/>
        <v>0</v>
      </c>
      <c r="AB29">
        <f t="shared" si="8"/>
        <v>4.5999999999999996</v>
      </c>
      <c r="AC29">
        <f t="shared" si="9"/>
        <v>10</v>
      </c>
      <c r="AE29">
        <v>26</v>
      </c>
      <c r="AF29" s="2">
        <f t="shared" si="19"/>
        <v>99.666666666666671</v>
      </c>
      <c r="AG29" s="2">
        <f t="shared" si="19"/>
        <v>99.833333333333329</v>
      </c>
      <c r="AH29">
        <f t="shared" si="19"/>
        <v>76.5</v>
      </c>
      <c r="AI29">
        <f t="shared" si="19"/>
        <v>70.166666666666671</v>
      </c>
      <c r="AJ29">
        <f t="shared" si="19"/>
        <v>69.666666666666671</v>
      </c>
      <c r="AK29">
        <f t="shared" si="11"/>
        <v>69.666666666666671</v>
      </c>
      <c r="AL29">
        <f t="shared" si="12"/>
        <v>83.166666666666671</v>
      </c>
      <c r="AM29">
        <f t="shared" si="13"/>
        <v>99.833333333333329</v>
      </c>
    </row>
    <row r="30" spans="1:39" x14ac:dyDescent="0.25">
      <c r="A30">
        <v>27</v>
      </c>
      <c r="B30" s="2">
        <f>Baserun1!H29</f>
        <v>0</v>
      </c>
      <c r="C30" s="2">
        <f>Baserun2!H29</f>
        <v>0</v>
      </c>
      <c r="D30">
        <f>Baserun3!H29</f>
        <v>0</v>
      </c>
      <c r="E30">
        <f>Baserun4!H29</f>
        <v>1</v>
      </c>
      <c r="F30">
        <f>Baserun5!H29</f>
        <v>0</v>
      </c>
      <c r="G30">
        <f t="shared" si="1"/>
        <v>0</v>
      </c>
      <c r="H30">
        <f t="shared" si="2"/>
        <v>0.2</v>
      </c>
      <c r="I30">
        <f t="shared" si="3"/>
        <v>1</v>
      </c>
      <c r="K30">
        <v>27</v>
      </c>
      <c r="L30" s="2">
        <f>100</f>
        <v>100</v>
      </c>
      <c r="M30" s="2">
        <f>100</f>
        <v>100</v>
      </c>
      <c r="N30">
        <f>Baserun3!$G29</f>
        <v>56</v>
      </c>
      <c r="O30">
        <f>Baserun4!$G29</f>
        <v>99</v>
      </c>
      <c r="P30">
        <f>Baserun5!$G29</f>
        <v>35</v>
      </c>
      <c r="Q30">
        <f t="shared" si="4"/>
        <v>35</v>
      </c>
      <c r="R30">
        <f t="shared" si="5"/>
        <v>78</v>
      </c>
      <c r="S30">
        <f t="shared" si="6"/>
        <v>100</v>
      </c>
      <c r="U30">
        <v>27</v>
      </c>
      <c r="V30" s="2">
        <f>Baserun1!D29</f>
        <v>0</v>
      </c>
      <c r="W30" s="2">
        <f>Baserun2!D29</f>
        <v>0</v>
      </c>
      <c r="X30">
        <f>Baserun3!D29</f>
        <v>9</v>
      </c>
      <c r="Y30">
        <f>Baserun4!D29</f>
        <v>4</v>
      </c>
      <c r="Z30">
        <f>Baserun5!D29</f>
        <v>6</v>
      </c>
      <c r="AA30">
        <f t="shared" si="7"/>
        <v>0</v>
      </c>
      <c r="AB30">
        <f t="shared" si="8"/>
        <v>3.8</v>
      </c>
      <c r="AC30">
        <f t="shared" si="9"/>
        <v>9</v>
      </c>
      <c r="AE30">
        <v>27</v>
      </c>
      <c r="AF30" s="2">
        <f t="shared" si="19"/>
        <v>100</v>
      </c>
      <c r="AG30" s="2">
        <f t="shared" si="19"/>
        <v>100</v>
      </c>
      <c r="AH30">
        <f t="shared" si="19"/>
        <v>76</v>
      </c>
      <c r="AI30">
        <f t="shared" si="19"/>
        <v>70.166666666666671</v>
      </c>
      <c r="AJ30">
        <f t="shared" si="19"/>
        <v>59.166666666666664</v>
      </c>
      <c r="AK30">
        <f t="shared" si="11"/>
        <v>59.166666666666664</v>
      </c>
      <c r="AL30">
        <f t="shared" si="12"/>
        <v>81.066666666666677</v>
      </c>
      <c r="AM30">
        <f t="shared" si="13"/>
        <v>100</v>
      </c>
    </row>
    <row r="31" spans="1:39" x14ac:dyDescent="0.25">
      <c r="A31">
        <v>28</v>
      </c>
      <c r="B31" s="2">
        <f>Baserun1!H30</f>
        <v>0</v>
      </c>
      <c r="C31" s="2">
        <f>Baserun2!H30</f>
        <v>0</v>
      </c>
      <c r="D31">
        <f>Baserun3!H30</f>
        <v>0</v>
      </c>
      <c r="E31">
        <f>Baserun4!H30</f>
        <v>0</v>
      </c>
      <c r="F31">
        <f>Baserun5!H30</f>
        <v>2</v>
      </c>
      <c r="G31">
        <f t="shared" si="1"/>
        <v>0</v>
      </c>
      <c r="H31">
        <f t="shared" si="2"/>
        <v>0.4</v>
      </c>
      <c r="I31">
        <f t="shared" si="3"/>
        <v>2</v>
      </c>
      <c r="K31">
        <v>28</v>
      </c>
      <c r="L31" s="2">
        <f>100</f>
        <v>100</v>
      </c>
      <c r="M31" s="2">
        <f>100</f>
        <v>100</v>
      </c>
      <c r="N31">
        <f>Baserun3!$G30</f>
        <v>55</v>
      </c>
      <c r="O31">
        <f>Baserun4!$G30</f>
        <v>53</v>
      </c>
      <c r="P31">
        <f>Baserun5!$G30</f>
        <v>97</v>
      </c>
      <c r="Q31">
        <f t="shared" si="4"/>
        <v>53</v>
      </c>
      <c r="R31">
        <f t="shared" si="5"/>
        <v>81</v>
      </c>
      <c r="S31">
        <f t="shared" si="6"/>
        <v>100</v>
      </c>
      <c r="U31">
        <v>28</v>
      </c>
      <c r="V31" s="2">
        <f>Baserun1!D30</f>
        <v>0</v>
      </c>
      <c r="W31" s="2">
        <f>Baserun2!D30</f>
        <v>0</v>
      </c>
      <c r="X31">
        <f>Baserun3!D30</f>
        <v>9</v>
      </c>
      <c r="Y31">
        <f>Baserun4!D30</f>
        <v>2</v>
      </c>
      <c r="Z31">
        <f>Baserun5!D30</f>
        <v>8</v>
      </c>
      <c r="AA31">
        <f t="shared" si="7"/>
        <v>0</v>
      </c>
      <c r="AB31">
        <f t="shared" si="8"/>
        <v>3.8</v>
      </c>
      <c r="AC31">
        <f t="shared" si="9"/>
        <v>9</v>
      </c>
      <c r="AE31">
        <v>28</v>
      </c>
      <c r="AF31" s="2">
        <f t="shared" si="19"/>
        <v>100</v>
      </c>
      <c r="AG31" s="2">
        <f t="shared" si="19"/>
        <v>100</v>
      </c>
      <c r="AH31">
        <f t="shared" si="19"/>
        <v>74.833333333333329</v>
      </c>
      <c r="AI31">
        <f t="shared" si="19"/>
        <v>62.666666666666664</v>
      </c>
      <c r="AJ31">
        <f t="shared" si="19"/>
        <v>68.666666666666671</v>
      </c>
      <c r="AK31">
        <f t="shared" si="11"/>
        <v>62.666666666666664</v>
      </c>
      <c r="AL31">
        <f t="shared" si="12"/>
        <v>81.233333333333334</v>
      </c>
      <c r="AM31">
        <f t="shared" si="13"/>
        <v>100</v>
      </c>
    </row>
    <row r="32" spans="1:39" x14ac:dyDescent="0.25">
      <c r="A32">
        <v>29</v>
      </c>
      <c r="B32" s="2">
        <f>Baserun1!H31</f>
        <v>0</v>
      </c>
      <c r="C32" s="2">
        <f>Baserun2!H31</f>
        <v>0</v>
      </c>
      <c r="D32">
        <f>Baserun3!H31</f>
        <v>0</v>
      </c>
      <c r="E32">
        <f>Baserun4!H31</f>
        <v>0</v>
      </c>
      <c r="F32">
        <f>Baserun5!H31</f>
        <v>2</v>
      </c>
      <c r="G32">
        <f t="shared" si="1"/>
        <v>0</v>
      </c>
      <c r="H32">
        <f t="shared" si="2"/>
        <v>0.4</v>
      </c>
      <c r="I32">
        <f t="shared" si="3"/>
        <v>2</v>
      </c>
      <c r="K32">
        <v>29</v>
      </c>
      <c r="L32" s="2">
        <f>100</f>
        <v>100</v>
      </c>
      <c r="M32" s="2">
        <f>100</f>
        <v>100</v>
      </c>
      <c r="N32">
        <f>Baserun3!$G31</f>
        <v>46</v>
      </c>
      <c r="O32">
        <f>Baserun4!$G31</f>
        <v>99</v>
      </c>
      <c r="P32">
        <f>Baserun5!$G31</f>
        <v>98</v>
      </c>
      <c r="Q32">
        <f t="shared" si="4"/>
        <v>46</v>
      </c>
      <c r="R32">
        <f t="shared" si="5"/>
        <v>88.6</v>
      </c>
      <c r="S32">
        <f t="shared" si="6"/>
        <v>100</v>
      </c>
      <c r="U32">
        <v>29</v>
      </c>
      <c r="V32" s="2">
        <f>Baserun1!D31</f>
        <v>0</v>
      </c>
      <c r="W32" s="2">
        <f>Baserun2!D31</f>
        <v>0</v>
      </c>
      <c r="X32">
        <f>Baserun3!D31</f>
        <v>8</v>
      </c>
      <c r="Y32">
        <f>Baserun4!D31</f>
        <v>2</v>
      </c>
      <c r="Z32">
        <f>Baserun5!D31</f>
        <v>6</v>
      </c>
      <c r="AA32">
        <f t="shared" si="7"/>
        <v>0</v>
      </c>
      <c r="AB32">
        <f t="shared" si="8"/>
        <v>3.2</v>
      </c>
      <c r="AC32">
        <f t="shared" si="9"/>
        <v>8</v>
      </c>
      <c r="AE32">
        <v>29</v>
      </c>
      <c r="AF32" s="2">
        <f t="shared" si="19"/>
        <v>100</v>
      </c>
      <c r="AG32" s="2">
        <f t="shared" si="19"/>
        <v>100</v>
      </c>
      <c r="AH32">
        <f t="shared" si="19"/>
        <v>66</v>
      </c>
      <c r="AI32">
        <f t="shared" si="19"/>
        <v>73.333333333333329</v>
      </c>
      <c r="AJ32">
        <f t="shared" si="19"/>
        <v>69</v>
      </c>
      <c r="AK32">
        <f t="shared" si="11"/>
        <v>66</v>
      </c>
      <c r="AL32">
        <f t="shared" si="12"/>
        <v>81.666666666666657</v>
      </c>
      <c r="AM32">
        <f t="shared" si="13"/>
        <v>100</v>
      </c>
    </row>
    <row r="33" spans="1:39" x14ac:dyDescent="0.25">
      <c r="A33">
        <v>30</v>
      </c>
      <c r="B33" s="2">
        <f>Baserun1!H32</f>
        <v>0</v>
      </c>
      <c r="C33" s="2">
        <f>Baserun2!H32</f>
        <v>0</v>
      </c>
      <c r="D33">
        <f>Baserun3!H32</f>
        <v>0</v>
      </c>
      <c r="E33">
        <f>Baserun4!H32</f>
        <v>1</v>
      </c>
      <c r="F33">
        <f>Baserun5!H32</f>
        <v>0</v>
      </c>
      <c r="G33">
        <f t="shared" si="1"/>
        <v>0</v>
      </c>
      <c r="H33">
        <f t="shared" si="2"/>
        <v>0.2</v>
      </c>
      <c r="I33">
        <f t="shared" si="3"/>
        <v>1</v>
      </c>
      <c r="K33">
        <v>30</v>
      </c>
      <c r="L33" s="2">
        <f>100</f>
        <v>100</v>
      </c>
      <c r="M33" s="2">
        <f>100</f>
        <v>100</v>
      </c>
      <c r="N33">
        <f>Baserun3!$G32</f>
        <v>40</v>
      </c>
      <c r="O33">
        <f>Baserun4!$G32</f>
        <v>100</v>
      </c>
      <c r="P33">
        <f>Baserun5!$G32</f>
        <v>31</v>
      </c>
      <c r="Q33">
        <f t="shared" si="4"/>
        <v>31</v>
      </c>
      <c r="R33">
        <f t="shared" si="5"/>
        <v>74.2</v>
      </c>
      <c r="S33">
        <f t="shared" si="6"/>
        <v>100</v>
      </c>
      <c r="U33">
        <v>30</v>
      </c>
      <c r="V33" s="2">
        <f>Baserun1!D32</f>
        <v>0</v>
      </c>
      <c r="W33" s="2">
        <f>Baserun2!D32</f>
        <v>0</v>
      </c>
      <c r="X33">
        <f>Baserun3!D32</f>
        <v>7</v>
      </c>
      <c r="Y33">
        <f>Baserun4!D32</f>
        <v>2</v>
      </c>
      <c r="Z33">
        <f>Baserun5!D32</f>
        <v>6</v>
      </c>
      <c r="AA33">
        <f t="shared" si="7"/>
        <v>0</v>
      </c>
      <c r="AB33">
        <f t="shared" si="8"/>
        <v>3</v>
      </c>
      <c r="AC33">
        <f t="shared" si="9"/>
        <v>7</v>
      </c>
      <c r="AE33">
        <v>30</v>
      </c>
      <c r="AF33" s="2">
        <f t="shared" si="19"/>
        <v>100</v>
      </c>
      <c r="AG33" s="2">
        <f t="shared" si="19"/>
        <v>100</v>
      </c>
      <c r="AH33">
        <f t="shared" si="19"/>
        <v>66</v>
      </c>
      <c r="AI33">
        <f t="shared" si="19"/>
        <v>73.666666666666671</v>
      </c>
      <c r="AJ33">
        <f t="shared" si="19"/>
        <v>66.166666666666671</v>
      </c>
      <c r="AK33">
        <f t="shared" si="11"/>
        <v>66</v>
      </c>
      <c r="AL33">
        <f t="shared" si="12"/>
        <v>81.166666666666671</v>
      </c>
      <c r="AM33">
        <f t="shared" si="13"/>
        <v>100</v>
      </c>
    </row>
    <row r="34" spans="1:39" x14ac:dyDescent="0.25">
      <c r="A34">
        <v>31</v>
      </c>
      <c r="B34" s="2">
        <f>Baserun1!H33</f>
        <v>0</v>
      </c>
      <c r="C34" s="2">
        <f>Baserun2!H33</f>
        <v>0</v>
      </c>
      <c r="D34">
        <f>Baserun3!H33</f>
        <v>0</v>
      </c>
      <c r="E34">
        <f>Baserun4!H33</f>
        <v>0</v>
      </c>
      <c r="F34">
        <f>Baserun5!H33</f>
        <v>2</v>
      </c>
      <c r="G34">
        <f t="shared" si="1"/>
        <v>0</v>
      </c>
      <c r="H34">
        <f t="shared" si="2"/>
        <v>0.4</v>
      </c>
      <c r="I34">
        <f t="shared" si="3"/>
        <v>2</v>
      </c>
      <c r="K34">
        <v>31</v>
      </c>
      <c r="L34" s="2">
        <f>100</f>
        <v>100</v>
      </c>
      <c r="M34" s="2">
        <f>100</f>
        <v>100</v>
      </c>
      <c r="N34">
        <f>Baserun3!$G33</f>
        <v>97</v>
      </c>
      <c r="O34">
        <f>Baserun4!$G33</f>
        <v>52</v>
      </c>
      <c r="P34">
        <f>Baserun5!$G33</f>
        <v>98</v>
      </c>
      <c r="Q34">
        <f t="shared" si="4"/>
        <v>52</v>
      </c>
      <c r="R34">
        <f t="shared" si="5"/>
        <v>89.4</v>
      </c>
      <c r="S34">
        <f t="shared" si="6"/>
        <v>100</v>
      </c>
      <c r="U34">
        <v>31</v>
      </c>
      <c r="V34" s="2">
        <f>Baserun1!D33</f>
        <v>0</v>
      </c>
      <c r="W34" s="2">
        <f>Baserun2!D33</f>
        <v>0</v>
      </c>
      <c r="X34">
        <f>Baserun3!D33</f>
        <v>3</v>
      </c>
      <c r="Y34">
        <f>Baserun4!D33</f>
        <v>2</v>
      </c>
      <c r="Z34">
        <f>Baserun5!D33</f>
        <v>8</v>
      </c>
      <c r="AA34">
        <f t="shared" si="7"/>
        <v>0</v>
      </c>
      <c r="AB34">
        <f t="shared" si="8"/>
        <v>2.6</v>
      </c>
      <c r="AC34">
        <f t="shared" si="9"/>
        <v>8</v>
      </c>
      <c r="AE34">
        <v>31</v>
      </c>
      <c r="AF34" s="2">
        <f t="shared" si="19"/>
        <v>100</v>
      </c>
      <c r="AG34" s="2">
        <f t="shared" si="19"/>
        <v>100</v>
      </c>
      <c r="AH34">
        <f t="shared" si="19"/>
        <v>65.666666666666671</v>
      </c>
      <c r="AI34">
        <f t="shared" si="19"/>
        <v>73.5</v>
      </c>
      <c r="AJ34">
        <f t="shared" si="19"/>
        <v>75.833333333333329</v>
      </c>
      <c r="AK34">
        <f t="shared" si="11"/>
        <v>65.666666666666671</v>
      </c>
      <c r="AL34">
        <f t="shared" si="12"/>
        <v>83</v>
      </c>
      <c r="AM34">
        <f t="shared" si="13"/>
        <v>100</v>
      </c>
    </row>
    <row r="35" spans="1:39" x14ac:dyDescent="0.25">
      <c r="A35">
        <v>32</v>
      </c>
      <c r="B35" s="2">
        <f>Baserun1!H34</f>
        <v>0</v>
      </c>
      <c r="C35" s="2">
        <f>Baserun2!H34</f>
        <v>0</v>
      </c>
      <c r="D35">
        <f>Baserun3!H34</f>
        <v>0</v>
      </c>
      <c r="E35">
        <f>Baserun4!H34</f>
        <v>1</v>
      </c>
      <c r="F35">
        <f>Baserun5!H34</f>
        <v>0</v>
      </c>
      <c r="G35">
        <f t="shared" si="1"/>
        <v>0</v>
      </c>
      <c r="H35">
        <f t="shared" si="2"/>
        <v>0.2</v>
      </c>
      <c r="I35">
        <f t="shared" si="3"/>
        <v>1</v>
      </c>
      <c r="K35">
        <v>32</v>
      </c>
      <c r="L35" s="2">
        <f>100</f>
        <v>100</v>
      </c>
      <c r="M35" s="2">
        <f>100</f>
        <v>100</v>
      </c>
      <c r="N35">
        <f>Baserun3!$G34</f>
        <v>97</v>
      </c>
      <c r="O35">
        <f>Baserun4!$G34</f>
        <v>99</v>
      </c>
      <c r="P35">
        <f>Baserun5!$G34</f>
        <v>29</v>
      </c>
      <c r="Q35">
        <f t="shared" si="4"/>
        <v>29</v>
      </c>
      <c r="R35">
        <f t="shared" si="5"/>
        <v>85</v>
      </c>
      <c r="S35">
        <f t="shared" si="6"/>
        <v>100</v>
      </c>
      <c r="U35">
        <v>32</v>
      </c>
      <c r="V35" s="2">
        <f>Baserun1!D34</f>
        <v>0</v>
      </c>
      <c r="W35" s="2">
        <f>Baserun2!D34</f>
        <v>0</v>
      </c>
      <c r="X35">
        <f>Baserun3!D34</f>
        <v>0</v>
      </c>
      <c r="Y35">
        <f>Baserun4!D34</f>
        <v>3</v>
      </c>
      <c r="Z35">
        <f>Baserun5!D34</f>
        <v>6</v>
      </c>
      <c r="AA35">
        <f t="shared" si="7"/>
        <v>0</v>
      </c>
      <c r="AB35">
        <f t="shared" si="8"/>
        <v>1.8</v>
      </c>
      <c r="AC35">
        <f t="shared" si="9"/>
        <v>6</v>
      </c>
      <c r="AE35">
        <v>32</v>
      </c>
      <c r="AF35" s="2">
        <f t="shared" si="19"/>
        <v>100</v>
      </c>
      <c r="AG35" s="2">
        <f t="shared" si="19"/>
        <v>100</v>
      </c>
      <c r="AH35">
        <f t="shared" si="19"/>
        <v>65.166666666666671</v>
      </c>
      <c r="AI35">
        <f t="shared" si="19"/>
        <v>83.666666666666671</v>
      </c>
      <c r="AJ35">
        <f t="shared" si="19"/>
        <v>64.666666666666671</v>
      </c>
      <c r="AK35">
        <f t="shared" si="11"/>
        <v>64.666666666666671</v>
      </c>
      <c r="AL35">
        <f t="shared" si="12"/>
        <v>82.700000000000017</v>
      </c>
      <c r="AM35">
        <f t="shared" si="13"/>
        <v>100</v>
      </c>
    </row>
    <row r="36" spans="1:39" x14ac:dyDescent="0.25">
      <c r="A36">
        <v>33</v>
      </c>
      <c r="B36" s="2">
        <f>Baserun1!H35</f>
        <v>0</v>
      </c>
      <c r="C36" s="2">
        <f>Baserun2!H35</f>
        <v>0</v>
      </c>
      <c r="D36" s="2">
        <f>Baserun3!H35</f>
        <v>0</v>
      </c>
      <c r="E36">
        <f>Baserun4!H35</f>
        <v>0</v>
      </c>
      <c r="F36">
        <f>Baserun5!H35</f>
        <v>0</v>
      </c>
      <c r="G36">
        <f t="shared" si="1"/>
        <v>0</v>
      </c>
      <c r="H36">
        <f t="shared" si="2"/>
        <v>0</v>
      </c>
      <c r="I36">
        <f t="shared" si="3"/>
        <v>0</v>
      </c>
      <c r="K36">
        <v>33</v>
      </c>
      <c r="L36" s="2">
        <f>100</f>
        <v>100</v>
      </c>
      <c r="M36" s="2">
        <f>100</f>
        <v>100</v>
      </c>
      <c r="N36" s="2">
        <f>100</f>
        <v>100</v>
      </c>
      <c r="O36">
        <f>Baserun4!$G35</f>
        <v>99</v>
      </c>
      <c r="P36">
        <f>Baserun5!$G35</f>
        <v>29</v>
      </c>
      <c r="Q36">
        <f t="shared" si="4"/>
        <v>29</v>
      </c>
      <c r="R36">
        <f t="shared" si="5"/>
        <v>85.6</v>
      </c>
      <c r="S36">
        <f t="shared" si="6"/>
        <v>100</v>
      </c>
      <c r="U36">
        <v>33</v>
      </c>
      <c r="V36" s="2">
        <f>Baserun1!D35</f>
        <v>0</v>
      </c>
      <c r="W36" s="2">
        <f>Baserun2!D35</f>
        <v>0</v>
      </c>
      <c r="X36" s="2">
        <f>Baserun3!D35</f>
        <v>0</v>
      </c>
      <c r="Y36">
        <f>Baserun4!D35</f>
        <v>2</v>
      </c>
      <c r="Z36">
        <f>Baserun5!D35</f>
        <v>6</v>
      </c>
      <c r="AA36">
        <f t="shared" si="7"/>
        <v>0</v>
      </c>
      <c r="AB36">
        <f t="shared" si="8"/>
        <v>1.6</v>
      </c>
      <c r="AC36">
        <f t="shared" si="9"/>
        <v>6</v>
      </c>
      <c r="AE36">
        <v>33</v>
      </c>
      <c r="AF36" s="2">
        <f t="shared" si="19"/>
        <v>100</v>
      </c>
      <c r="AG36" s="2">
        <f t="shared" si="19"/>
        <v>100</v>
      </c>
      <c r="AH36" s="2">
        <f t="shared" si="19"/>
        <v>72.5</v>
      </c>
      <c r="AI36">
        <f t="shared" si="19"/>
        <v>83.666666666666671</v>
      </c>
      <c r="AJ36">
        <f t="shared" si="19"/>
        <v>63.666666666666664</v>
      </c>
      <c r="AK36">
        <f t="shared" si="11"/>
        <v>63.666666666666664</v>
      </c>
      <c r="AL36">
        <f t="shared" si="12"/>
        <v>83.966666666666669</v>
      </c>
      <c r="AM36">
        <f t="shared" si="13"/>
        <v>100</v>
      </c>
    </row>
    <row r="37" spans="1:39" x14ac:dyDescent="0.25">
      <c r="A37">
        <v>34</v>
      </c>
      <c r="B37" s="2">
        <f>Baserun1!H36</f>
        <v>0</v>
      </c>
      <c r="C37" s="2">
        <f>Baserun2!H36</f>
        <v>0</v>
      </c>
      <c r="D37" s="2">
        <f>Baserun3!H36</f>
        <v>0</v>
      </c>
      <c r="E37">
        <f>Baserun4!H36</f>
        <v>0</v>
      </c>
      <c r="F37">
        <f>Baserun5!H36</f>
        <v>3</v>
      </c>
      <c r="G37">
        <f t="shared" si="1"/>
        <v>0</v>
      </c>
      <c r="H37">
        <f t="shared" si="2"/>
        <v>0.6</v>
      </c>
      <c r="I37">
        <f t="shared" si="3"/>
        <v>3</v>
      </c>
      <c r="K37">
        <v>34</v>
      </c>
      <c r="L37" s="2">
        <f>100</f>
        <v>100</v>
      </c>
      <c r="M37" s="2">
        <f>100</f>
        <v>100</v>
      </c>
      <c r="N37" s="2">
        <f>100</f>
        <v>100</v>
      </c>
      <c r="O37">
        <f>Baserun4!$G36</f>
        <v>50</v>
      </c>
      <c r="P37">
        <f>Baserun5!$G36</f>
        <v>98</v>
      </c>
      <c r="Q37">
        <f t="shared" si="4"/>
        <v>50</v>
      </c>
      <c r="R37">
        <f t="shared" si="5"/>
        <v>89.6</v>
      </c>
      <c r="S37">
        <f t="shared" si="6"/>
        <v>100</v>
      </c>
      <c r="U37">
        <v>34</v>
      </c>
      <c r="V37" s="2">
        <f>Baserun1!D36</f>
        <v>0</v>
      </c>
      <c r="W37" s="2">
        <f>Baserun2!D36</f>
        <v>0</v>
      </c>
      <c r="X37" s="2">
        <f>Baserun3!D36</f>
        <v>0</v>
      </c>
      <c r="Y37">
        <f>Baserun4!D36</f>
        <v>2</v>
      </c>
      <c r="Z37">
        <f>Baserun5!D36</f>
        <v>7</v>
      </c>
      <c r="AA37">
        <f t="shared" si="7"/>
        <v>0</v>
      </c>
      <c r="AB37">
        <f t="shared" si="8"/>
        <v>1.8</v>
      </c>
      <c r="AC37">
        <f t="shared" si="9"/>
        <v>7</v>
      </c>
      <c r="AE37">
        <v>34</v>
      </c>
      <c r="AF37" s="2">
        <f t="shared" si="19"/>
        <v>100</v>
      </c>
      <c r="AG37" s="2">
        <f t="shared" si="19"/>
        <v>100</v>
      </c>
      <c r="AH37" s="2">
        <f t="shared" si="19"/>
        <v>80</v>
      </c>
      <c r="AI37">
        <f t="shared" si="19"/>
        <v>83.166666666666671</v>
      </c>
      <c r="AJ37">
        <f t="shared" si="19"/>
        <v>63.833333333333336</v>
      </c>
      <c r="AK37">
        <f t="shared" si="11"/>
        <v>63.833333333333336</v>
      </c>
      <c r="AL37">
        <f t="shared" si="12"/>
        <v>85.4</v>
      </c>
      <c r="AM37">
        <f t="shared" si="13"/>
        <v>100</v>
      </c>
    </row>
    <row r="38" spans="1:39" x14ac:dyDescent="0.25">
      <c r="A38">
        <v>35</v>
      </c>
      <c r="B38" s="2">
        <f>Baserun1!H37</f>
        <v>0</v>
      </c>
      <c r="C38" s="2">
        <f>Baserun2!H37</f>
        <v>0</v>
      </c>
      <c r="D38" s="2">
        <f>Baserun3!H37</f>
        <v>0</v>
      </c>
      <c r="E38">
        <f>Baserun4!H37</f>
        <v>0</v>
      </c>
      <c r="F38">
        <f>Baserun5!H37</f>
        <v>0</v>
      </c>
      <c r="G38">
        <f t="shared" si="1"/>
        <v>0</v>
      </c>
      <c r="H38">
        <f t="shared" si="2"/>
        <v>0</v>
      </c>
      <c r="I38">
        <f t="shared" si="3"/>
        <v>0</v>
      </c>
      <c r="K38">
        <v>35</v>
      </c>
      <c r="L38" s="2">
        <f>100</f>
        <v>100</v>
      </c>
      <c r="M38" s="2">
        <f>100</f>
        <v>100</v>
      </c>
      <c r="N38" s="2">
        <f>100</f>
        <v>100</v>
      </c>
      <c r="O38">
        <f>Baserun4!$G37</f>
        <v>99</v>
      </c>
      <c r="P38">
        <f>Baserun5!$G37</f>
        <v>30</v>
      </c>
      <c r="Q38">
        <f t="shared" si="4"/>
        <v>30</v>
      </c>
      <c r="R38">
        <f t="shared" si="5"/>
        <v>85.8</v>
      </c>
      <c r="S38">
        <f t="shared" si="6"/>
        <v>100</v>
      </c>
      <c r="U38">
        <v>35</v>
      </c>
      <c r="V38" s="2">
        <f>Baserun1!D37</f>
        <v>0</v>
      </c>
      <c r="W38" s="2">
        <f>Baserun2!D37</f>
        <v>0</v>
      </c>
      <c r="X38" s="2">
        <f>Baserun3!D37</f>
        <v>0</v>
      </c>
      <c r="Y38">
        <f>Baserun4!D37</f>
        <v>2</v>
      </c>
      <c r="Z38">
        <f>Baserun5!D37</f>
        <v>5</v>
      </c>
      <c r="AA38">
        <f t="shared" si="7"/>
        <v>0</v>
      </c>
      <c r="AB38">
        <f t="shared" si="8"/>
        <v>1.4</v>
      </c>
      <c r="AC38">
        <f t="shared" si="9"/>
        <v>5</v>
      </c>
      <c r="AE38">
        <v>35</v>
      </c>
      <c r="AF38" s="2">
        <f t="shared" si="19"/>
        <v>100</v>
      </c>
      <c r="AG38" s="2">
        <f t="shared" si="19"/>
        <v>100</v>
      </c>
      <c r="AH38" s="2">
        <f t="shared" si="19"/>
        <v>89</v>
      </c>
      <c r="AI38">
        <f t="shared" si="19"/>
        <v>83.166666666666671</v>
      </c>
      <c r="AJ38">
        <f t="shared" si="19"/>
        <v>52.5</v>
      </c>
      <c r="AK38">
        <f t="shared" si="11"/>
        <v>52.5</v>
      </c>
      <c r="AL38">
        <f t="shared" si="12"/>
        <v>84.933333333333337</v>
      </c>
      <c r="AM38">
        <f t="shared" si="13"/>
        <v>100</v>
      </c>
    </row>
    <row r="39" spans="1:39" x14ac:dyDescent="0.25">
      <c r="A39">
        <v>36</v>
      </c>
      <c r="B39" s="2">
        <f>Baserun1!H38</f>
        <v>0</v>
      </c>
      <c r="C39" s="2">
        <f>Baserun2!H38</f>
        <v>0</v>
      </c>
      <c r="D39" s="2">
        <f>Baserun3!H38</f>
        <v>0</v>
      </c>
      <c r="E39">
        <f>Baserun4!H38</f>
        <v>1</v>
      </c>
      <c r="F39">
        <f>Baserun5!H38</f>
        <v>1</v>
      </c>
      <c r="G39">
        <f t="shared" si="1"/>
        <v>0</v>
      </c>
      <c r="H39">
        <f t="shared" si="2"/>
        <v>0.4</v>
      </c>
      <c r="I39">
        <f t="shared" si="3"/>
        <v>1</v>
      </c>
      <c r="K39">
        <v>36</v>
      </c>
      <c r="L39" s="2">
        <f>100</f>
        <v>100</v>
      </c>
      <c r="M39" s="2">
        <f>100</f>
        <v>100</v>
      </c>
      <c r="N39" s="2">
        <f>100</f>
        <v>100</v>
      </c>
      <c r="O39">
        <f>Baserun4!$G38</f>
        <v>55</v>
      </c>
      <c r="P39">
        <f>Baserun5!$G38</f>
        <v>98</v>
      </c>
      <c r="Q39">
        <f t="shared" si="4"/>
        <v>55</v>
      </c>
      <c r="R39">
        <f t="shared" si="5"/>
        <v>90.6</v>
      </c>
      <c r="S39">
        <f t="shared" si="6"/>
        <v>100</v>
      </c>
      <c r="U39">
        <v>36</v>
      </c>
      <c r="V39" s="2">
        <f>Baserun1!D38</f>
        <v>0</v>
      </c>
      <c r="W39" s="2">
        <f>Baserun2!D38</f>
        <v>0</v>
      </c>
      <c r="X39" s="2">
        <f>Baserun3!D38</f>
        <v>0</v>
      </c>
      <c r="Y39">
        <f>Baserun4!D38</f>
        <v>2</v>
      </c>
      <c r="Z39">
        <f>Baserun5!D38</f>
        <v>6</v>
      </c>
      <c r="AA39">
        <f t="shared" si="7"/>
        <v>0</v>
      </c>
      <c r="AB39">
        <f t="shared" si="8"/>
        <v>1.6</v>
      </c>
      <c r="AC39">
        <f t="shared" si="9"/>
        <v>6</v>
      </c>
      <c r="AE39">
        <v>36</v>
      </c>
      <c r="AF39" s="2">
        <f t="shared" si="19"/>
        <v>100</v>
      </c>
      <c r="AG39" s="2">
        <f t="shared" si="19"/>
        <v>100</v>
      </c>
      <c r="AH39" s="2">
        <f t="shared" si="19"/>
        <v>99</v>
      </c>
      <c r="AI39">
        <f t="shared" si="19"/>
        <v>75.666666666666671</v>
      </c>
      <c r="AJ39">
        <f t="shared" si="19"/>
        <v>63.666666666666664</v>
      </c>
      <c r="AK39">
        <f t="shared" si="11"/>
        <v>63.666666666666664</v>
      </c>
      <c r="AL39">
        <f t="shared" si="12"/>
        <v>87.666666666666671</v>
      </c>
      <c r="AM39">
        <f t="shared" si="13"/>
        <v>100</v>
      </c>
    </row>
    <row r="40" spans="1:39" x14ac:dyDescent="0.25">
      <c r="A40">
        <v>37</v>
      </c>
      <c r="B40" s="2">
        <f>Baserun1!H39</f>
        <v>0</v>
      </c>
      <c r="C40" s="2">
        <f>Baserun2!H39</f>
        <v>0</v>
      </c>
      <c r="D40" s="2">
        <f>Baserun3!H39</f>
        <v>0</v>
      </c>
      <c r="E40">
        <f>Baserun4!H39</f>
        <v>1</v>
      </c>
      <c r="F40">
        <f>Baserun5!H39</f>
        <v>1</v>
      </c>
      <c r="G40">
        <f t="shared" si="1"/>
        <v>0</v>
      </c>
      <c r="H40">
        <f t="shared" si="2"/>
        <v>0.4</v>
      </c>
      <c r="I40">
        <f t="shared" si="3"/>
        <v>1</v>
      </c>
      <c r="K40">
        <v>37</v>
      </c>
      <c r="L40" s="2">
        <f>100</f>
        <v>100</v>
      </c>
      <c r="M40" s="2">
        <f>100</f>
        <v>100</v>
      </c>
      <c r="N40" s="2">
        <f>100</f>
        <v>100</v>
      </c>
      <c r="O40">
        <f>Baserun4!$G39</f>
        <v>99</v>
      </c>
      <c r="P40">
        <f>Baserun5!$G39</f>
        <v>99</v>
      </c>
      <c r="Q40">
        <f t="shared" si="4"/>
        <v>99</v>
      </c>
      <c r="R40">
        <f t="shared" si="5"/>
        <v>99.6</v>
      </c>
      <c r="S40">
        <f t="shared" si="6"/>
        <v>100</v>
      </c>
      <c r="U40">
        <v>37</v>
      </c>
      <c r="V40" s="2">
        <f>Baserun1!D39</f>
        <v>0</v>
      </c>
      <c r="W40" s="2">
        <f>Baserun2!D39</f>
        <v>0</v>
      </c>
      <c r="X40" s="2">
        <f>Baserun3!D39</f>
        <v>0</v>
      </c>
      <c r="Y40">
        <f>Baserun4!D39</f>
        <v>3</v>
      </c>
      <c r="Z40">
        <f>Baserun5!D39</f>
        <v>5</v>
      </c>
      <c r="AA40">
        <f t="shared" si="7"/>
        <v>0</v>
      </c>
      <c r="AB40">
        <f t="shared" si="8"/>
        <v>1.6</v>
      </c>
      <c r="AC40">
        <f t="shared" si="9"/>
        <v>5</v>
      </c>
      <c r="AE40">
        <v>37</v>
      </c>
      <c r="AF40" s="2">
        <f t="shared" si="19"/>
        <v>100</v>
      </c>
      <c r="AG40" s="2">
        <f t="shared" si="19"/>
        <v>100</v>
      </c>
      <c r="AH40" s="2">
        <f t="shared" si="19"/>
        <v>99.5</v>
      </c>
      <c r="AI40">
        <f t="shared" si="19"/>
        <v>83.5</v>
      </c>
      <c r="AJ40">
        <f t="shared" si="19"/>
        <v>63.833333333333336</v>
      </c>
      <c r="AK40">
        <f t="shared" si="11"/>
        <v>63.833333333333336</v>
      </c>
      <c r="AL40">
        <f t="shared" si="12"/>
        <v>89.36666666666666</v>
      </c>
      <c r="AM40">
        <f t="shared" si="13"/>
        <v>100</v>
      </c>
    </row>
    <row r="41" spans="1:39" x14ac:dyDescent="0.25">
      <c r="A41">
        <v>38</v>
      </c>
      <c r="B41" s="2">
        <f>Baserun1!H40</f>
        <v>0</v>
      </c>
      <c r="C41" s="2">
        <f>Baserun2!H40</f>
        <v>0</v>
      </c>
      <c r="D41" s="2">
        <f>Baserun3!H40</f>
        <v>0</v>
      </c>
      <c r="E41">
        <f>Baserun4!H40</f>
        <v>1</v>
      </c>
      <c r="F41">
        <f>Baserun5!H40</f>
        <v>1</v>
      </c>
      <c r="G41">
        <f t="shared" si="1"/>
        <v>0</v>
      </c>
      <c r="H41">
        <f t="shared" si="2"/>
        <v>0.4</v>
      </c>
      <c r="I41">
        <f t="shared" si="3"/>
        <v>1</v>
      </c>
      <c r="K41">
        <v>38</v>
      </c>
      <c r="L41" s="2">
        <f>100</f>
        <v>100</v>
      </c>
      <c r="M41" s="2">
        <f>100</f>
        <v>100</v>
      </c>
      <c r="N41" s="2">
        <f>100</f>
        <v>100</v>
      </c>
      <c r="O41">
        <f>Baserun4!$G40</f>
        <v>100</v>
      </c>
      <c r="P41">
        <f>Baserun5!$G40</f>
        <v>42</v>
      </c>
      <c r="Q41">
        <f t="shared" si="4"/>
        <v>42</v>
      </c>
      <c r="R41">
        <f t="shared" si="5"/>
        <v>88.4</v>
      </c>
      <c r="S41">
        <f t="shared" si="6"/>
        <v>100</v>
      </c>
      <c r="U41">
        <v>38</v>
      </c>
      <c r="V41" s="2">
        <f>Baserun1!D40</f>
        <v>0</v>
      </c>
      <c r="W41" s="2">
        <f>Baserun2!D40</f>
        <v>0</v>
      </c>
      <c r="X41" s="2">
        <f>Baserun3!D40</f>
        <v>0</v>
      </c>
      <c r="Y41">
        <f>Baserun4!D40</f>
        <v>3</v>
      </c>
      <c r="Z41">
        <f>Baserun5!D40</f>
        <v>6</v>
      </c>
      <c r="AA41">
        <f t="shared" si="7"/>
        <v>0</v>
      </c>
      <c r="AB41">
        <f t="shared" si="8"/>
        <v>1.8</v>
      </c>
      <c r="AC41">
        <f t="shared" si="9"/>
        <v>6</v>
      </c>
      <c r="AE41">
        <v>38</v>
      </c>
      <c r="AF41" s="2">
        <f t="shared" si="19"/>
        <v>100</v>
      </c>
      <c r="AG41" s="2">
        <f t="shared" si="19"/>
        <v>100</v>
      </c>
      <c r="AH41" s="2">
        <f t="shared" si="19"/>
        <v>100</v>
      </c>
      <c r="AI41">
        <f t="shared" si="19"/>
        <v>83.666666666666671</v>
      </c>
      <c r="AJ41">
        <f t="shared" si="19"/>
        <v>66</v>
      </c>
      <c r="AK41">
        <f t="shared" si="11"/>
        <v>66</v>
      </c>
      <c r="AL41">
        <f t="shared" si="12"/>
        <v>89.933333333333337</v>
      </c>
      <c r="AM41">
        <f t="shared" si="13"/>
        <v>100</v>
      </c>
    </row>
    <row r="42" spans="1:39" x14ac:dyDescent="0.25">
      <c r="A42">
        <v>39</v>
      </c>
      <c r="B42" s="2">
        <f>Baserun1!H41</f>
        <v>0</v>
      </c>
      <c r="C42" s="2">
        <f>Baserun2!H41</f>
        <v>0</v>
      </c>
      <c r="D42" s="2">
        <f>Baserun3!H41</f>
        <v>0</v>
      </c>
      <c r="E42">
        <f>Baserun4!H41</f>
        <v>0</v>
      </c>
      <c r="F42">
        <f>Baserun5!H41</f>
        <v>1</v>
      </c>
      <c r="G42">
        <f t="shared" si="1"/>
        <v>0</v>
      </c>
      <c r="H42">
        <f t="shared" si="2"/>
        <v>0.2</v>
      </c>
      <c r="I42">
        <f t="shared" si="3"/>
        <v>1</v>
      </c>
      <c r="K42">
        <v>39</v>
      </c>
      <c r="L42" s="2">
        <f>100</f>
        <v>100</v>
      </c>
      <c r="M42" s="2">
        <f>100</f>
        <v>100</v>
      </c>
      <c r="N42" s="2">
        <f>100</f>
        <v>100</v>
      </c>
      <c r="O42">
        <f>Baserun4!$G41</f>
        <v>100</v>
      </c>
      <c r="P42">
        <f>Baserun5!$G41</f>
        <v>97</v>
      </c>
      <c r="Q42">
        <f t="shared" si="4"/>
        <v>97</v>
      </c>
      <c r="R42">
        <f t="shared" si="5"/>
        <v>99.4</v>
      </c>
      <c r="S42">
        <f t="shared" si="6"/>
        <v>100</v>
      </c>
      <c r="U42">
        <v>39</v>
      </c>
      <c r="V42" s="2">
        <f>Baserun1!D41</f>
        <v>0</v>
      </c>
      <c r="W42" s="2">
        <f>Baserun2!D41</f>
        <v>0</v>
      </c>
      <c r="X42" s="2">
        <f>Baserun3!D41</f>
        <v>0</v>
      </c>
      <c r="Y42">
        <f>Baserun4!D41</f>
        <v>3</v>
      </c>
      <c r="Z42">
        <f>Baserun5!D41</f>
        <v>7</v>
      </c>
      <c r="AA42">
        <f t="shared" si="7"/>
        <v>0</v>
      </c>
      <c r="AB42">
        <f t="shared" si="8"/>
        <v>2</v>
      </c>
      <c r="AC42">
        <f t="shared" si="9"/>
        <v>7</v>
      </c>
      <c r="AE42">
        <v>39</v>
      </c>
      <c r="AF42" s="2">
        <f t="shared" ref="AF42:AJ52" si="20">AVERAGE(L37:L42)</f>
        <v>100</v>
      </c>
      <c r="AG42" s="2">
        <f t="shared" si="20"/>
        <v>100</v>
      </c>
      <c r="AH42" s="2">
        <f t="shared" si="20"/>
        <v>100</v>
      </c>
      <c r="AI42">
        <f t="shared" si="20"/>
        <v>83.833333333333329</v>
      </c>
      <c r="AJ42">
        <f t="shared" si="20"/>
        <v>77.333333333333329</v>
      </c>
      <c r="AK42">
        <f t="shared" si="11"/>
        <v>77.333333333333329</v>
      </c>
      <c r="AL42">
        <f t="shared" si="12"/>
        <v>92.23333333333332</v>
      </c>
      <c r="AM42">
        <f t="shared" si="13"/>
        <v>100</v>
      </c>
    </row>
    <row r="43" spans="1:39" x14ac:dyDescent="0.25">
      <c r="A43">
        <v>40</v>
      </c>
      <c r="B43" s="2">
        <f>Baserun1!H42</f>
        <v>0</v>
      </c>
      <c r="C43" s="2">
        <f>Baserun2!H42</f>
        <v>0</v>
      </c>
      <c r="D43" s="2">
        <f>Baserun3!H42</f>
        <v>0</v>
      </c>
      <c r="E43">
        <f>Baserun4!H42</f>
        <v>0</v>
      </c>
      <c r="F43">
        <f>Baserun5!H42</f>
        <v>0</v>
      </c>
      <c r="G43">
        <f t="shared" si="1"/>
        <v>0</v>
      </c>
      <c r="H43">
        <f t="shared" si="2"/>
        <v>0</v>
      </c>
      <c r="I43">
        <f t="shared" si="3"/>
        <v>0</v>
      </c>
      <c r="K43">
        <v>40</v>
      </c>
      <c r="L43" s="2">
        <f>100</f>
        <v>100</v>
      </c>
      <c r="M43" s="2">
        <f>100</f>
        <v>100</v>
      </c>
      <c r="N43" s="2">
        <f>100</f>
        <v>100</v>
      </c>
      <c r="O43">
        <f>Baserun4!$G42</f>
        <v>50</v>
      </c>
      <c r="P43">
        <f>Baserun5!$G42</f>
        <v>45</v>
      </c>
      <c r="Q43">
        <f t="shared" si="4"/>
        <v>45</v>
      </c>
      <c r="R43">
        <f t="shared" si="5"/>
        <v>79</v>
      </c>
      <c r="S43">
        <f t="shared" si="6"/>
        <v>100</v>
      </c>
      <c r="U43">
        <v>40</v>
      </c>
      <c r="V43" s="2">
        <f>Baserun1!D42</f>
        <v>0</v>
      </c>
      <c r="W43" s="2">
        <f>Baserun2!D42</f>
        <v>0</v>
      </c>
      <c r="X43" s="2">
        <f>Baserun3!D42</f>
        <v>0</v>
      </c>
      <c r="Y43">
        <f>Baserun4!D42</f>
        <v>3</v>
      </c>
      <c r="Z43">
        <f>Baserun5!D42</f>
        <v>4</v>
      </c>
      <c r="AA43">
        <f t="shared" si="7"/>
        <v>0</v>
      </c>
      <c r="AB43">
        <f t="shared" si="8"/>
        <v>1.4</v>
      </c>
      <c r="AC43">
        <f t="shared" si="9"/>
        <v>4</v>
      </c>
      <c r="AE43">
        <v>40</v>
      </c>
      <c r="AF43" s="2">
        <f t="shared" si="20"/>
        <v>100</v>
      </c>
      <c r="AG43" s="2">
        <f t="shared" si="20"/>
        <v>100</v>
      </c>
      <c r="AH43" s="2">
        <f t="shared" si="20"/>
        <v>100</v>
      </c>
      <c r="AI43">
        <f t="shared" si="20"/>
        <v>83.833333333333329</v>
      </c>
      <c r="AJ43">
        <f t="shared" si="20"/>
        <v>68.5</v>
      </c>
      <c r="AK43">
        <f t="shared" si="11"/>
        <v>68.5</v>
      </c>
      <c r="AL43">
        <f t="shared" si="12"/>
        <v>90.466666666666669</v>
      </c>
      <c r="AM43">
        <f t="shared" si="13"/>
        <v>100</v>
      </c>
    </row>
    <row r="44" spans="1:39" x14ac:dyDescent="0.25">
      <c r="A44">
        <v>41</v>
      </c>
      <c r="B44" s="2">
        <f>Baserun1!H43</f>
        <v>0</v>
      </c>
      <c r="C44" s="2">
        <f>Baserun2!H43</f>
        <v>0</v>
      </c>
      <c r="D44" s="2">
        <f>Baserun3!H43</f>
        <v>0</v>
      </c>
      <c r="E44">
        <f>Baserun4!H43</f>
        <v>0</v>
      </c>
      <c r="F44">
        <f>Baserun5!H43</f>
        <v>0</v>
      </c>
      <c r="G44">
        <f t="shared" si="1"/>
        <v>0</v>
      </c>
      <c r="H44">
        <f t="shared" si="2"/>
        <v>0</v>
      </c>
      <c r="I44">
        <f t="shared" si="3"/>
        <v>0</v>
      </c>
      <c r="K44">
        <v>41</v>
      </c>
      <c r="L44" s="2">
        <f>100</f>
        <v>100</v>
      </c>
      <c r="M44" s="2">
        <f>100</f>
        <v>100</v>
      </c>
      <c r="N44" s="2">
        <f>100</f>
        <v>100</v>
      </c>
      <c r="O44">
        <f>Baserun4!$G43</f>
        <v>51</v>
      </c>
      <c r="P44">
        <f>Baserun5!$G43</f>
        <v>43</v>
      </c>
      <c r="Q44">
        <f t="shared" si="4"/>
        <v>43</v>
      </c>
      <c r="R44">
        <f t="shared" si="5"/>
        <v>78.8</v>
      </c>
      <c r="S44">
        <f t="shared" si="6"/>
        <v>100</v>
      </c>
      <c r="U44">
        <v>41</v>
      </c>
      <c r="V44" s="2">
        <f>Baserun1!D43</f>
        <v>0</v>
      </c>
      <c r="W44" s="2">
        <f>Baserun2!D43</f>
        <v>0</v>
      </c>
      <c r="X44" s="2">
        <f>Baserun3!D43</f>
        <v>0</v>
      </c>
      <c r="Y44">
        <f>Baserun4!D43</f>
        <v>3</v>
      </c>
      <c r="Z44">
        <f>Baserun5!D43</f>
        <v>4</v>
      </c>
      <c r="AA44">
        <f t="shared" si="7"/>
        <v>0</v>
      </c>
      <c r="AB44">
        <f t="shared" si="8"/>
        <v>1.4</v>
      </c>
      <c r="AC44">
        <f t="shared" si="9"/>
        <v>4</v>
      </c>
      <c r="AE44">
        <v>41</v>
      </c>
      <c r="AF44" s="2">
        <f t="shared" si="20"/>
        <v>100</v>
      </c>
      <c r="AG44" s="2">
        <f t="shared" si="20"/>
        <v>100</v>
      </c>
      <c r="AH44" s="2">
        <f t="shared" si="20"/>
        <v>100</v>
      </c>
      <c r="AI44">
        <f t="shared" si="20"/>
        <v>75.833333333333329</v>
      </c>
      <c r="AJ44">
        <f t="shared" si="20"/>
        <v>70.666666666666671</v>
      </c>
      <c r="AK44">
        <f t="shared" si="11"/>
        <v>70.666666666666671</v>
      </c>
      <c r="AL44">
        <f t="shared" si="12"/>
        <v>89.3</v>
      </c>
      <c r="AM44">
        <f t="shared" si="13"/>
        <v>100</v>
      </c>
    </row>
    <row r="45" spans="1:39" x14ac:dyDescent="0.25">
      <c r="A45">
        <v>42</v>
      </c>
      <c r="B45" s="2">
        <f>Baserun1!H44</f>
        <v>0</v>
      </c>
      <c r="C45" s="2">
        <f>Baserun2!H44</f>
        <v>0</v>
      </c>
      <c r="D45" s="2">
        <f>Baserun3!H44</f>
        <v>0</v>
      </c>
      <c r="E45">
        <f>Baserun4!H44</f>
        <v>0</v>
      </c>
      <c r="F45">
        <f>Baserun5!H44</f>
        <v>0</v>
      </c>
      <c r="G45">
        <f t="shared" si="1"/>
        <v>0</v>
      </c>
      <c r="H45">
        <f t="shared" si="2"/>
        <v>0</v>
      </c>
      <c r="I45">
        <f t="shared" si="3"/>
        <v>0</v>
      </c>
      <c r="K45">
        <v>42</v>
      </c>
      <c r="L45" s="2">
        <f>100</f>
        <v>100</v>
      </c>
      <c r="M45" s="2">
        <f>100</f>
        <v>100</v>
      </c>
      <c r="N45" s="2">
        <f>100</f>
        <v>100</v>
      </c>
      <c r="O45">
        <f>Baserun4!$G44</f>
        <v>50</v>
      </c>
      <c r="P45">
        <f>Baserun5!$G44</f>
        <v>48</v>
      </c>
      <c r="Q45">
        <f t="shared" si="4"/>
        <v>48</v>
      </c>
      <c r="R45">
        <f t="shared" si="5"/>
        <v>79.599999999999994</v>
      </c>
      <c r="S45">
        <f t="shared" si="6"/>
        <v>100</v>
      </c>
      <c r="U45">
        <v>42</v>
      </c>
      <c r="V45" s="2">
        <f>Baserun1!D44</f>
        <v>0</v>
      </c>
      <c r="W45" s="2">
        <f>Baserun2!D44</f>
        <v>0</v>
      </c>
      <c r="X45" s="2">
        <f>Baserun3!D44</f>
        <v>0</v>
      </c>
      <c r="Y45">
        <f>Baserun4!D44</f>
        <v>2</v>
      </c>
      <c r="Z45">
        <f>Baserun5!D44</f>
        <v>3</v>
      </c>
      <c r="AA45">
        <f t="shared" si="7"/>
        <v>0</v>
      </c>
      <c r="AB45">
        <f t="shared" si="8"/>
        <v>1</v>
      </c>
      <c r="AC45">
        <f t="shared" si="9"/>
        <v>3</v>
      </c>
      <c r="AE45">
        <v>42</v>
      </c>
      <c r="AF45" s="2">
        <f t="shared" si="20"/>
        <v>100</v>
      </c>
      <c r="AG45" s="2">
        <f t="shared" si="20"/>
        <v>100</v>
      </c>
      <c r="AH45" s="2">
        <f t="shared" si="20"/>
        <v>100</v>
      </c>
      <c r="AI45">
        <f t="shared" si="20"/>
        <v>75</v>
      </c>
      <c r="AJ45">
        <f t="shared" si="20"/>
        <v>62.333333333333336</v>
      </c>
      <c r="AK45">
        <f t="shared" si="11"/>
        <v>62.333333333333336</v>
      </c>
      <c r="AL45">
        <f t="shared" si="12"/>
        <v>87.466666666666669</v>
      </c>
      <c r="AM45">
        <f t="shared" si="13"/>
        <v>100</v>
      </c>
    </row>
    <row r="46" spans="1:39" x14ac:dyDescent="0.25">
      <c r="A46">
        <v>43</v>
      </c>
      <c r="B46" s="2">
        <f>Baserun1!H45</f>
        <v>0</v>
      </c>
      <c r="C46" s="2">
        <f>Baserun2!H45</f>
        <v>0</v>
      </c>
      <c r="D46" s="2">
        <f>Baserun3!H45</f>
        <v>0</v>
      </c>
      <c r="E46">
        <f>Baserun4!H45</f>
        <v>0</v>
      </c>
      <c r="F46">
        <f>Baserun5!H45</f>
        <v>0</v>
      </c>
      <c r="G46">
        <f t="shared" si="1"/>
        <v>0</v>
      </c>
      <c r="H46">
        <f t="shared" si="2"/>
        <v>0</v>
      </c>
      <c r="I46">
        <f t="shared" si="3"/>
        <v>0</v>
      </c>
      <c r="K46">
        <v>43</v>
      </c>
      <c r="L46" s="2">
        <f>100</f>
        <v>100</v>
      </c>
      <c r="M46" s="2">
        <f>100</f>
        <v>100</v>
      </c>
      <c r="N46" s="2">
        <f>100</f>
        <v>100</v>
      </c>
      <c r="O46">
        <f>Baserun4!$G45</f>
        <v>100</v>
      </c>
      <c r="P46">
        <f>Baserun5!$G45</f>
        <v>49</v>
      </c>
      <c r="Q46">
        <f t="shared" si="4"/>
        <v>49</v>
      </c>
      <c r="R46">
        <f t="shared" si="5"/>
        <v>89.8</v>
      </c>
      <c r="S46">
        <f t="shared" si="6"/>
        <v>100</v>
      </c>
      <c r="U46">
        <v>43</v>
      </c>
      <c r="V46" s="2">
        <f>Baserun1!D45</f>
        <v>0</v>
      </c>
      <c r="W46" s="2">
        <f>Baserun2!D45</f>
        <v>0</v>
      </c>
      <c r="X46" s="2">
        <f>Baserun3!D45</f>
        <v>0</v>
      </c>
      <c r="Y46">
        <f>Baserun4!D45</f>
        <v>1</v>
      </c>
      <c r="Z46">
        <f>Baserun5!D45</f>
        <v>2</v>
      </c>
      <c r="AA46">
        <f t="shared" si="7"/>
        <v>0</v>
      </c>
      <c r="AB46">
        <f t="shared" si="8"/>
        <v>0.6</v>
      </c>
      <c r="AC46">
        <f t="shared" si="9"/>
        <v>2</v>
      </c>
      <c r="AE46">
        <v>43</v>
      </c>
      <c r="AF46" s="2">
        <f t="shared" si="20"/>
        <v>100</v>
      </c>
      <c r="AG46" s="2">
        <f t="shared" si="20"/>
        <v>100</v>
      </c>
      <c r="AH46" s="2">
        <f t="shared" si="20"/>
        <v>100</v>
      </c>
      <c r="AI46">
        <f t="shared" si="20"/>
        <v>75.166666666666671</v>
      </c>
      <c r="AJ46">
        <f t="shared" si="20"/>
        <v>54</v>
      </c>
      <c r="AK46">
        <f t="shared" si="11"/>
        <v>54</v>
      </c>
      <c r="AL46">
        <f t="shared" si="12"/>
        <v>85.833333333333343</v>
      </c>
      <c r="AM46">
        <f t="shared" si="13"/>
        <v>100</v>
      </c>
    </row>
    <row r="47" spans="1:39" x14ac:dyDescent="0.25">
      <c r="A47">
        <v>44</v>
      </c>
      <c r="B47" s="2">
        <f>Baserun1!H46</f>
        <v>0</v>
      </c>
      <c r="C47" s="2">
        <f>Baserun2!H46</f>
        <v>0</v>
      </c>
      <c r="D47" s="2">
        <f>Baserun3!H46</f>
        <v>0</v>
      </c>
      <c r="E47">
        <f>Baserun4!H46</f>
        <v>0</v>
      </c>
      <c r="F47">
        <f>Baserun5!H46</f>
        <v>0</v>
      </c>
      <c r="G47">
        <f t="shared" si="1"/>
        <v>0</v>
      </c>
      <c r="H47">
        <f t="shared" si="2"/>
        <v>0</v>
      </c>
      <c r="I47">
        <f t="shared" si="3"/>
        <v>0</v>
      </c>
      <c r="K47">
        <v>44</v>
      </c>
      <c r="L47" s="2">
        <f>100</f>
        <v>100</v>
      </c>
      <c r="M47" s="2">
        <f>100</f>
        <v>100</v>
      </c>
      <c r="N47" s="2">
        <f>100</f>
        <v>100</v>
      </c>
      <c r="O47">
        <f>Baserun4!$G46</f>
        <v>100</v>
      </c>
      <c r="P47">
        <f>Baserun5!$G46</f>
        <v>98</v>
      </c>
      <c r="Q47">
        <f t="shared" si="4"/>
        <v>98</v>
      </c>
      <c r="R47">
        <f t="shared" si="5"/>
        <v>99.6</v>
      </c>
      <c r="S47">
        <f t="shared" si="6"/>
        <v>100</v>
      </c>
      <c r="U47">
        <v>44</v>
      </c>
      <c r="V47" s="2">
        <f>Baserun1!D46</f>
        <v>0</v>
      </c>
      <c r="W47" s="2">
        <f>Baserun2!D46</f>
        <v>0</v>
      </c>
      <c r="X47" s="2">
        <f>Baserun3!D46</f>
        <v>0</v>
      </c>
      <c r="Y47">
        <f>Baserun4!D46</f>
        <v>0</v>
      </c>
      <c r="Z47">
        <f>Baserun5!D46</f>
        <v>1</v>
      </c>
      <c r="AA47">
        <f t="shared" si="7"/>
        <v>0</v>
      </c>
      <c r="AB47">
        <f t="shared" si="8"/>
        <v>0.2</v>
      </c>
      <c r="AC47">
        <f t="shared" si="9"/>
        <v>1</v>
      </c>
      <c r="AE47">
        <v>44</v>
      </c>
      <c r="AF47" s="2">
        <f t="shared" si="20"/>
        <v>100</v>
      </c>
      <c r="AG47" s="2">
        <f t="shared" si="20"/>
        <v>100</v>
      </c>
      <c r="AH47" s="2">
        <f t="shared" si="20"/>
        <v>100</v>
      </c>
      <c r="AI47">
        <f t="shared" si="20"/>
        <v>75.166666666666671</v>
      </c>
      <c r="AJ47">
        <f t="shared" si="20"/>
        <v>63.333333333333336</v>
      </c>
      <c r="AK47">
        <f t="shared" si="11"/>
        <v>63.333333333333336</v>
      </c>
      <c r="AL47">
        <f t="shared" si="12"/>
        <v>87.7</v>
      </c>
      <c r="AM47">
        <f t="shared" si="13"/>
        <v>100</v>
      </c>
    </row>
    <row r="48" spans="1:39" x14ac:dyDescent="0.25">
      <c r="A48">
        <v>45</v>
      </c>
      <c r="B48" s="2">
        <f>Baserun1!H47</f>
        <v>0</v>
      </c>
      <c r="C48" s="2">
        <f>Baserun2!H47</f>
        <v>0</v>
      </c>
      <c r="D48" s="2">
        <f>Baserun3!H47</f>
        <v>0</v>
      </c>
      <c r="E48" s="2">
        <f>Baserun4!H47</f>
        <v>0</v>
      </c>
      <c r="F48">
        <f>Baserun5!H47</f>
        <v>0</v>
      </c>
      <c r="G48">
        <f t="shared" si="1"/>
        <v>0</v>
      </c>
      <c r="H48">
        <f t="shared" si="2"/>
        <v>0</v>
      </c>
      <c r="I48">
        <f t="shared" si="3"/>
        <v>0</v>
      </c>
      <c r="K48">
        <v>45</v>
      </c>
      <c r="L48" s="2">
        <f>100</f>
        <v>100</v>
      </c>
      <c r="M48" s="2">
        <f>100</f>
        <v>100</v>
      </c>
      <c r="N48" s="2">
        <f>100</f>
        <v>100</v>
      </c>
      <c r="O48" s="2">
        <f>100</f>
        <v>100</v>
      </c>
      <c r="P48">
        <f>Baserun5!$G47</f>
        <v>99</v>
      </c>
      <c r="Q48">
        <f t="shared" si="4"/>
        <v>99</v>
      </c>
      <c r="R48">
        <f t="shared" si="5"/>
        <v>99.8</v>
      </c>
      <c r="S48">
        <f t="shared" si="6"/>
        <v>100</v>
      </c>
      <c r="U48">
        <v>45</v>
      </c>
      <c r="V48" s="2">
        <f>Baserun1!D47</f>
        <v>0</v>
      </c>
      <c r="W48" s="2">
        <f>Baserun2!D47</f>
        <v>0</v>
      </c>
      <c r="X48" s="2">
        <f>Baserun3!D47</f>
        <v>0</v>
      </c>
      <c r="Y48" s="2">
        <f>Baserun4!D47</f>
        <v>0</v>
      </c>
      <c r="Z48">
        <f>Baserun5!D47</f>
        <v>0</v>
      </c>
      <c r="AA48">
        <f t="shared" si="7"/>
        <v>0</v>
      </c>
      <c r="AB48">
        <f t="shared" si="8"/>
        <v>0</v>
      </c>
      <c r="AC48">
        <f t="shared" si="9"/>
        <v>0</v>
      </c>
      <c r="AE48">
        <v>45</v>
      </c>
      <c r="AF48" s="2">
        <f t="shared" si="20"/>
        <v>100</v>
      </c>
      <c r="AG48" s="2">
        <f t="shared" si="20"/>
        <v>100</v>
      </c>
      <c r="AH48" s="2">
        <f t="shared" si="20"/>
        <v>100</v>
      </c>
      <c r="AI48" s="2">
        <f t="shared" si="20"/>
        <v>75.166666666666671</v>
      </c>
      <c r="AJ48">
        <f t="shared" si="20"/>
        <v>63.666666666666664</v>
      </c>
      <c r="AK48">
        <f t="shared" si="11"/>
        <v>63.666666666666664</v>
      </c>
      <c r="AL48">
        <f t="shared" si="12"/>
        <v>87.76666666666668</v>
      </c>
      <c r="AM48">
        <f t="shared" si="13"/>
        <v>100</v>
      </c>
    </row>
    <row r="49" spans="1:39" x14ac:dyDescent="0.25">
      <c r="A49">
        <v>46</v>
      </c>
      <c r="B49" s="2">
        <f>Baserun1!H48</f>
        <v>0</v>
      </c>
      <c r="C49" s="2">
        <f>Baserun2!H48</f>
        <v>0</v>
      </c>
      <c r="D49" s="2">
        <f>Baserun3!H48</f>
        <v>0</v>
      </c>
      <c r="E49" s="2">
        <f>Baserun4!H48</f>
        <v>0</v>
      </c>
      <c r="F49" s="2">
        <f>Baserun5!H48</f>
        <v>0</v>
      </c>
      <c r="G49">
        <f t="shared" si="1"/>
        <v>0</v>
      </c>
      <c r="H49">
        <f t="shared" si="2"/>
        <v>0</v>
      </c>
      <c r="I49">
        <f t="shared" si="3"/>
        <v>0</v>
      </c>
      <c r="K49">
        <v>46</v>
      </c>
      <c r="L49" s="2">
        <f>100</f>
        <v>100</v>
      </c>
      <c r="M49" s="2">
        <f>100</f>
        <v>100</v>
      </c>
      <c r="N49" s="2">
        <f>100</f>
        <v>100</v>
      </c>
      <c r="O49" s="2">
        <f>100</f>
        <v>100</v>
      </c>
      <c r="P49" s="2">
        <f>100</f>
        <v>100</v>
      </c>
      <c r="Q49">
        <f t="shared" si="4"/>
        <v>100</v>
      </c>
      <c r="R49">
        <f t="shared" si="5"/>
        <v>100</v>
      </c>
      <c r="S49">
        <f t="shared" si="6"/>
        <v>100</v>
      </c>
      <c r="U49">
        <v>46</v>
      </c>
      <c r="V49" s="2">
        <f>Baserun1!D48</f>
        <v>0</v>
      </c>
      <c r="W49" s="2">
        <f>Baserun2!D48</f>
        <v>0</v>
      </c>
      <c r="X49" s="2">
        <f>Baserun3!D48</f>
        <v>0</v>
      </c>
      <c r="Y49" s="2">
        <f>Baserun4!D48</f>
        <v>0</v>
      </c>
      <c r="Z49" s="2">
        <f>Baserun5!D48</f>
        <v>0</v>
      </c>
      <c r="AA49">
        <f t="shared" si="7"/>
        <v>0</v>
      </c>
      <c r="AB49">
        <f t="shared" si="8"/>
        <v>0</v>
      </c>
      <c r="AC49">
        <f t="shared" si="9"/>
        <v>0</v>
      </c>
      <c r="AE49">
        <v>46</v>
      </c>
      <c r="AF49" s="2">
        <f t="shared" si="20"/>
        <v>100</v>
      </c>
      <c r="AG49" s="2">
        <f t="shared" si="20"/>
        <v>100</v>
      </c>
      <c r="AH49" s="2">
        <f t="shared" si="20"/>
        <v>100</v>
      </c>
      <c r="AI49" s="2">
        <f t="shared" si="20"/>
        <v>83.5</v>
      </c>
      <c r="AJ49" s="2">
        <f t="shared" si="20"/>
        <v>72.833333333333329</v>
      </c>
      <c r="AK49">
        <f t="shared" si="11"/>
        <v>72.833333333333329</v>
      </c>
      <c r="AL49">
        <f t="shared" si="12"/>
        <v>91.266666666666666</v>
      </c>
      <c r="AM49">
        <f t="shared" si="13"/>
        <v>100</v>
      </c>
    </row>
    <row r="50" spans="1:39" x14ac:dyDescent="0.25">
      <c r="A50">
        <v>47</v>
      </c>
      <c r="B50" s="2">
        <f>Baserun1!H49</f>
        <v>0</v>
      </c>
      <c r="C50" s="2">
        <f>Baserun2!H49</f>
        <v>0</v>
      </c>
      <c r="D50" s="2">
        <f>Baserun3!H49</f>
        <v>0</v>
      </c>
      <c r="E50" s="2">
        <f>Baserun4!H49</f>
        <v>0</v>
      </c>
      <c r="F50" s="2">
        <f>Baserun5!H49</f>
        <v>0</v>
      </c>
      <c r="G50">
        <f t="shared" si="1"/>
        <v>0</v>
      </c>
      <c r="H50">
        <f t="shared" si="2"/>
        <v>0</v>
      </c>
      <c r="I50">
        <f t="shared" si="3"/>
        <v>0</v>
      </c>
      <c r="K50">
        <v>47</v>
      </c>
      <c r="L50" s="2">
        <f>100</f>
        <v>100</v>
      </c>
      <c r="M50" s="2">
        <f>100</f>
        <v>100</v>
      </c>
      <c r="N50" s="2">
        <f>100</f>
        <v>100</v>
      </c>
      <c r="O50" s="2">
        <f>100</f>
        <v>100</v>
      </c>
      <c r="P50" s="2">
        <f>100</f>
        <v>100</v>
      </c>
      <c r="Q50">
        <f t="shared" si="4"/>
        <v>100</v>
      </c>
      <c r="R50">
        <f t="shared" si="5"/>
        <v>100</v>
      </c>
      <c r="S50">
        <f t="shared" si="6"/>
        <v>100</v>
      </c>
      <c r="U50">
        <v>47</v>
      </c>
      <c r="V50" s="2">
        <f>Baserun1!D49</f>
        <v>0</v>
      </c>
      <c r="W50" s="2">
        <f>Baserun2!D49</f>
        <v>0</v>
      </c>
      <c r="X50" s="2">
        <f>Baserun3!D49</f>
        <v>0</v>
      </c>
      <c r="Y50" s="2">
        <f>Baserun4!D49</f>
        <v>0</v>
      </c>
      <c r="Z50" s="2">
        <f>Baserun5!D49</f>
        <v>0</v>
      </c>
      <c r="AA50">
        <f t="shared" si="7"/>
        <v>0</v>
      </c>
      <c r="AB50">
        <f t="shared" si="8"/>
        <v>0</v>
      </c>
      <c r="AC50">
        <f t="shared" si="9"/>
        <v>0</v>
      </c>
      <c r="AE50">
        <v>47</v>
      </c>
      <c r="AF50" s="2">
        <f t="shared" si="20"/>
        <v>100</v>
      </c>
      <c r="AG50" s="2">
        <f t="shared" si="20"/>
        <v>100</v>
      </c>
      <c r="AH50" s="2">
        <f t="shared" si="20"/>
        <v>100</v>
      </c>
      <c r="AI50" s="2">
        <f t="shared" si="20"/>
        <v>91.666666666666671</v>
      </c>
      <c r="AJ50" s="2">
        <f t="shared" si="20"/>
        <v>82.333333333333329</v>
      </c>
      <c r="AK50">
        <f t="shared" si="11"/>
        <v>82.333333333333329</v>
      </c>
      <c r="AL50">
        <f t="shared" si="12"/>
        <v>94.8</v>
      </c>
      <c r="AM50">
        <f t="shared" si="13"/>
        <v>100</v>
      </c>
    </row>
    <row r="51" spans="1:39" x14ac:dyDescent="0.25">
      <c r="A51">
        <v>48</v>
      </c>
      <c r="B51" s="2">
        <f>Baserun1!H50</f>
        <v>0</v>
      </c>
      <c r="C51" s="2">
        <f>Baserun2!H50</f>
        <v>0</v>
      </c>
      <c r="D51" s="2">
        <f>Baserun3!H50</f>
        <v>0</v>
      </c>
      <c r="E51" s="2">
        <f>Baserun4!H50</f>
        <v>0</v>
      </c>
      <c r="F51" s="2">
        <f>Baserun5!H50</f>
        <v>0</v>
      </c>
      <c r="G51">
        <f t="shared" si="1"/>
        <v>0</v>
      </c>
      <c r="H51">
        <f t="shared" si="2"/>
        <v>0</v>
      </c>
      <c r="I51">
        <f t="shared" si="3"/>
        <v>0</v>
      </c>
      <c r="K51">
        <v>48</v>
      </c>
      <c r="L51" s="2">
        <f>100</f>
        <v>100</v>
      </c>
      <c r="M51" s="2">
        <f>100</f>
        <v>100</v>
      </c>
      <c r="N51" s="2">
        <f>100</f>
        <v>100</v>
      </c>
      <c r="O51" s="2">
        <f>100</f>
        <v>100</v>
      </c>
      <c r="P51" s="2">
        <f>100</f>
        <v>100</v>
      </c>
      <c r="Q51">
        <f t="shared" si="4"/>
        <v>100</v>
      </c>
      <c r="R51">
        <f t="shared" si="5"/>
        <v>100</v>
      </c>
      <c r="S51">
        <f t="shared" si="6"/>
        <v>100</v>
      </c>
      <c r="U51">
        <v>48</v>
      </c>
      <c r="V51" s="2">
        <f>Baserun1!D50</f>
        <v>0</v>
      </c>
      <c r="W51" s="2">
        <f>Baserun2!D50</f>
        <v>0</v>
      </c>
      <c r="X51" s="2">
        <f>Baserun3!D50</f>
        <v>0</v>
      </c>
      <c r="Y51" s="2">
        <f>Baserun4!D50</f>
        <v>0</v>
      </c>
      <c r="Z51" s="2">
        <f>Baserun5!D50</f>
        <v>0</v>
      </c>
      <c r="AA51">
        <f t="shared" si="7"/>
        <v>0</v>
      </c>
      <c r="AB51">
        <f t="shared" si="8"/>
        <v>0</v>
      </c>
      <c r="AC51">
        <f t="shared" si="9"/>
        <v>0</v>
      </c>
      <c r="AE51">
        <v>48</v>
      </c>
      <c r="AF51" s="2">
        <f t="shared" si="20"/>
        <v>100</v>
      </c>
      <c r="AG51" s="2">
        <f t="shared" si="20"/>
        <v>100</v>
      </c>
      <c r="AH51" s="2">
        <f t="shared" si="20"/>
        <v>100</v>
      </c>
      <c r="AI51" s="2">
        <f t="shared" si="20"/>
        <v>100</v>
      </c>
      <c r="AJ51" s="2">
        <f t="shared" si="20"/>
        <v>91</v>
      </c>
      <c r="AK51">
        <f t="shared" si="11"/>
        <v>91</v>
      </c>
      <c r="AL51">
        <f t="shared" si="12"/>
        <v>98.2</v>
      </c>
      <c r="AM51">
        <f t="shared" si="13"/>
        <v>100</v>
      </c>
    </row>
    <row r="52" spans="1:39" x14ac:dyDescent="0.25">
      <c r="A52">
        <v>49</v>
      </c>
      <c r="B52" s="2">
        <f>Baserun1!H51</f>
        <v>0</v>
      </c>
      <c r="C52" s="2">
        <f>Baserun2!H51</f>
        <v>0</v>
      </c>
      <c r="D52" s="2">
        <f>Baserun3!H51</f>
        <v>0</v>
      </c>
      <c r="E52" s="2">
        <f>Baserun4!H51</f>
        <v>0</v>
      </c>
      <c r="F52" s="2">
        <f>Baserun5!H51</f>
        <v>0</v>
      </c>
      <c r="G52">
        <f t="shared" si="1"/>
        <v>0</v>
      </c>
      <c r="H52">
        <f t="shared" si="2"/>
        <v>0</v>
      </c>
      <c r="I52">
        <f t="shared" si="3"/>
        <v>0</v>
      </c>
      <c r="K52">
        <v>49</v>
      </c>
      <c r="L52" s="2">
        <f>100</f>
        <v>100</v>
      </c>
      <c r="M52" s="2">
        <f>100</f>
        <v>100</v>
      </c>
      <c r="N52" s="2">
        <f>100</f>
        <v>100</v>
      </c>
      <c r="O52" s="2">
        <f>100</f>
        <v>100</v>
      </c>
      <c r="P52" s="2">
        <f>100</f>
        <v>100</v>
      </c>
      <c r="Q52">
        <f t="shared" si="4"/>
        <v>100</v>
      </c>
      <c r="R52">
        <f t="shared" si="5"/>
        <v>100</v>
      </c>
      <c r="S52">
        <f t="shared" si="6"/>
        <v>100</v>
      </c>
      <c r="U52">
        <v>49</v>
      </c>
      <c r="V52" s="2">
        <f>Baserun1!D51</f>
        <v>0</v>
      </c>
      <c r="W52" s="2">
        <f>Baserun2!D51</f>
        <v>0</v>
      </c>
      <c r="X52" s="2">
        <f>Baserun3!D51</f>
        <v>0</v>
      </c>
      <c r="Y52" s="2">
        <f>Baserun4!D51</f>
        <v>0</v>
      </c>
      <c r="Z52" s="2">
        <f>Baserun5!D51</f>
        <v>0</v>
      </c>
      <c r="AA52">
        <f t="shared" si="7"/>
        <v>0</v>
      </c>
      <c r="AB52">
        <f t="shared" si="8"/>
        <v>0</v>
      </c>
      <c r="AC52">
        <f t="shared" si="9"/>
        <v>0</v>
      </c>
      <c r="AE52">
        <v>49</v>
      </c>
      <c r="AF52" s="2">
        <f t="shared" si="20"/>
        <v>100</v>
      </c>
      <c r="AG52" s="2">
        <f t="shared" si="20"/>
        <v>100</v>
      </c>
      <c r="AH52" s="2">
        <f t="shared" si="20"/>
        <v>100</v>
      </c>
      <c r="AI52" s="2">
        <f t="shared" si="20"/>
        <v>100</v>
      </c>
      <c r="AJ52" s="2">
        <f t="shared" si="20"/>
        <v>99.5</v>
      </c>
      <c r="AK52">
        <f t="shared" si="11"/>
        <v>99.5</v>
      </c>
      <c r="AL52">
        <f t="shared" si="12"/>
        <v>99.9</v>
      </c>
      <c r="AM52">
        <f t="shared" si="13"/>
        <v>100</v>
      </c>
    </row>
    <row r="53" spans="1:39" x14ac:dyDescent="0.25">
      <c r="A53" t="s">
        <v>14</v>
      </c>
      <c r="B53">
        <f>SUM(B3:B52)</f>
        <v>71</v>
      </c>
      <c r="C53">
        <f t="shared" ref="C53:I53" si="21">SUM(C3:C52)</f>
        <v>60</v>
      </c>
      <c r="D53">
        <f t="shared" si="21"/>
        <v>51</v>
      </c>
      <c r="E53">
        <f t="shared" si="21"/>
        <v>73</v>
      </c>
      <c r="F53">
        <f>SUM(F3:F52)</f>
        <v>71</v>
      </c>
      <c r="G53">
        <f t="shared" si="21"/>
        <v>19</v>
      </c>
      <c r="H53">
        <f t="shared" si="21"/>
        <v>65.200000000000017</v>
      </c>
      <c r="I53">
        <f t="shared" si="21"/>
        <v>137</v>
      </c>
      <c r="K53" t="s">
        <v>14</v>
      </c>
      <c r="L53">
        <f>SUM(L3:L52)</f>
        <v>4106</v>
      </c>
      <c r="M53">
        <f t="shared" ref="M53:Q53" si="22">SUM(M3:M52)</f>
        <v>4073</v>
      </c>
      <c r="N53">
        <f t="shared" si="22"/>
        <v>3653</v>
      </c>
      <c r="O53">
        <f t="shared" si="22"/>
        <v>3410</v>
      </c>
      <c r="P53">
        <f t="shared" si="22"/>
        <v>3177</v>
      </c>
      <c r="Q53">
        <f t="shared" si="22"/>
        <v>2545</v>
      </c>
      <c r="R53">
        <f t="shared" si="5"/>
        <v>3683.8</v>
      </c>
      <c r="S53">
        <f t="shared" si="6"/>
        <v>4106</v>
      </c>
      <c r="U53" t="s">
        <v>14</v>
      </c>
      <c r="V53">
        <f>SUM(V3:V52)</f>
        <v>426</v>
      </c>
      <c r="W53">
        <f t="shared" ref="W53:Y53" si="23">SUM(W3:W52)</f>
        <v>360</v>
      </c>
      <c r="X53">
        <f t="shared" si="23"/>
        <v>306</v>
      </c>
      <c r="Y53">
        <f t="shared" si="23"/>
        <v>438</v>
      </c>
      <c r="Z53">
        <f>SUM(Z3:Z52)</f>
        <v>426</v>
      </c>
      <c r="AA53">
        <f t="shared" ref="AA53:AC53" si="24">SUM(AA3:AA52)</f>
        <v>204</v>
      </c>
      <c r="AB53">
        <f t="shared" si="24"/>
        <v>391.2000000000001</v>
      </c>
      <c r="AC53">
        <f t="shared" si="24"/>
        <v>646</v>
      </c>
      <c r="AE53" t="s">
        <v>14</v>
      </c>
      <c r="AF53">
        <f>SUM(AF3:AF52)</f>
        <v>4103.9666666666672</v>
      </c>
      <c r="AG53">
        <f t="shared" ref="AG53:AK53" si="25">SUM(AG3:AG52)</f>
        <v>4070.7833333333333</v>
      </c>
      <c r="AH53">
        <f t="shared" si="25"/>
        <v>3650.8166666666666</v>
      </c>
      <c r="AI53">
        <f t="shared" si="25"/>
        <v>3407.7833333333328</v>
      </c>
      <c r="AJ53">
        <f t="shared" si="25"/>
        <v>3173.8166666666675</v>
      </c>
      <c r="AK53">
        <f t="shared" si="25"/>
        <v>3036.4833333333345</v>
      </c>
      <c r="AL53">
        <f t="shared" ref="AL53" si="26">AVERAGE(AF53:AJ53)</f>
        <v>3681.4333333333329</v>
      </c>
      <c r="AM53">
        <f t="shared" ref="AM53" si="27">MAX(AF53:AJ53)</f>
        <v>4103.9666666666672</v>
      </c>
    </row>
    <row r="55" spans="1:39" x14ac:dyDescent="0.25">
      <c r="A55" t="s">
        <v>42</v>
      </c>
      <c r="B55">
        <f>AVERAGE(B3:B25)</f>
        <v>3.0869565217391304</v>
      </c>
      <c r="C55">
        <f>AVERAGE(C3:C24)</f>
        <v>2.7272727272727271</v>
      </c>
      <c r="D55">
        <f>AVERAGE(D3:D35)</f>
        <v>1.5454545454545454</v>
      </c>
      <c r="E55">
        <f>AVERAGE(E3:E47)</f>
        <v>1.6222222222222222</v>
      </c>
      <c r="F55">
        <f>AVERAGE(F3:F48)</f>
        <v>1.5434782608695652</v>
      </c>
      <c r="G55">
        <f>MIN(B55:F55)</f>
        <v>1.5434782608695652</v>
      </c>
      <c r="H55">
        <f>AVERAGE(B55:G55)</f>
        <v>2.011477089737959</v>
      </c>
      <c r="I55">
        <f>MAX(B55:G55)</f>
        <v>3.0869565217391304</v>
      </c>
      <c r="K55" t="s">
        <v>42</v>
      </c>
      <c r="L55">
        <f>AVERAGE(L3:L25)</f>
        <v>61.130434782608695</v>
      </c>
      <c r="M55">
        <f>AVERAGE(M3:M24)</f>
        <v>57.863636363636367</v>
      </c>
      <c r="N55">
        <f>AVERAGE(N3:N35)</f>
        <v>59.18181818181818</v>
      </c>
      <c r="O55">
        <f>AVERAGE(O3:O47)</f>
        <v>64.666666666666671</v>
      </c>
      <c r="P55">
        <f>AVERAGE(P3:P48)</f>
        <v>60.369565217391305</v>
      </c>
      <c r="Q55">
        <f>MIN(L55:P55)</f>
        <v>57.863636363636367</v>
      </c>
      <c r="R55">
        <f>AVERAGE(L55:Q55)</f>
        <v>60.179292929292934</v>
      </c>
      <c r="S55">
        <f>MAX(L55:Q55)</f>
        <v>64.666666666666671</v>
      </c>
      <c r="U55" t="s">
        <v>42</v>
      </c>
      <c r="V55">
        <f>AVERAGE(V3:V25)</f>
        <v>18.521739130434781</v>
      </c>
      <c r="W55">
        <f>AVERAGE(W3:W24)</f>
        <v>16.363636363636363</v>
      </c>
      <c r="X55">
        <f>AVERAGE(X3:X35)</f>
        <v>9.2727272727272734</v>
      </c>
      <c r="Y55">
        <f>AVERAGE(Y3:Y47)</f>
        <v>9.7333333333333325</v>
      </c>
      <c r="Z55">
        <f>AVERAGE(Z3:Z48)</f>
        <v>9.2608695652173907</v>
      </c>
      <c r="AA55">
        <f>MIN(V55:Z55)</f>
        <v>9.2608695652173907</v>
      </c>
      <c r="AB55">
        <f>AVERAGE(V55:AA55)</f>
        <v>12.068862538427757</v>
      </c>
      <c r="AC55">
        <f>MAX(V55:AA55)</f>
        <v>18.521739130434781</v>
      </c>
      <c r="AE55" t="s">
        <v>42</v>
      </c>
      <c r="AF55">
        <f>AVERAGE(AF3:AF25)</f>
        <v>63.592753623188401</v>
      </c>
      <c r="AG55">
        <f>AVERAGE(AG3:AG24)</f>
        <v>59.035606060606057</v>
      </c>
      <c r="AH55">
        <f>AVERAGE(AH3:AH35)</f>
        <v>60.933838383838378</v>
      </c>
      <c r="AI55">
        <f>AVERAGE(AI3:AI47)</f>
        <v>65.721111111111114</v>
      </c>
      <c r="AJ55">
        <f>AVERAGE(AJ3:AJ48)</f>
        <v>61.48152173913045</v>
      </c>
      <c r="AK55">
        <f>MIN(AF55:AJ55)</f>
        <v>59.035606060606057</v>
      </c>
      <c r="AL55">
        <f>AVERAGE(AF55:AK55)</f>
        <v>61.633406163080075</v>
      </c>
      <c r="AM55">
        <f>MAX(AF55:AK55)</f>
        <v>65.721111111111114</v>
      </c>
    </row>
  </sheetData>
  <mergeCells count="4">
    <mergeCell ref="B1:F1"/>
    <mergeCell ref="L1:P1"/>
    <mergeCell ref="V1:Z1"/>
    <mergeCell ref="AF1:AJ1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22FA-09BF-4710-9374-3B297602F1F0}">
  <dimension ref="A1:AM55"/>
  <sheetViews>
    <sheetView zoomScale="85" zoomScaleNormal="85" workbookViewId="0">
      <selection activeCell="AF6" sqref="AF6"/>
    </sheetView>
  </sheetViews>
  <sheetFormatPr defaultRowHeight="15" x14ac:dyDescent="0.25"/>
  <sheetData>
    <row r="1" spans="1:39" x14ac:dyDescent="0.25">
      <c r="B1" s="7" t="s">
        <v>11</v>
      </c>
      <c r="C1" s="7"/>
      <c r="D1" s="7"/>
      <c r="E1" s="7"/>
      <c r="F1" s="7"/>
      <c r="L1" s="7" t="s">
        <v>15</v>
      </c>
      <c r="M1" s="7"/>
      <c r="N1" s="7"/>
      <c r="O1" s="7"/>
      <c r="P1" s="7"/>
      <c r="V1" s="7" t="s">
        <v>2</v>
      </c>
      <c r="W1" s="7"/>
      <c r="X1" s="7"/>
      <c r="Y1" s="7"/>
      <c r="Z1" s="7"/>
      <c r="AF1" s="7" t="s">
        <v>71</v>
      </c>
      <c r="AG1" s="7"/>
      <c r="AH1" s="7"/>
      <c r="AI1" s="7"/>
      <c r="AJ1" s="7"/>
    </row>
    <row r="2" spans="1:39" x14ac:dyDescent="0.25">
      <c r="A2" t="s">
        <v>10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K2" t="s">
        <v>10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U2" t="s">
        <v>10</v>
      </c>
      <c r="V2" t="s">
        <v>85</v>
      </c>
      <c r="W2" t="s">
        <v>86</v>
      </c>
      <c r="X2" t="s">
        <v>87</v>
      </c>
      <c r="Y2" t="s">
        <v>88</v>
      </c>
      <c r="Z2" t="s">
        <v>89</v>
      </c>
      <c r="AA2" t="s">
        <v>90</v>
      </c>
      <c r="AB2" t="s">
        <v>91</v>
      </c>
      <c r="AC2" t="s">
        <v>92</v>
      </c>
      <c r="AE2" t="s">
        <v>10</v>
      </c>
      <c r="AF2" t="s">
        <v>93</v>
      </c>
      <c r="AG2" t="s">
        <v>94</v>
      </c>
      <c r="AH2" t="s">
        <v>95</v>
      </c>
      <c r="AI2" t="s">
        <v>96</v>
      </c>
      <c r="AJ2" t="s">
        <v>97</v>
      </c>
      <c r="AK2" t="s">
        <v>98</v>
      </c>
      <c r="AL2" t="s">
        <v>99</v>
      </c>
      <c r="AM2" t="s">
        <v>100</v>
      </c>
    </row>
    <row r="3" spans="1:39" x14ac:dyDescent="0.25">
      <c r="A3">
        <v>0</v>
      </c>
      <c r="B3">
        <f>Aware1!H2</f>
        <v>2</v>
      </c>
      <c r="C3">
        <f>Aware2!H2</f>
        <v>2</v>
      </c>
      <c r="D3">
        <f>Aware3!H2</f>
        <v>2</v>
      </c>
      <c r="E3">
        <f>Aware4!H2</f>
        <v>2</v>
      </c>
      <c r="F3">
        <f>Aware5!H2</f>
        <v>2</v>
      </c>
      <c r="G3">
        <f>MIN(B3:F3)</f>
        <v>2</v>
      </c>
      <c r="H3">
        <f>AVERAGE(B3:F3)</f>
        <v>2</v>
      </c>
      <c r="I3">
        <f>MAX(B3:F3)</f>
        <v>2</v>
      </c>
      <c r="K3">
        <v>0</v>
      </c>
      <c r="L3">
        <f>Aware1!$G2</f>
        <v>100</v>
      </c>
      <c r="M3">
        <f>Aware2!$G2</f>
        <v>100</v>
      </c>
      <c r="N3">
        <f>Aware3!$G2</f>
        <v>100</v>
      </c>
      <c r="O3">
        <f>Aware4!$G2</f>
        <v>100</v>
      </c>
      <c r="P3">
        <f>Aware5!$G2</f>
        <v>100</v>
      </c>
      <c r="Q3">
        <f>MIN(L3:P3)</f>
        <v>100</v>
      </c>
      <c r="R3">
        <f>AVERAGE(L3:P3)</f>
        <v>100</v>
      </c>
      <c r="S3">
        <f>MAX(L3:P3)</f>
        <v>100</v>
      </c>
      <c r="U3">
        <v>0</v>
      </c>
      <c r="V3">
        <f>Aware1!$D2</f>
        <v>2</v>
      </c>
      <c r="W3">
        <f>Aware2!$D2</f>
        <v>2</v>
      </c>
      <c r="X3">
        <f>Aware3!$D2</f>
        <v>2</v>
      </c>
      <c r="Y3">
        <f>Aware4!$D2</f>
        <v>2</v>
      </c>
      <c r="Z3">
        <f>Aware5!$D2</f>
        <v>2</v>
      </c>
      <c r="AA3">
        <f>MIN(V3:Z3)</f>
        <v>2</v>
      </c>
      <c r="AB3">
        <f>AVERAGE(V3:Z3)</f>
        <v>2</v>
      </c>
      <c r="AC3">
        <f>MAX(V3:Z3)</f>
        <v>2</v>
      </c>
      <c r="AE3">
        <v>0</v>
      </c>
      <c r="AF3">
        <f>L3</f>
        <v>100</v>
      </c>
      <c r="AG3">
        <f t="shared" ref="AG3:AJ3" si="0">M3</f>
        <v>100</v>
      </c>
      <c r="AH3">
        <f t="shared" si="0"/>
        <v>100</v>
      </c>
      <c r="AI3">
        <f t="shared" si="0"/>
        <v>100</v>
      </c>
      <c r="AJ3">
        <f t="shared" si="0"/>
        <v>100</v>
      </c>
      <c r="AK3">
        <f>MIN(AF3:AJ3)</f>
        <v>100</v>
      </c>
      <c r="AL3">
        <f>AVERAGE(AF3:AJ3)</f>
        <v>100</v>
      </c>
      <c r="AM3">
        <f>MAX(AF3:AJ3)</f>
        <v>100</v>
      </c>
    </row>
    <row r="4" spans="1:39" x14ac:dyDescent="0.25">
      <c r="A4">
        <v>1</v>
      </c>
      <c r="B4">
        <f>Aware1!H3</f>
        <v>3</v>
      </c>
      <c r="C4">
        <f>Aware2!H3</f>
        <v>0</v>
      </c>
      <c r="D4">
        <f>Aware3!H3</f>
        <v>0</v>
      </c>
      <c r="E4">
        <f>Aware4!H3</f>
        <v>2</v>
      </c>
      <c r="F4">
        <f>Aware5!H3</f>
        <v>2</v>
      </c>
      <c r="G4">
        <f t="shared" ref="G4:G51" si="1">MIN(B4:F4)</f>
        <v>0</v>
      </c>
      <c r="H4">
        <f t="shared" ref="H4:H51" si="2">AVERAGE(B4:F4)</f>
        <v>1.4</v>
      </c>
      <c r="I4">
        <f t="shared" ref="I4:I51" si="3">MAX(B4:F4)</f>
        <v>3</v>
      </c>
      <c r="K4">
        <v>1</v>
      </c>
      <c r="L4">
        <f>Aware1!$G3</f>
        <v>100</v>
      </c>
      <c r="M4">
        <f>Aware2!$G3</f>
        <v>100</v>
      </c>
      <c r="N4">
        <f>Aware3!$G3</f>
        <v>100</v>
      </c>
      <c r="O4">
        <f>Aware4!$G3</f>
        <v>100</v>
      </c>
      <c r="P4">
        <f>Aware5!$G3</f>
        <v>100</v>
      </c>
      <c r="Q4">
        <f t="shared" ref="Q4:Q52" si="4">MIN(L4:P4)</f>
        <v>100</v>
      </c>
      <c r="R4">
        <f t="shared" ref="R4:R53" si="5">AVERAGE(L4:P4)</f>
        <v>100</v>
      </c>
      <c r="S4">
        <f t="shared" ref="S4:S53" si="6">MAX(L4:P4)</f>
        <v>100</v>
      </c>
      <c r="U4">
        <v>1</v>
      </c>
      <c r="V4">
        <f>Aware1!$D3</f>
        <v>5</v>
      </c>
      <c r="W4">
        <f>Aware2!$D3</f>
        <v>2</v>
      </c>
      <c r="X4">
        <f>Aware3!$D3</f>
        <v>2</v>
      </c>
      <c r="Y4">
        <f>Aware4!$D3</f>
        <v>4</v>
      </c>
      <c r="Z4">
        <f>Aware5!$D3</f>
        <v>4</v>
      </c>
      <c r="AA4">
        <f t="shared" ref="AA4:AA52" si="7">MIN(V4:Z4)</f>
        <v>2</v>
      </c>
      <c r="AB4">
        <f t="shared" ref="AB4:AB53" si="8">AVERAGE(V4:Z4)</f>
        <v>3.4</v>
      </c>
      <c r="AC4">
        <f t="shared" ref="AC4:AC53" si="9">MAX(V4:Z4)</f>
        <v>5</v>
      </c>
      <c r="AE4">
        <v>1</v>
      </c>
      <c r="AF4">
        <f>AVERAGE(L3:L4)</f>
        <v>100</v>
      </c>
      <c r="AG4">
        <f t="shared" ref="AG4:AJ4" si="10">AVERAGE(M3:M4)</f>
        <v>100</v>
      </c>
      <c r="AH4">
        <f t="shared" si="10"/>
        <v>100</v>
      </c>
      <c r="AI4">
        <f t="shared" si="10"/>
        <v>100</v>
      </c>
      <c r="AJ4">
        <f t="shared" si="10"/>
        <v>100</v>
      </c>
      <c r="AK4">
        <f t="shared" ref="AK4:AK52" si="11">MIN(AF4:AJ4)</f>
        <v>100</v>
      </c>
      <c r="AL4">
        <f t="shared" ref="AL4:AL53" si="12">AVERAGE(AF4:AJ4)</f>
        <v>100</v>
      </c>
      <c r="AM4">
        <f t="shared" ref="AM4:AM53" si="13">MAX(AF4:AJ4)</f>
        <v>100</v>
      </c>
    </row>
    <row r="5" spans="1:39" x14ac:dyDescent="0.25">
      <c r="A5">
        <v>2</v>
      </c>
      <c r="B5">
        <f>Aware1!H4</f>
        <v>2</v>
      </c>
      <c r="C5">
        <f>Aware2!H4</f>
        <v>0</v>
      </c>
      <c r="D5">
        <f>Aware3!H4</f>
        <v>1</v>
      </c>
      <c r="E5">
        <f>Aware4!H4</f>
        <v>4</v>
      </c>
      <c r="F5">
        <f>Aware5!H4</f>
        <v>5</v>
      </c>
      <c r="G5">
        <f t="shared" si="1"/>
        <v>0</v>
      </c>
      <c r="H5">
        <f t="shared" si="2"/>
        <v>2.4</v>
      </c>
      <c r="I5">
        <f t="shared" si="3"/>
        <v>5</v>
      </c>
      <c r="K5">
        <v>2</v>
      </c>
      <c r="L5">
        <f>Aware1!$G4</f>
        <v>100</v>
      </c>
      <c r="M5">
        <f>Aware2!$G4</f>
        <v>100</v>
      </c>
      <c r="N5">
        <f>Aware3!$G4</f>
        <v>100</v>
      </c>
      <c r="O5">
        <f>Aware4!$G4</f>
        <v>100</v>
      </c>
      <c r="P5">
        <f>Aware5!$G4</f>
        <v>100</v>
      </c>
      <c r="Q5">
        <f t="shared" si="4"/>
        <v>100</v>
      </c>
      <c r="R5">
        <f t="shared" si="5"/>
        <v>100</v>
      </c>
      <c r="S5">
        <f t="shared" si="6"/>
        <v>100</v>
      </c>
      <c r="U5">
        <v>2</v>
      </c>
      <c r="V5">
        <f>Aware1!$D4</f>
        <v>7</v>
      </c>
      <c r="W5">
        <f>Aware2!$D4</f>
        <v>2</v>
      </c>
      <c r="X5">
        <f>Aware3!$D4</f>
        <v>3</v>
      </c>
      <c r="Y5">
        <f>Aware4!$D4</f>
        <v>8</v>
      </c>
      <c r="Z5">
        <f>Aware5!$D4</f>
        <v>9</v>
      </c>
      <c r="AA5">
        <f t="shared" si="7"/>
        <v>2</v>
      </c>
      <c r="AB5">
        <f t="shared" si="8"/>
        <v>5.8</v>
      </c>
      <c r="AC5">
        <f t="shared" si="9"/>
        <v>9</v>
      </c>
      <c r="AE5">
        <v>2</v>
      </c>
      <c r="AF5">
        <f>AVERAGE(L3:L5)</f>
        <v>100</v>
      </c>
      <c r="AG5">
        <f t="shared" ref="AG5:AJ5" si="14">AVERAGE(M3:M5)</f>
        <v>100</v>
      </c>
      <c r="AH5">
        <f t="shared" si="14"/>
        <v>100</v>
      </c>
      <c r="AI5">
        <f t="shared" si="14"/>
        <v>100</v>
      </c>
      <c r="AJ5">
        <f t="shared" si="14"/>
        <v>100</v>
      </c>
      <c r="AK5">
        <f t="shared" si="11"/>
        <v>100</v>
      </c>
      <c r="AL5">
        <f t="shared" si="12"/>
        <v>100</v>
      </c>
      <c r="AM5">
        <f t="shared" si="13"/>
        <v>100</v>
      </c>
    </row>
    <row r="6" spans="1:39" x14ac:dyDescent="0.25">
      <c r="A6">
        <v>3</v>
      </c>
      <c r="B6">
        <f>Aware1!H5</f>
        <v>7</v>
      </c>
      <c r="C6">
        <f>Aware2!H5</f>
        <v>1</v>
      </c>
      <c r="D6">
        <f>Aware3!H5</f>
        <v>2</v>
      </c>
      <c r="E6">
        <f>Aware4!H5</f>
        <v>3</v>
      </c>
      <c r="F6">
        <f>Aware5!H5</f>
        <v>8</v>
      </c>
      <c r="G6">
        <f t="shared" si="1"/>
        <v>1</v>
      </c>
      <c r="H6">
        <f t="shared" si="2"/>
        <v>4.2</v>
      </c>
      <c r="I6">
        <f t="shared" si="3"/>
        <v>8</v>
      </c>
      <c r="K6">
        <v>3</v>
      </c>
      <c r="L6">
        <f>Aware1!$G5</f>
        <v>100</v>
      </c>
      <c r="M6">
        <f>Aware2!$G5</f>
        <v>99</v>
      </c>
      <c r="N6">
        <f>Aware3!$G5</f>
        <v>99</v>
      </c>
      <c r="O6">
        <f>Aware4!$G5</f>
        <v>99</v>
      </c>
      <c r="P6">
        <f>Aware5!$G5</f>
        <v>100</v>
      </c>
      <c r="Q6">
        <f t="shared" si="4"/>
        <v>99</v>
      </c>
      <c r="R6">
        <f t="shared" si="5"/>
        <v>99.4</v>
      </c>
      <c r="S6">
        <f t="shared" si="6"/>
        <v>100</v>
      </c>
      <c r="U6">
        <v>3</v>
      </c>
      <c r="V6">
        <f>Aware1!$D5</f>
        <v>14</v>
      </c>
      <c r="W6">
        <f>Aware2!$D5</f>
        <v>3</v>
      </c>
      <c r="X6">
        <f>Aware3!$D5</f>
        <v>5</v>
      </c>
      <c r="Y6">
        <f>Aware4!$D5</f>
        <v>11</v>
      </c>
      <c r="Z6">
        <f>Aware5!$D5</f>
        <v>17</v>
      </c>
      <c r="AA6">
        <f t="shared" si="7"/>
        <v>3</v>
      </c>
      <c r="AB6">
        <f t="shared" si="8"/>
        <v>10</v>
      </c>
      <c r="AC6">
        <f t="shared" si="9"/>
        <v>17</v>
      </c>
      <c r="AE6">
        <v>3</v>
      </c>
      <c r="AF6">
        <f>AVERAGE(L3:L6)</f>
        <v>100</v>
      </c>
      <c r="AG6">
        <f t="shared" ref="AG6:AJ6" si="15">AVERAGE(M3:M6)</f>
        <v>99.75</v>
      </c>
      <c r="AH6">
        <f t="shared" si="15"/>
        <v>99.75</v>
      </c>
      <c r="AI6">
        <f t="shared" si="15"/>
        <v>99.75</v>
      </c>
      <c r="AJ6">
        <f t="shared" si="15"/>
        <v>100</v>
      </c>
      <c r="AK6">
        <f t="shared" si="11"/>
        <v>99.75</v>
      </c>
      <c r="AL6">
        <f t="shared" si="12"/>
        <v>99.85</v>
      </c>
      <c r="AM6">
        <f t="shared" si="13"/>
        <v>100</v>
      </c>
    </row>
    <row r="7" spans="1:39" x14ac:dyDescent="0.25">
      <c r="A7">
        <v>4</v>
      </c>
      <c r="B7">
        <f>Aware1!H6</f>
        <v>3</v>
      </c>
      <c r="C7">
        <f>Aware2!H6</f>
        <v>0</v>
      </c>
      <c r="D7">
        <f>Aware3!H6</f>
        <v>0</v>
      </c>
      <c r="E7">
        <f>Aware4!H6</f>
        <v>1</v>
      </c>
      <c r="F7">
        <f>Aware5!H6</f>
        <v>1</v>
      </c>
      <c r="G7">
        <f t="shared" si="1"/>
        <v>0</v>
      </c>
      <c r="H7">
        <f t="shared" si="2"/>
        <v>1</v>
      </c>
      <c r="I7">
        <f t="shared" si="3"/>
        <v>3</v>
      </c>
      <c r="K7">
        <v>4</v>
      </c>
      <c r="L7">
        <f>Aware1!$G6</f>
        <v>34</v>
      </c>
      <c r="M7">
        <f>Aware2!$G6</f>
        <v>27</v>
      </c>
      <c r="N7">
        <f>Aware3!$G6</f>
        <v>28</v>
      </c>
      <c r="O7">
        <f>Aware4!$G6</f>
        <v>32</v>
      </c>
      <c r="P7">
        <f>Aware5!$G6</f>
        <v>34</v>
      </c>
      <c r="Q7">
        <f t="shared" si="4"/>
        <v>27</v>
      </c>
      <c r="R7">
        <f t="shared" si="5"/>
        <v>31</v>
      </c>
      <c r="S7">
        <f t="shared" si="6"/>
        <v>34</v>
      </c>
      <c r="U7">
        <v>4</v>
      </c>
      <c r="V7">
        <f>Aware1!$D6</f>
        <v>17</v>
      </c>
      <c r="W7">
        <f>Aware2!$D6</f>
        <v>3</v>
      </c>
      <c r="X7">
        <f>Aware3!$D6</f>
        <v>5</v>
      </c>
      <c r="Y7">
        <f>Aware4!$D6</f>
        <v>12</v>
      </c>
      <c r="Z7">
        <f>Aware5!$D6</f>
        <v>18</v>
      </c>
      <c r="AA7">
        <f t="shared" si="7"/>
        <v>3</v>
      </c>
      <c r="AB7">
        <f t="shared" si="8"/>
        <v>11</v>
      </c>
      <c r="AC7">
        <f t="shared" si="9"/>
        <v>18</v>
      </c>
      <c r="AE7">
        <v>4</v>
      </c>
      <c r="AF7">
        <f>AVERAGE(L3:L7)</f>
        <v>86.8</v>
      </c>
      <c r="AG7">
        <f t="shared" ref="AG7:AJ7" si="16">AVERAGE(M3:M7)</f>
        <v>85.2</v>
      </c>
      <c r="AH7">
        <f t="shared" si="16"/>
        <v>85.4</v>
      </c>
      <c r="AI7">
        <f t="shared" si="16"/>
        <v>86.2</v>
      </c>
      <c r="AJ7">
        <f t="shared" si="16"/>
        <v>86.8</v>
      </c>
      <c r="AK7">
        <f t="shared" si="11"/>
        <v>85.2</v>
      </c>
      <c r="AL7">
        <f t="shared" si="12"/>
        <v>86.08</v>
      </c>
      <c r="AM7">
        <f t="shared" si="13"/>
        <v>86.8</v>
      </c>
    </row>
    <row r="8" spans="1:39" x14ac:dyDescent="0.25">
      <c r="A8">
        <v>5</v>
      </c>
      <c r="B8">
        <f>Aware1!H7</f>
        <v>0</v>
      </c>
      <c r="C8">
        <f>Aware2!H7</f>
        <v>1</v>
      </c>
      <c r="D8">
        <f>Aware3!H7</f>
        <v>1</v>
      </c>
      <c r="E8">
        <f>Aware4!H7</f>
        <v>3</v>
      </c>
      <c r="F8">
        <f>Aware5!H7</f>
        <v>9</v>
      </c>
      <c r="G8">
        <f t="shared" si="1"/>
        <v>0</v>
      </c>
      <c r="H8">
        <f t="shared" si="2"/>
        <v>2.8</v>
      </c>
      <c r="I8">
        <f t="shared" si="3"/>
        <v>9</v>
      </c>
      <c r="K8">
        <v>5</v>
      </c>
      <c r="L8">
        <f>Aware1!$G7</f>
        <v>33</v>
      </c>
      <c r="M8">
        <f>Aware2!$G7</f>
        <v>98</v>
      </c>
      <c r="N8">
        <f>Aware3!$G7</f>
        <v>98</v>
      </c>
      <c r="O8">
        <f>Aware4!$G7</f>
        <v>28</v>
      </c>
      <c r="P8">
        <f>Aware5!$G7</f>
        <v>34</v>
      </c>
      <c r="Q8">
        <f t="shared" si="4"/>
        <v>28</v>
      </c>
      <c r="R8">
        <f t="shared" si="5"/>
        <v>58.2</v>
      </c>
      <c r="S8">
        <f t="shared" si="6"/>
        <v>98</v>
      </c>
      <c r="U8">
        <v>5</v>
      </c>
      <c r="V8">
        <f>Aware1!$D7</f>
        <v>17</v>
      </c>
      <c r="W8">
        <f>Aware2!$D7</f>
        <v>4</v>
      </c>
      <c r="X8">
        <f>Aware3!$D7</f>
        <v>6</v>
      </c>
      <c r="Y8">
        <f>Aware4!$D7</f>
        <v>15</v>
      </c>
      <c r="Z8">
        <f>Aware5!$D7</f>
        <v>27</v>
      </c>
      <c r="AA8">
        <f t="shared" si="7"/>
        <v>4</v>
      </c>
      <c r="AB8">
        <f t="shared" si="8"/>
        <v>13.8</v>
      </c>
      <c r="AC8">
        <f t="shared" si="9"/>
        <v>27</v>
      </c>
      <c r="AE8">
        <v>5</v>
      </c>
      <c r="AF8">
        <f>AVERAGE(L3:L8)</f>
        <v>77.833333333333329</v>
      </c>
      <c r="AG8">
        <f t="shared" ref="AG8:AJ23" si="17">AVERAGE(M3:M8)</f>
        <v>87.333333333333329</v>
      </c>
      <c r="AH8">
        <f t="shared" si="17"/>
        <v>87.5</v>
      </c>
      <c r="AI8">
        <f t="shared" si="17"/>
        <v>76.5</v>
      </c>
      <c r="AJ8">
        <f t="shared" si="17"/>
        <v>78</v>
      </c>
      <c r="AK8">
        <f t="shared" si="11"/>
        <v>76.5</v>
      </c>
      <c r="AL8">
        <f t="shared" si="12"/>
        <v>81.433333333333323</v>
      </c>
      <c r="AM8">
        <f t="shared" si="13"/>
        <v>87.5</v>
      </c>
    </row>
    <row r="9" spans="1:39" x14ac:dyDescent="0.25">
      <c r="A9">
        <v>6</v>
      </c>
      <c r="B9">
        <f>Aware1!H8</f>
        <v>3</v>
      </c>
      <c r="C9">
        <f>Aware2!H8</f>
        <v>3</v>
      </c>
      <c r="D9">
        <f>Aware3!H8</f>
        <v>1</v>
      </c>
      <c r="E9">
        <f>Aware4!H8</f>
        <v>1</v>
      </c>
      <c r="F9">
        <f>Aware5!H8</f>
        <v>5</v>
      </c>
      <c r="G9">
        <f t="shared" si="1"/>
        <v>1</v>
      </c>
      <c r="H9">
        <f t="shared" si="2"/>
        <v>2.6</v>
      </c>
      <c r="I9">
        <f t="shared" si="3"/>
        <v>5</v>
      </c>
      <c r="K9">
        <v>6</v>
      </c>
      <c r="L9">
        <f>Aware1!$G8</f>
        <v>33</v>
      </c>
      <c r="M9">
        <f>Aware2!$G8</f>
        <v>99</v>
      </c>
      <c r="N9">
        <f>Aware3!$G8</f>
        <v>50</v>
      </c>
      <c r="O9">
        <f>Aware4!$G8</f>
        <v>28</v>
      </c>
      <c r="P9">
        <f>Aware5!$G8</f>
        <v>20</v>
      </c>
      <c r="Q9">
        <f t="shared" si="4"/>
        <v>20</v>
      </c>
      <c r="R9">
        <f t="shared" si="5"/>
        <v>46</v>
      </c>
      <c r="S9">
        <f t="shared" si="6"/>
        <v>99</v>
      </c>
      <c r="U9">
        <v>6</v>
      </c>
      <c r="V9">
        <f>Aware1!$D8</f>
        <v>18</v>
      </c>
      <c r="W9">
        <f>Aware2!$D8</f>
        <v>5</v>
      </c>
      <c r="X9">
        <f>Aware3!$D8</f>
        <v>5</v>
      </c>
      <c r="Y9">
        <f>Aware4!$D8</f>
        <v>14</v>
      </c>
      <c r="Z9">
        <f>Aware5!$D8</f>
        <v>30</v>
      </c>
      <c r="AA9">
        <f t="shared" si="7"/>
        <v>5</v>
      </c>
      <c r="AB9">
        <f t="shared" si="8"/>
        <v>14.4</v>
      </c>
      <c r="AC9">
        <f t="shared" si="9"/>
        <v>30</v>
      </c>
      <c r="AE9">
        <v>6</v>
      </c>
      <c r="AF9">
        <f>AVERAGE(L4:L9)</f>
        <v>66.666666666666671</v>
      </c>
      <c r="AG9">
        <f t="shared" si="17"/>
        <v>87.166666666666671</v>
      </c>
      <c r="AH9">
        <f t="shared" si="17"/>
        <v>79.166666666666671</v>
      </c>
      <c r="AI9">
        <f t="shared" si="17"/>
        <v>64.5</v>
      </c>
      <c r="AJ9">
        <f t="shared" si="17"/>
        <v>64.666666666666671</v>
      </c>
      <c r="AK9">
        <f t="shared" si="11"/>
        <v>64.5</v>
      </c>
      <c r="AL9">
        <f t="shared" si="12"/>
        <v>72.433333333333337</v>
      </c>
      <c r="AM9">
        <f t="shared" si="13"/>
        <v>87.166666666666671</v>
      </c>
    </row>
    <row r="10" spans="1:39" x14ac:dyDescent="0.25">
      <c r="A10">
        <v>7</v>
      </c>
      <c r="B10">
        <f>Aware1!H9</f>
        <v>4</v>
      </c>
      <c r="C10">
        <f>Aware2!H9</f>
        <v>2</v>
      </c>
      <c r="D10">
        <f>Aware3!H9</f>
        <v>2</v>
      </c>
      <c r="E10">
        <f>Aware4!H9</f>
        <v>4</v>
      </c>
      <c r="F10">
        <f>Aware5!H9</f>
        <v>4</v>
      </c>
      <c r="G10">
        <f t="shared" si="1"/>
        <v>2</v>
      </c>
      <c r="H10">
        <f t="shared" si="2"/>
        <v>3.2</v>
      </c>
      <c r="I10">
        <f t="shared" si="3"/>
        <v>4</v>
      </c>
      <c r="K10">
        <v>7</v>
      </c>
      <c r="L10">
        <f>Aware1!$G9</f>
        <v>25</v>
      </c>
      <c r="M10">
        <f>Aware2!$G9</f>
        <v>61</v>
      </c>
      <c r="N10">
        <f>Aware3!$G9</f>
        <v>30</v>
      </c>
      <c r="O10">
        <f>Aware4!$G9</f>
        <v>33</v>
      </c>
      <c r="P10">
        <f>Aware5!$G9</f>
        <v>20</v>
      </c>
      <c r="Q10">
        <f t="shared" si="4"/>
        <v>20</v>
      </c>
      <c r="R10">
        <f t="shared" si="5"/>
        <v>33.799999999999997</v>
      </c>
      <c r="S10">
        <f t="shared" si="6"/>
        <v>61</v>
      </c>
      <c r="U10">
        <v>7</v>
      </c>
      <c r="V10">
        <f>Aware1!$D9</f>
        <v>19</v>
      </c>
      <c r="W10">
        <f>Aware2!$D9</f>
        <v>7</v>
      </c>
      <c r="X10">
        <f>Aware3!$D9</f>
        <v>7</v>
      </c>
      <c r="Y10">
        <f>Aware4!$D9</f>
        <v>16</v>
      </c>
      <c r="Z10">
        <f>Aware5!$D9</f>
        <v>32</v>
      </c>
      <c r="AA10">
        <f t="shared" si="7"/>
        <v>7</v>
      </c>
      <c r="AB10">
        <f t="shared" si="8"/>
        <v>16.2</v>
      </c>
      <c r="AC10">
        <f t="shared" si="9"/>
        <v>32</v>
      </c>
      <c r="AE10">
        <v>7</v>
      </c>
      <c r="AF10">
        <f t="shared" ref="AF10:AJ25" si="18">AVERAGE(L5:L10)</f>
        <v>54.166666666666664</v>
      </c>
      <c r="AG10">
        <f t="shared" si="17"/>
        <v>80.666666666666671</v>
      </c>
      <c r="AH10">
        <f t="shared" si="17"/>
        <v>67.5</v>
      </c>
      <c r="AI10">
        <f t="shared" si="17"/>
        <v>53.333333333333336</v>
      </c>
      <c r="AJ10">
        <f t="shared" si="17"/>
        <v>51.333333333333336</v>
      </c>
      <c r="AK10">
        <f t="shared" si="11"/>
        <v>51.333333333333336</v>
      </c>
      <c r="AL10">
        <f t="shared" si="12"/>
        <v>61.4</v>
      </c>
      <c r="AM10">
        <f t="shared" si="13"/>
        <v>80.666666666666671</v>
      </c>
    </row>
    <row r="11" spans="1:39" x14ac:dyDescent="0.25">
      <c r="A11">
        <v>8</v>
      </c>
      <c r="B11">
        <f>Aware1!H10</f>
        <v>5</v>
      </c>
      <c r="C11">
        <f>Aware2!H10</f>
        <v>5</v>
      </c>
      <c r="D11">
        <f>Aware3!H10</f>
        <v>8</v>
      </c>
      <c r="E11">
        <f>Aware4!H10</f>
        <v>2</v>
      </c>
      <c r="F11">
        <f>Aware5!H10</f>
        <v>10</v>
      </c>
      <c r="G11">
        <f t="shared" si="1"/>
        <v>2</v>
      </c>
      <c r="H11">
        <f t="shared" si="2"/>
        <v>6</v>
      </c>
      <c r="I11">
        <f t="shared" si="3"/>
        <v>10</v>
      </c>
      <c r="K11">
        <v>8</v>
      </c>
      <c r="L11">
        <f>Aware1!$G10</f>
        <v>32</v>
      </c>
      <c r="M11">
        <f>Aware2!$G10</f>
        <v>99</v>
      </c>
      <c r="N11">
        <f>Aware3!$G10</f>
        <v>98</v>
      </c>
      <c r="O11">
        <f>Aware4!$G10</f>
        <v>52</v>
      </c>
      <c r="P11">
        <f>Aware5!$G10</f>
        <v>47</v>
      </c>
      <c r="Q11">
        <f t="shared" si="4"/>
        <v>32</v>
      </c>
      <c r="R11">
        <f t="shared" si="5"/>
        <v>65.599999999999994</v>
      </c>
      <c r="S11">
        <f t="shared" si="6"/>
        <v>99</v>
      </c>
      <c r="U11">
        <v>8</v>
      </c>
      <c r="V11">
        <f>Aware1!$D10</f>
        <v>22</v>
      </c>
      <c r="W11">
        <f>Aware2!$D10</f>
        <v>12</v>
      </c>
      <c r="X11">
        <f>Aware3!$D10</f>
        <v>14</v>
      </c>
      <c r="Y11">
        <f>Aware4!$D10</f>
        <v>14</v>
      </c>
      <c r="Z11">
        <f>Aware5!$D10</f>
        <v>37</v>
      </c>
      <c r="AA11">
        <f t="shared" si="7"/>
        <v>12</v>
      </c>
      <c r="AB11">
        <f t="shared" si="8"/>
        <v>19.8</v>
      </c>
      <c r="AC11">
        <f t="shared" si="9"/>
        <v>37</v>
      </c>
      <c r="AE11">
        <v>8</v>
      </c>
      <c r="AF11">
        <f t="shared" si="18"/>
        <v>42.833333333333336</v>
      </c>
      <c r="AG11">
        <f t="shared" si="17"/>
        <v>80.5</v>
      </c>
      <c r="AH11">
        <f t="shared" si="17"/>
        <v>67.166666666666671</v>
      </c>
      <c r="AI11">
        <f t="shared" si="17"/>
        <v>45.333333333333336</v>
      </c>
      <c r="AJ11">
        <f t="shared" si="17"/>
        <v>42.5</v>
      </c>
      <c r="AK11">
        <f t="shared" si="11"/>
        <v>42.5</v>
      </c>
      <c r="AL11">
        <f t="shared" si="12"/>
        <v>55.666666666666671</v>
      </c>
      <c r="AM11">
        <f t="shared" si="13"/>
        <v>80.5</v>
      </c>
    </row>
    <row r="12" spans="1:39" x14ac:dyDescent="0.25">
      <c r="A12">
        <v>9</v>
      </c>
      <c r="B12">
        <f>Aware1!H11</f>
        <v>9</v>
      </c>
      <c r="C12">
        <f>Aware2!H11</f>
        <v>6</v>
      </c>
      <c r="D12">
        <f>Aware3!H11</f>
        <v>2</v>
      </c>
      <c r="E12">
        <f>Aware4!H11</f>
        <v>4</v>
      </c>
      <c r="F12">
        <f>Aware5!H11</f>
        <v>2</v>
      </c>
      <c r="G12">
        <f t="shared" si="1"/>
        <v>2</v>
      </c>
      <c r="H12">
        <f t="shared" si="2"/>
        <v>4.5999999999999996</v>
      </c>
      <c r="I12">
        <f t="shared" si="3"/>
        <v>9</v>
      </c>
      <c r="K12">
        <v>9</v>
      </c>
      <c r="L12">
        <f>Aware1!$G11</f>
        <v>95</v>
      </c>
      <c r="M12">
        <f>Aware2!$G11</f>
        <v>56</v>
      </c>
      <c r="N12">
        <f>Aware3!$G11</f>
        <v>47</v>
      </c>
      <c r="O12">
        <f>Aware4!$G11</f>
        <v>33</v>
      </c>
      <c r="P12">
        <f>Aware5!$G11</f>
        <v>9</v>
      </c>
      <c r="Q12">
        <f t="shared" si="4"/>
        <v>9</v>
      </c>
      <c r="R12">
        <f t="shared" si="5"/>
        <v>48</v>
      </c>
      <c r="S12">
        <f t="shared" si="6"/>
        <v>95</v>
      </c>
      <c r="U12">
        <v>9</v>
      </c>
      <c r="V12">
        <f>Aware1!$D11</f>
        <v>24</v>
      </c>
      <c r="W12">
        <f>Aware2!$D11</f>
        <v>17</v>
      </c>
      <c r="X12">
        <f>Aware3!$D11</f>
        <v>14</v>
      </c>
      <c r="Y12">
        <f>Aware4!$D11</f>
        <v>15</v>
      </c>
      <c r="Z12">
        <f>Aware5!$D11</f>
        <v>31</v>
      </c>
      <c r="AA12">
        <f t="shared" si="7"/>
        <v>14</v>
      </c>
      <c r="AB12">
        <f t="shared" si="8"/>
        <v>20.2</v>
      </c>
      <c r="AC12">
        <f t="shared" si="9"/>
        <v>31</v>
      </c>
      <c r="AE12">
        <v>9</v>
      </c>
      <c r="AF12">
        <f t="shared" si="18"/>
        <v>42</v>
      </c>
      <c r="AG12">
        <f t="shared" si="17"/>
        <v>73.333333333333329</v>
      </c>
      <c r="AH12">
        <f t="shared" si="17"/>
        <v>58.5</v>
      </c>
      <c r="AI12">
        <f t="shared" si="17"/>
        <v>34.333333333333336</v>
      </c>
      <c r="AJ12">
        <f t="shared" si="17"/>
        <v>27.333333333333332</v>
      </c>
      <c r="AK12">
        <f t="shared" si="11"/>
        <v>27.333333333333332</v>
      </c>
      <c r="AL12">
        <f t="shared" si="12"/>
        <v>47.1</v>
      </c>
      <c r="AM12">
        <f t="shared" si="13"/>
        <v>73.333333333333329</v>
      </c>
    </row>
    <row r="13" spans="1:39" x14ac:dyDescent="0.25">
      <c r="A13">
        <v>10</v>
      </c>
      <c r="B13">
        <f>Aware1!H12</f>
        <v>4</v>
      </c>
      <c r="C13">
        <f>Aware2!H12</f>
        <v>1</v>
      </c>
      <c r="D13">
        <f>Aware3!H12</f>
        <v>4</v>
      </c>
      <c r="E13">
        <f>Aware4!H12</f>
        <v>2</v>
      </c>
      <c r="F13">
        <f>Aware5!H12</f>
        <v>2</v>
      </c>
      <c r="G13">
        <f t="shared" si="1"/>
        <v>1</v>
      </c>
      <c r="H13">
        <f t="shared" si="2"/>
        <v>2.6</v>
      </c>
      <c r="I13">
        <f t="shared" si="3"/>
        <v>4</v>
      </c>
      <c r="K13">
        <v>10</v>
      </c>
      <c r="L13">
        <f>Aware1!$G12</f>
        <v>28</v>
      </c>
      <c r="M13">
        <f>Aware2!$G12</f>
        <v>29</v>
      </c>
      <c r="N13">
        <f>Aware3!$G12</f>
        <v>48</v>
      </c>
      <c r="O13">
        <f>Aware4!$G12</f>
        <v>57</v>
      </c>
      <c r="P13">
        <f>Aware5!$G12</f>
        <v>12</v>
      </c>
      <c r="Q13">
        <f t="shared" si="4"/>
        <v>12</v>
      </c>
      <c r="R13">
        <f t="shared" si="5"/>
        <v>34.799999999999997</v>
      </c>
      <c r="S13">
        <f t="shared" si="6"/>
        <v>57</v>
      </c>
      <c r="U13">
        <v>10</v>
      </c>
      <c r="V13">
        <f>Aware1!$D12</f>
        <v>25</v>
      </c>
      <c r="W13">
        <f>Aware2!$D12</f>
        <v>18</v>
      </c>
      <c r="X13">
        <f>Aware3!$D12</f>
        <v>18</v>
      </c>
      <c r="Y13">
        <f>Aware4!$D12</f>
        <v>16</v>
      </c>
      <c r="Z13">
        <f>Aware5!$D12</f>
        <v>32</v>
      </c>
      <c r="AA13">
        <f t="shared" si="7"/>
        <v>16</v>
      </c>
      <c r="AB13">
        <f t="shared" si="8"/>
        <v>21.8</v>
      </c>
      <c r="AC13">
        <f t="shared" si="9"/>
        <v>32</v>
      </c>
      <c r="AE13">
        <v>10</v>
      </c>
      <c r="AF13">
        <f t="shared" si="18"/>
        <v>41</v>
      </c>
      <c r="AG13">
        <f t="shared" si="17"/>
        <v>73.666666666666671</v>
      </c>
      <c r="AH13">
        <f t="shared" si="17"/>
        <v>61.833333333333336</v>
      </c>
      <c r="AI13">
        <f t="shared" si="17"/>
        <v>38.5</v>
      </c>
      <c r="AJ13">
        <f t="shared" si="17"/>
        <v>23.666666666666668</v>
      </c>
      <c r="AK13">
        <f t="shared" si="11"/>
        <v>23.666666666666668</v>
      </c>
      <c r="AL13">
        <f t="shared" si="12"/>
        <v>47.733333333333334</v>
      </c>
      <c r="AM13">
        <f t="shared" si="13"/>
        <v>73.666666666666671</v>
      </c>
    </row>
    <row r="14" spans="1:39" x14ac:dyDescent="0.25">
      <c r="A14">
        <v>11</v>
      </c>
      <c r="B14">
        <f>Aware1!H13</f>
        <v>4</v>
      </c>
      <c r="C14">
        <f>Aware2!H13</f>
        <v>5</v>
      </c>
      <c r="D14">
        <f>Aware3!H13</f>
        <v>2</v>
      </c>
      <c r="E14">
        <f>Aware4!H13</f>
        <v>0</v>
      </c>
      <c r="F14">
        <f>Aware5!H13</f>
        <v>1</v>
      </c>
      <c r="G14">
        <f t="shared" si="1"/>
        <v>0</v>
      </c>
      <c r="H14">
        <f t="shared" si="2"/>
        <v>2.4</v>
      </c>
      <c r="I14">
        <f t="shared" si="3"/>
        <v>5</v>
      </c>
      <c r="K14">
        <v>11</v>
      </c>
      <c r="L14">
        <f>Aware1!$G13</f>
        <v>19</v>
      </c>
      <c r="M14">
        <f>Aware2!$G13</f>
        <v>25</v>
      </c>
      <c r="N14">
        <f>Aware3!$G13</f>
        <v>23</v>
      </c>
      <c r="O14">
        <f>Aware4!$G13</f>
        <v>24</v>
      </c>
      <c r="P14">
        <f>Aware5!$G13</f>
        <v>18</v>
      </c>
      <c r="Q14">
        <f t="shared" si="4"/>
        <v>18</v>
      </c>
      <c r="R14">
        <f t="shared" si="5"/>
        <v>21.8</v>
      </c>
      <c r="S14">
        <f t="shared" si="6"/>
        <v>25</v>
      </c>
      <c r="U14">
        <v>11</v>
      </c>
      <c r="V14">
        <f>Aware1!$D13</f>
        <v>29</v>
      </c>
      <c r="W14">
        <f>Aware2!$D13</f>
        <v>22</v>
      </c>
      <c r="X14">
        <f>Aware3!$D13</f>
        <v>19</v>
      </c>
      <c r="Y14">
        <f>Aware4!$D13</f>
        <v>13</v>
      </c>
      <c r="Z14">
        <f>Aware5!$D13</f>
        <v>24</v>
      </c>
      <c r="AA14">
        <f t="shared" si="7"/>
        <v>13</v>
      </c>
      <c r="AB14">
        <f t="shared" si="8"/>
        <v>21.4</v>
      </c>
      <c r="AC14">
        <f t="shared" si="9"/>
        <v>29</v>
      </c>
      <c r="AE14">
        <v>11</v>
      </c>
      <c r="AF14">
        <f t="shared" si="18"/>
        <v>38.666666666666664</v>
      </c>
      <c r="AG14">
        <f t="shared" si="17"/>
        <v>61.5</v>
      </c>
      <c r="AH14">
        <f t="shared" si="17"/>
        <v>49.333333333333336</v>
      </c>
      <c r="AI14">
        <f t="shared" si="17"/>
        <v>37.833333333333336</v>
      </c>
      <c r="AJ14">
        <f t="shared" si="17"/>
        <v>21</v>
      </c>
      <c r="AK14">
        <f t="shared" si="11"/>
        <v>21</v>
      </c>
      <c r="AL14">
        <f t="shared" si="12"/>
        <v>41.666666666666671</v>
      </c>
      <c r="AM14">
        <f t="shared" si="13"/>
        <v>61.5</v>
      </c>
    </row>
    <row r="15" spans="1:39" x14ac:dyDescent="0.25">
      <c r="A15">
        <v>12</v>
      </c>
      <c r="B15">
        <f>Aware1!H14</f>
        <v>3</v>
      </c>
      <c r="C15">
        <f>Aware2!H14</f>
        <v>5</v>
      </c>
      <c r="D15">
        <f>Aware3!H14</f>
        <v>0</v>
      </c>
      <c r="E15">
        <f>Aware4!H14</f>
        <v>3</v>
      </c>
      <c r="F15">
        <f>Aware5!H14</f>
        <v>0</v>
      </c>
      <c r="G15">
        <f t="shared" si="1"/>
        <v>0</v>
      </c>
      <c r="H15">
        <f t="shared" si="2"/>
        <v>2.2000000000000002</v>
      </c>
      <c r="I15">
        <f t="shared" si="3"/>
        <v>5</v>
      </c>
      <c r="K15">
        <v>12</v>
      </c>
      <c r="L15">
        <f>Aware1!$G14</f>
        <v>26</v>
      </c>
      <c r="M15">
        <f>Aware2!$G14</f>
        <v>23</v>
      </c>
      <c r="N15">
        <f>Aware3!$G14</f>
        <v>20</v>
      </c>
      <c r="O15">
        <f>Aware4!$G14</f>
        <v>28</v>
      </c>
      <c r="P15">
        <f>Aware5!$G14</f>
        <v>16</v>
      </c>
      <c r="Q15">
        <f t="shared" si="4"/>
        <v>16</v>
      </c>
      <c r="R15">
        <f t="shared" si="5"/>
        <v>22.6</v>
      </c>
      <c r="S15">
        <f t="shared" si="6"/>
        <v>28</v>
      </c>
      <c r="U15">
        <v>12</v>
      </c>
      <c r="V15">
        <f>Aware1!$D14</f>
        <v>29</v>
      </c>
      <c r="W15">
        <f>Aware2!$D14</f>
        <v>24</v>
      </c>
      <c r="X15">
        <f>Aware3!$D14</f>
        <v>18</v>
      </c>
      <c r="Y15">
        <f>Aware4!$D14</f>
        <v>15</v>
      </c>
      <c r="Z15">
        <f>Aware5!$D14</f>
        <v>19</v>
      </c>
      <c r="AA15">
        <f t="shared" si="7"/>
        <v>15</v>
      </c>
      <c r="AB15">
        <f t="shared" si="8"/>
        <v>21</v>
      </c>
      <c r="AC15">
        <f t="shared" si="9"/>
        <v>29</v>
      </c>
      <c r="AE15">
        <v>12</v>
      </c>
      <c r="AF15">
        <f t="shared" si="18"/>
        <v>37.5</v>
      </c>
      <c r="AG15">
        <f t="shared" si="17"/>
        <v>48.833333333333336</v>
      </c>
      <c r="AH15">
        <f t="shared" si="17"/>
        <v>44.333333333333336</v>
      </c>
      <c r="AI15">
        <f t="shared" si="17"/>
        <v>37.833333333333336</v>
      </c>
      <c r="AJ15">
        <f t="shared" si="17"/>
        <v>20.333333333333332</v>
      </c>
      <c r="AK15">
        <f t="shared" si="11"/>
        <v>20.333333333333332</v>
      </c>
      <c r="AL15">
        <f t="shared" si="12"/>
        <v>37.766666666666673</v>
      </c>
      <c r="AM15">
        <f t="shared" si="13"/>
        <v>48.833333333333336</v>
      </c>
    </row>
    <row r="16" spans="1:39" x14ac:dyDescent="0.25">
      <c r="A16">
        <v>13</v>
      </c>
      <c r="B16">
        <f>Aware1!H15</f>
        <v>1</v>
      </c>
      <c r="C16">
        <f>Aware2!H15</f>
        <v>4</v>
      </c>
      <c r="D16">
        <f>Aware3!H15</f>
        <v>3</v>
      </c>
      <c r="E16">
        <f>Aware4!H15</f>
        <v>2</v>
      </c>
      <c r="F16">
        <f>Aware5!H15</f>
        <v>0</v>
      </c>
      <c r="G16">
        <f t="shared" si="1"/>
        <v>0</v>
      </c>
      <c r="H16">
        <f t="shared" si="2"/>
        <v>2</v>
      </c>
      <c r="I16">
        <f t="shared" si="3"/>
        <v>4</v>
      </c>
      <c r="K16">
        <v>13</v>
      </c>
      <c r="L16">
        <f>Aware1!$G15</f>
        <v>16</v>
      </c>
      <c r="M16">
        <f>Aware2!$G15</f>
        <v>23</v>
      </c>
      <c r="N16">
        <f>Aware3!$G15</f>
        <v>25</v>
      </c>
      <c r="O16">
        <f>Aware4!$G15</f>
        <v>23</v>
      </c>
      <c r="P16">
        <f>Aware5!$G15</f>
        <v>26</v>
      </c>
      <c r="Q16">
        <f t="shared" si="4"/>
        <v>16</v>
      </c>
      <c r="R16">
        <f t="shared" si="5"/>
        <v>22.6</v>
      </c>
      <c r="S16">
        <f t="shared" si="6"/>
        <v>26</v>
      </c>
      <c r="U16">
        <v>13</v>
      </c>
      <c r="V16">
        <f>Aware1!$D15</f>
        <v>26</v>
      </c>
      <c r="W16">
        <f>Aware2!$D15</f>
        <v>26</v>
      </c>
      <c r="X16">
        <f>Aware3!$D15</f>
        <v>19</v>
      </c>
      <c r="Y16">
        <f>Aware4!$D15</f>
        <v>13</v>
      </c>
      <c r="Z16">
        <f>Aware5!$D15</f>
        <v>15</v>
      </c>
      <c r="AA16">
        <f t="shared" si="7"/>
        <v>13</v>
      </c>
      <c r="AB16">
        <f t="shared" si="8"/>
        <v>19.8</v>
      </c>
      <c r="AC16">
        <f t="shared" si="9"/>
        <v>26</v>
      </c>
      <c r="AE16">
        <v>13</v>
      </c>
      <c r="AF16">
        <f t="shared" si="18"/>
        <v>36</v>
      </c>
      <c r="AG16">
        <f t="shared" si="17"/>
        <v>42.5</v>
      </c>
      <c r="AH16">
        <f t="shared" si="17"/>
        <v>43.5</v>
      </c>
      <c r="AI16">
        <f t="shared" si="17"/>
        <v>36.166666666666664</v>
      </c>
      <c r="AJ16">
        <f t="shared" si="17"/>
        <v>21.333333333333332</v>
      </c>
      <c r="AK16">
        <f t="shared" si="11"/>
        <v>21.333333333333332</v>
      </c>
      <c r="AL16">
        <f t="shared" si="12"/>
        <v>35.9</v>
      </c>
      <c r="AM16">
        <f t="shared" si="13"/>
        <v>43.5</v>
      </c>
    </row>
    <row r="17" spans="1:39" x14ac:dyDescent="0.25">
      <c r="A17">
        <v>14</v>
      </c>
      <c r="B17">
        <f>Aware1!H16</f>
        <v>1</v>
      </c>
      <c r="C17">
        <f>Aware2!H16</f>
        <v>6</v>
      </c>
      <c r="D17">
        <f>Aware3!H16</f>
        <v>1</v>
      </c>
      <c r="E17">
        <f>Aware4!H16</f>
        <v>1</v>
      </c>
      <c r="F17">
        <f>Aware5!H16</f>
        <v>0</v>
      </c>
      <c r="G17">
        <f t="shared" si="1"/>
        <v>0</v>
      </c>
      <c r="H17">
        <f t="shared" si="2"/>
        <v>1.8</v>
      </c>
      <c r="I17">
        <f t="shared" si="3"/>
        <v>6</v>
      </c>
      <c r="K17">
        <v>14</v>
      </c>
      <c r="L17">
        <f>Aware1!$G16</f>
        <v>17</v>
      </c>
      <c r="M17">
        <f>Aware2!$G16</f>
        <v>47</v>
      </c>
      <c r="N17">
        <f>Aware3!$G16</f>
        <v>22</v>
      </c>
      <c r="O17">
        <f>Aware4!$G16</f>
        <v>28</v>
      </c>
      <c r="P17">
        <f>Aware5!$G16</f>
        <v>28</v>
      </c>
      <c r="Q17">
        <f t="shared" si="4"/>
        <v>17</v>
      </c>
      <c r="R17">
        <f t="shared" si="5"/>
        <v>28.4</v>
      </c>
      <c r="S17">
        <f t="shared" si="6"/>
        <v>47</v>
      </c>
      <c r="U17">
        <v>14</v>
      </c>
      <c r="V17">
        <f>Aware1!$D16</f>
        <v>22</v>
      </c>
      <c r="W17">
        <f>Aware2!$D16</f>
        <v>27</v>
      </c>
      <c r="X17">
        <f>Aware3!$D16</f>
        <v>12</v>
      </c>
      <c r="Y17">
        <f>Aware4!$D16</f>
        <v>12</v>
      </c>
      <c r="Z17">
        <f>Aware5!$D16</f>
        <v>5</v>
      </c>
      <c r="AA17">
        <f t="shared" si="7"/>
        <v>5</v>
      </c>
      <c r="AB17">
        <f t="shared" si="8"/>
        <v>15.6</v>
      </c>
      <c r="AC17">
        <f t="shared" si="9"/>
        <v>27</v>
      </c>
      <c r="AE17">
        <v>14</v>
      </c>
      <c r="AF17">
        <f t="shared" si="18"/>
        <v>33.5</v>
      </c>
      <c r="AG17">
        <f t="shared" si="17"/>
        <v>33.833333333333336</v>
      </c>
      <c r="AH17">
        <f t="shared" si="17"/>
        <v>30.833333333333332</v>
      </c>
      <c r="AI17">
        <f t="shared" si="17"/>
        <v>32.166666666666664</v>
      </c>
      <c r="AJ17">
        <f t="shared" si="17"/>
        <v>18.166666666666668</v>
      </c>
      <c r="AK17">
        <f t="shared" si="11"/>
        <v>18.166666666666668</v>
      </c>
      <c r="AL17">
        <f t="shared" si="12"/>
        <v>29.7</v>
      </c>
      <c r="AM17">
        <f t="shared" si="13"/>
        <v>33.833333333333336</v>
      </c>
    </row>
    <row r="18" spans="1:39" x14ac:dyDescent="0.25">
      <c r="A18">
        <v>15</v>
      </c>
      <c r="B18">
        <f>Aware1!H17</f>
        <v>1</v>
      </c>
      <c r="C18">
        <f>Aware2!H17</f>
        <v>1</v>
      </c>
      <c r="D18">
        <f>Aware3!H17</f>
        <v>4</v>
      </c>
      <c r="E18">
        <f>Aware4!H17</f>
        <v>2</v>
      </c>
      <c r="F18">
        <f>Aware5!H17</f>
        <v>0</v>
      </c>
      <c r="G18">
        <f t="shared" si="1"/>
        <v>0</v>
      </c>
      <c r="H18">
        <f t="shared" si="2"/>
        <v>1.6</v>
      </c>
      <c r="I18">
        <f t="shared" si="3"/>
        <v>4</v>
      </c>
      <c r="K18">
        <v>15</v>
      </c>
      <c r="L18">
        <f>Aware1!$G17</f>
        <v>24</v>
      </c>
      <c r="M18">
        <f>Aware2!$G17</f>
        <v>19</v>
      </c>
      <c r="N18">
        <f>Aware3!$G17</f>
        <v>28</v>
      </c>
      <c r="O18">
        <f>Aware4!$G17</f>
        <v>94</v>
      </c>
      <c r="P18">
        <f>Aware5!$G17</f>
        <v>58</v>
      </c>
      <c r="Q18">
        <f t="shared" si="4"/>
        <v>19</v>
      </c>
      <c r="R18">
        <f t="shared" si="5"/>
        <v>44.6</v>
      </c>
      <c r="S18">
        <f t="shared" si="6"/>
        <v>94</v>
      </c>
      <c r="U18">
        <v>15</v>
      </c>
      <c r="V18">
        <f>Aware1!$D17</f>
        <v>14</v>
      </c>
      <c r="W18">
        <f>Aware2!$D17</f>
        <v>22</v>
      </c>
      <c r="X18">
        <f>Aware3!$D17</f>
        <v>14</v>
      </c>
      <c r="Y18">
        <f>Aware4!$D17</f>
        <v>10</v>
      </c>
      <c r="Z18">
        <f>Aware5!$D17</f>
        <v>3</v>
      </c>
      <c r="AA18">
        <f t="shared" si="7"/>
        <v>3</v>
      </c>
      <c r="AB18">
        <f t="shared" si="8"/>
        <v>12.6</v>
      </c>
      <c r="AC18">
        <f t="shared" si="9"/>
        <v>22</v>
      </c>
      <c r="AE18">
        <v>15</v>
      </c>
      <c r="AF18">
        <f t="shared" si="18"/>
        <v>21.666666666666668</v>
      </c>
      <c r="AG18">
        <f t="shared" si="17"/>
        <v>27.666666666666668</v>
      </c>
      <c r="AH18">
        <f t="shared" si="17"/>
        <v>27.666666666666668</v>
      </c>
      <c r="AI18">
        <f t="shared" si="17"/>
        <v>42.333333333333336</v>
      </c>
      <c r="AJ18">
        <f t="shared" si="17"/>
        <v>26.333333333333332</v>
      </c>
      <c r="AK18">
        <f t="shared" si="11"/>
        <v>21.666666666666668</v>
      </c>
      <c r="AL18">
        <f t="shared" si="12"/>
        <v>29.133333333333336</v>
      </c>
      <c r="AM18">
        <f t="shared" si="13"/>
        <v>42.333333333333336</v>
      </c>
    </row>
    <row r="19" spans="1:39" x14ac:dyDescent="0.25">
      <c r="A19">
        <v>16</v>
      </c>
      <c r="B19">
        <f>Aware1!H18</f>
        <v>0</v>
      </c>
      <c r="C19">
        <f>Aware2!H18</f>
        <v>2</v>
      </c>
      <c r="D19">
        <f>Aware3!H18</f>
        <v>10</v>
      </c>
      <c r="E19">
        <f>Aware4!H18</f>
        <v>1</v>
      </c>
      <c r="F19">
        <f>Aware5!H18</f>
        <v>1</v>
      </c>
      <c r="G19">
        <f t="shared" si="1"/>
        <v>0</v>
      </c>
      <c r="H19">
        <f t="shared" si="2"/>
        <v>2.8</v>
      </c>
      <c r="I19">
        <f t="shared" si="3"/>
        <v>10</v>
      </c>
      <c r="K19">
        <v>16</v>
      </c>
      <c r="L19">
        <f>Aware1!$G18</f>
        <v>27</v>
      </c>
      <c r="M19">
        <f>Aware2!$G18</f>
        <v>20</v>
      </c>
      <c r="N19">
        <f>Aware3!$G18</f>
        <v>98</v>
      </c>
      <c r="O19">
        <f>Aware4!$G18</f>
        <v>30</v>
      </c>
      <c r="P19">
        <f>Aware5!$G18</f>
        <v>98</v>
      </c>
      <c r="Q19">
        <f t="shared" si="4"/>
        <v>20</v>
      </c>
      <c r="R19">
        <f t="shared" si="5"/>
        <v>54.6</v>
      </c>
      <c r="S19">
        <f t="shared" si="6"/>
        <v>98</v>
      </c>
      <c r="U19">
        <v>16</v>
      </c>
      <c r="V19">
        <f>Aware1!$D18</f>
        <v>10</v>
      </c>
      <c r="W19">
        <f>Aware2!$D18</f>
        <v>23</v>
      </c>
      <c r="X19">
        <f>Aware3!$D18</f>
        <v>20</v>
      </c>
      <c r="Y19">
        <f>Aware4!$D18</f>
        <v>9</v>
      </c>
      <c r="Z19">
        <f>Aware5!$D18</f>
        <v>2</v>
      </c>
      <c r="AA19">
        <f t="shared" si="7"/>
        <v>2</v>
      </c>
      <c r="AB19">
        <f t="shared" si="8"/>
        <v>12.8</v>
      </c>
      <c r="AC19">
        <f t="shared" si="9"/>
        <v>23</v>
      </c>
      <c r="AE19">
        <v>16</v>
      </c>
      <c r="AF19">
        <f t="shared" si="18"/>
        <v>21.5</v>
      </c>
      <c r="AG19">
        <f t="shared" si="17"/>
        <v>26.166666666666668</v>
      </c>
      <c r="AH19">
        <f t="shared" si="17"/>
        <v>36</v>
      </c>
      <c r="AI19">
        <f t="shared" si="17"/>
        <v>37.833333333333336</v>
      </c>
      <c r="AJ19">
        <f t="shared" si="17"/>
        <v>40.666666666666664</v>
      </c>
      <c r="AK19">
        <f t="shared" si="11"/>
        <v>21.5</v>
      </c>
      <c r="AL19">
        <f t="shared" si="12"/>
        <v>32.43333333333333</v>
      </c>
      <c r="AM19">
        <f t="shared" si="13"/>
        <v>40.666666666666664</v>
      </c>
    </row>
    <row r="20" spans="1:39" x14ac:dyDescent="0.25">
      <c r="A20">
        <v>17</v>
      </c>
      <c r="B20">
        <f>Aware1!H19</f>
        <v>0</v>
      </c>
      <c r="C20">
        <f>Aware2!H19</f>
        <v>0</v>
      </c>
      <c r="D20">
        <f>Aware3!H19</f>
        <v>1</v>
      </c>
      <c r="E20">
        <f>Aware4!H19</f>
        <v>0</v>
      </c>
      <c r="F20">
        <f>Aware5!H19</f>
        <v>0</v>
      </c>
      <c r="G20">
        <f t="shared" si="1"/>
        <v>0</v>
      </c>
      <c r="H20">
        <f t="shared" si="2"/>
        <v>0.2</v>
      </c>
      <c r="I20">
        <f t="shared" si="3"/>
        <v>1</v>
      </c>
      <c r="K20">
        <v>17</v>
      </c>
      <c r="L20">
        <f>Aware1!$G19</f>
        <v>55</v>
      </c>
      <c r="M20">
        <f>Aware2!$G19</f>
        <v>23</v>
      </c>
      <c r="N20">
        <f>Aware3!$G19</f>
        <v>35</v>
      </c>
      <c r="O20">
        <f>Aware4!$G19</f>
        <v>25</v>
      </c>
      <c r="P20">
        <f>Aware5!$G19</f>
        <v>100</v>
      </c>
      <c r="Q20">
        <f t="shared" si="4"/>
        <v>23</v>
      </c>
      <c r="R20">
        <f t="shared" si="5"/>
        <v>47.6</v>
      </c>
      <c r="S20">
        <f t="shared" si="6"/>
        <v>100</v>
      </c>
      <c r="U20">
        <v>17</v>
      </c>
      <c r="V20">
        <f>Aware1!$D19</f>
        <v>6</v>
      </c>
      <c r="W20">
        <f>Aware2!$D19</f>
        <v>18</v>
      </c>
      <c r="X20">
        <f>Aware3!$D19</f>
        <v>19</v>
      </c>
      <c r="Y20">
        <f>Aware4!$D19</f>
        <v>9</v>
      </c>
      <c r="Z20">
        <f>Aware5!$D19</f>
        <v>1</v>
      </c>
      <c r="AA20">
        <f t="shared" si="7"/>
        <v>1</v>
      </c>
      <c r="AB20">
        <f t="shared" si="8"/>
        <v>10.6</v>
      </c>
      <c r="AC20">
        <f t="shared" si="9"/>
        <v>19</v>
      </c>
      <c r="AE20">
        <v>17</v>
      </c>
      <c r="AF20">
        <f t="shared" si="18"/>
        <v>27.5</v>
      </c>
      <c r="AG20">
        <f t="shared" si="17"/>
        <v>25.833333333333332</v>
      </c>
      <c r="AH20">
        <f t="shared" si="17"/>
        <v>38</v>
      </c>
      <c r="AI20">
        <f t="shared" si="17"/>
        <v>38</v>
      </c>
      <c r="AJ20">
        <f t="shared" si="17"/>
        <v>54.333333333333336</v>
      </c>
      <c r="AK20">
        <f t="shared" si="11"/>
        <v>25.833333333333332</v>
      </c>
      <c r="AL20">
        <f t="shared" si="12"/>
        <v>36.733333333333334</v>
      </c>
      <c r="AM20">
        <f t="shared" si="13"/>
        <v>54.333333333333336</v>
      </c>
    </row>
    <row r="21" spans="1:39" x14ac:dyDescent="0.25">
      <c r="A21">
        <v>18</v>
      </c>
      <c r="B21">
        <f>Aware1!H20</f>
        <v>0</v>
      </c>
      <c r="C21">
        <f>Aware2!H20</f>
        <v>0</v>
      </c>
      <c r="D21">
        <f>Aware3!H20</f>
        <v>0</v>
      </c>
      <c r="E21">
        <f>Aware4!H20</f>
        <v>0</v>
      </c>
      <c r="F21">
        <f>Aware5!H20</f>
        <v>0</v>
      </c>
      <c r="G21">
        <f t="shared" si="1"/>
        <v>0</v>
      </c>
      <c r="H21">
        <f t="shared" si="2"/>
        <v>0</v>
      </c>
      <c r="I21">
        <f t="shared" si="3"/>
        <v>0</v>
      </c>
      <c r="K21">
        <v>18</v>
      </c>
      <c r="L21">
        <f>Aware1!$G20</f>
        <v>57</v>
      </c>
      <c r="M21">
        <f>Aware2!$G20</f>
        <v>20</v>
      </c>
      <c r="N21">
        <f>Aware3!$G20</f>
        <v>45</v>
      </c>
      <c r="O21">
        <f>Aware4!$G20</f>
        <v>52</v>
      </c>
      <c r="P21">
        <f>Aware5!$G20</f>
        <v>100</v>
      </c>
      <c r="Q21">
        <f t="shared" si="4"/>
        <v>20</v>
      </c>
      <c r="R21">
        <f t="shared" si="5"/>
        <v>54.8</v>
      </c>
      <c r="S21">
        <f t="shared" si="6"/>
        <v>100</v>
      </c>
      <c r="U21">
        <v>18</v>
      </c>
      <c r="V21">
        <f>Aware1!$D20</f>
        <v>3</v>
      </c>
      <c r="W21">
        <f>Aware2!$D20</f>
        <v>13</v>
      </c>
      <c r="X21">
        <f>Aware3!$D20</f>
        <v>19</v>
      </c>
      <c r="Y21">
        <f>Aware4!$D20</f>
        <v>6</v>
      </c>
      <c r="Z21">
        <f>Aware5!$D20</f>
        <v>1</v>
      </c>
      <c r="AA21">
        <f t="shared" si="7"/>
        <v>1</v>
      </c>
      <c r="AB21">
        <f t="shared" si="8"/>
        <v>8.4</v>
      </c>
      <c r="AC21">
        <f t="shared" si="9"/>
        <v>19</v>
      </c>
      <c r="AE21">
        <v>18</v>
      </c>
      <c r="AF21">
        <f t="shared" si="18"/>
        <v>32.666666666666664</v>
      </c>
      <c r="AG21">
        <f t="shared" si="17"/>
        <v>25.333333333333332</v>
      </c>
      <c r="AH21">
        <f t="shared" si="17"/>
        <v>42.166666666666664</v>
      </c>
      <c r="AI21">
        <f t="shared" si="17"/>
        <v>42</v>
      </c>
      <c r="AJ21">
        <f t="shared" si="17"/>
        <v>68.333333333333329</v>
      </c>
      <c r="AK21">
        <f t="shared" si="11"/>
        <v>25.333333333333332</v>
      </c>
      <c r="AL21">
        <f t="shared" si="12"/>
        <v>42.1</v>
      </c>
      <c r="AM21">
        <f t="shared" si="13"/>
        <v>68.333333333333329</v>
      </c>
    </row>
    <row r="22" spans="1:39" x14ac:dyDescent="0.25">
      <c r="A22">
        <v>19</v>
      </c>
      <c r="B22">
        <f>Aware1!H21</f>
        <v>0</v>
      </c>
      <c r="C22">
        <f>Aware2!H21</f>
        <v>1</v>
      </c>
      <c r="D22">
        <f>Aware3!H21</f>
        <v>0</v>
      </c>
      <c r="E22">
        <f>Aware4!H21</f>
        <v>0</v>
      </c>
      <c r="F22">
        <f>Aware5!H21</f>
        <v>1</v>
      </c>
      <c r="G22">
        <f t="shared" si="1"/>
        <v>0</v>
      </c>
      <c r="H22">
        <f t="shared" si="2"/>
        <v>0.4</v>
      </c>
      <c r="I22">
        <f t="shared" si="3"/>
        <v>1</v>
      </c>
      <c r="K22">
        <v>19</v>
      </c>
      <c r="L22">
        <f>Aware1!$G21</f>
        <v>60</v>
      </c>
      <c r="M22">
        <f>Aware2!$G21</f>
        <v>50</v>
      </c>
      <c r="N22">
        <f>Aware3!$G21</f>
        <v>20</v>
      </c>
      <c r="O22">
        <f>Aware4!$G21</f>
        <v>28</v>
      </c>
      <c r="P22">
        <f>Aware5!$G21</f>
        <v>100</v>
      </c>
      <c r="Q22">
        <f t="shared" si="4"/>
        <v>20</v>
      </c>
      <c r="R22">
        <f t="shared" si="5"/>
        <v>51.6</v>
      </c>
      <c r="S22">
        <f t="shared" si="6"/>
        <v>100</v>
      </c>
      <c r="U22">
        <v>19</v>
      </c>
      <c r="V22">
        <f>Aware1!$D21</f>
        <v>2</v>
      </c>
      <c r="W22">
        <f>Aware2!$D21</f>
        <v>10</v>
      </c>
      <c r="X22">
        <f>Aware3!$D21</f>
        <v>16</v>
      </c>
      <c r="Y22">
        <f>Aware4!$D21</f>
        <v>4</v>
      </c>
      <c r="Z22">
        <f>Aware5!$D21</f>
        <v>2</v>
      </c>
      <c r="AA22">
        <f t="shared" si="7"/>
        <v>2</v>
      </c>
      <c r="AB22">
        <f t="shared" si="8"/>
        <v>6.8</v>
      </c>
      <c r="AC22">
        <f t="shared" si="9"/>
        <v>16</v>
      </c>
      <c r="AE22">
        <v>19</v>
      </c>
      <c r="AF22">
        <f t="shared" si="18"/>
        <v>40</v>
      </c>
      <c r="AG22">
        <f t="shared" si="17"/>
        <v>29.833333333333332</v>
      </c>
      <c r="AH22">
        <f t="shared" si="17"/>
        <v>41.333333333333336</v>
      </c>
      <c r="AI22">
        <f t="shared" si="17"/>
        <v>42.833333333333336</v>
      </c>
      <c r="AJ22">
        <f t="shared" si="17"/>
        <v>80.666666666666671</v>
      </c>
      <c r="AK22">
        <f t="shared" si="11"/>
        <v>29.833333333333332</v>
      </c>
      <c r="AL22">
        <f t="shared" si="12"/>
        <v>46.933333333333337</v>
      </c>
      <c r="AM22">
        <f t="shared" si="13"/>
        <v>80.666666666666671</v>
      </c>
    </row>
    <row r="23" spans="1:39" x14ac:dyDescent="0.25">
      <c r="A23">
        <v>20</v>
      </c>
      <c r="B23">
        <f>Aware1!H22</f>
        <v>0</v>
      </c>
      <c r="C23">
        <f>Aware2!H22</f>
        <v>0</v>
      </c>
      <c r="D23">
        <f>Aware3!H22</f>
        <v>0</v>
      </c>
      <c r="E23">
        <f>Aware4!H22</f>
        <v>0</v>
      </c>
      <c r="F23">
        <f>Aware5!H22</f>
        <v>1</v>
      </c>
      <c r="G23">
        <f t="shared" si="1"/>
        <v>0</v>
      </c>
      <c r="H23">
        <f t="shared" si="2"/>
        <v>0.2</v>
      </c>
      <c r="I23">
        <f t="shared" si="3"/>
        <v>1</v>
      </c>
      <c r="K23">
        <v>20</v>
      </c>
      <c r="L23">
        <f>Aware1!$G22</f>
        <v>99</v>
      </c>
      <c r="M23">
        <f>Aware2!$G22</f>
        <v>27</v>
      </c>
      <c r="N23">
        <f>Aware3!$G22</f>
        <v>17</v>
      </c>
      <c r="O23">
        <f>Aware4!$G22</f>
        <v>55</v>
      </c>
      <c r="P23">
        <f>Aware5!$G22</f>
        <v>62</v>
      </c>
      <c r="Q23">
        <f t="shared" si="4"/>
        <v>17</v>
      </c>
      <c r="R23">
        <f t="shared" si="5"/>
        <v>52</v>
      </c>
      <c r="S23">
        <f t="shared" si="6"/>
        <v>99</v>
      </c>
      <c r="U23">
        <v>20</v>
      </c>
      <c r="V23">
        <f>Aware1!$D22</f>
        <v>1</v>
      </c>
      <c r="W23">
        <f>Aware2!$D22</f>
        <v>4</v>
      </c>
      <c r="X23">
        <f>Aware3!$D22</f>
        <v>15</v>
      </c>
      <c r="Y23">
        <f>Aware4!$D22</f>
        <v>3</v>
      </c>
      <c r="Z23">
        <f>Aware5!$D22</f>
        <v>3</v>
      </c>
      <c r="AA23">
        <f t="shared" si="7"/>
        <v>1</v>
      </c>
      <c r="AB23">
        <f t="shared" si="8"/>
        <v>5.2</v>
      </c>
      <c r="AC23">
        <f t="shared" si="9"/>
        <v>15</v>
      </c>
      <c r="AE23">
        <v>20</v>
      </c>
      <c r="AF23">
        <f t="shared" si="18"/>
        <v>53.666666666666664</v>
      </c>
      <c r="AG23">
        <f t="shared" si="17"/>
        <v>26.5</v>
      </c>
      <c r="AH23">
        <f t="shared" si="17"/>
        <v>40.5</v>
      </c>
      <c r="AI23">
        <f t="shared" si="17"/>
        <v>47.333333333333336</v>
      </c>
      <c r="AJ23">
        <f t="shared" si="17"/>
        <v>86.333333333333329</v>
      </c>
      <c r="AK23">
        <f t="shared" si="11"/>
        <v>26.5</v>
      </c>
      <c r="AL23">
        <f t="shared" si="12"/>
        <v>50.86666666666666</v>
      </c>
      <c r="AM23">
        <f t="shared" si="13"/>
        <v>86.333333333333329</v>
      </c>
    </row>
    <row r="24" spans="1:39" x14ac:dyDescent="0.25">
      <c r="A24">
        <v>21</v>
      </c>
      <c r="B24">
        <f>Aware1!H23</f>
        <v>1</v>
      </c>
      <c r="C24">
        <f>Aware2!H23</f>
        <v>2</v>
      </c>
      <c r="D24">
        <f>Aware3!H23</f>
        <v>0</v>
      </c>
      <c r="E24">
        <f>Aware4!H23</f>
        <v>0</v>
      </c>
      <c r="F24">
        <f>Aware5!H23</f>
        <v>0</v>
      </c>
      <c r="G24">
        <f t="shared" si="1"/>
        <v>0</v>
      </c>
      <c r="H24">
        <f t="shared" si="2"/>
        <v>0.6</v>
      </c>
      <c r="I24">
        <f t="shared" si="3"/>
        <v>2</v>
      </c>
      <c r="K24">
        <v>21</v>
      </c>
      <c r="L24">
        <f>Aware1!$G23</f>
        <v>100</v>
      </c>
      <c r="M24">
        <f>Aware2!$G23</f>
        <v>99</v>
      </c>
      <c r="N24">
        <f>Aware3!$G23</f>
        <v>44</v>
      </c>
      <c r="O24">
        <f>Aware4!$G23</f>
        <v>97</v>
      </c>
      <c r="P24">
        <f>Aware5!$G23</f>
        <v>99</v>
      </c>
      <c r="Q24">
        <f t="shared" si="4"/>
        <v>44</v>
      </c>
      <c r="R24">
        <f t="shared" si="5"/>
        <v>87.8</v>
      </c>
      <c r="S24">
        <f t="shared" si="6"/>
        <v>100</v>
      </c>
      <c r="U24">
        <v>21</v>
      </c>
      <c r="V24">
        <f>Aware1!$D23</f>
        <v>1</v>
      </c>
      <c r="W24">
        <f>Aware2!$D23</f>
        <v>5</v>
      </c>
      <c r="X24">
        <f>Aware3!$D23</f>
        <v>11</v>
      </c>
      <c r="Y24">
        <f>Aware4!$D23</f>
        <v>1</v>
      </c>
      <c r="Z24">
        <f>Aware5!$D23</f>
        <v>3</v>
      </c>
      <c r="AA24">
        <f t="shared" si="7"/>
        <v>1</v>
      </c>
      <c r="AB24">
        <f t="shared" si="8"/>
        <v>4.2</v>
      </c>
      <c r="AC24">
        <f t="shared" si="9"/>
        <v>11</v>
      </c>
      <c r="AE24">
        <v>21</v>
      </c>
      <c r="AF24">
        <f t="shared" si="18"/>
        <v>66.333333333333329</v>
      </c>
      <c r="AG24">
        <f t="shared" si="18"/>
        <v>39.833333333333336</v>
      </c>
      <c r="AH24">
        <f t="shared" si="18"/>
        <v>43.166666666666664</v>
      </c>
      <c r="AI24">
        <f t="shared" si="18"/>
        <v>47.833333333333336</v>
      </c>
      <c r="AJ24">
        <f t="shared" si="18"/>
        <v>93.166666666666671</v>
      </c>
      <c r="AK24">
        <f t="shared" si="11"/>
        <v>39.833333333333336</v>
      </c>
      <c r="AL24">
        <f t="shared" si="12"/>
        <v>58.066666666666663</v>
      </c>
      <c r="AM24">
        <f t="shared" si="13"/>
        <v>93.166666666666671</v>
      </c>
    </row>
    <row r="25" spans="1:39" x14ac:dyDescent="0.25">
      <c r="A25">
        <v>22</v>
      </c>
      <c r="B25">
        <f>Aware1!H24</f>
        <v>0</v>
      </c>
      <c r="C25">
        <f>Aware2!H24</f>
        <v>4</v>
      </c>
      <c r="D25">
        <f>Aware3!H24</f>
        <v>3</v>
      </c>
      <c r="E25">
        <f>Aware4!H24</f>
        <v>2</v>
      </c>
      <c r="F25">
        <f>Aware5!H24</f>
        <v>0</v>
      </c>
      <c r="G25">
        <f t="shared" si="1"/>
        <v>0</v>
      </c>
      <c r="H25">
        <f t="shared" si="2"/>
        <v>1.8</v>
      </c>
      <c r="I25">
        <f t="shared" si="3"/>
        <v>4</v>
      </c>
      <c r="K25">
        <v>22</v>
      </c>
      <c r="L25">
        <f>Aware1!$G24</f>
        <v>100</v>
      </c>
      <c r="M25">
        <f>Aware2!$G24</f>
        <v>99</v>
      </c>
      <c r="N25">
        <f>Aware3!$G24</f>
        <v>96</v>
      </c>
      <c r="O25">
        <f>Aware4!$G24</f>
        <v>100</v>
      </c>
      <c r="P25">
        <f>Aware5!$G24</f>
        <v>99</v>
      </c>
      <c r="Q25">
        <f t="shared" si="4"/>
        <v>96</v>
      </c>
      <c r="R25">
        <f t="shared" si="5"/>
        <v>98.8</v>
      </c>
      <c r="S25">
        <f t="shared" si="6"/>
        <v>100</v>
      </c>
      <c r="U25">
        <v>22</v>
      </c>
      <c r="V25">
        <f>Aware1!$D24</f>
        <v>1</v>
      </c>
      <c r="W25">
        <f>Aware2!$D24</f>
        <v>7</v>
      </c>
      <c r="X25">
        <f>Aware3!$D24</f>
        <v>4</v>
      </c>
      <c r="Y25">
        <f>Aware4!$D24</f>
        <v>2</v>
      </c>
      <c r="Z25">
        <f>Aware5!$D24</f>
        <v>2</v>
      </c>
      <c r="AA25">
        <f t="shared" si="7"/>
        <v>1</v>
      </c>
      <c r="AB25">
        <f t="shared" si="8"/>
        <v>3.2</v>
      </c>
      <c r="AC25">
        <f t="shared" si="9"/>
        <v>7</v>
      </c>
      <c r="AE25">
        <v>22</v>
      </c>
      <c r="AF25">
        <f t="shared" si="18"/>
        <v>78.5</v>
      </c>
      <c r="AG25">
        <f t="shared" si="18"/>
        <v>53</v>
      </c>
      <c r="AH25">
        <f t="shared" si="18"/>
        <v>42.833333333333336</v>
      </c>
      <c r="AI25">
        <f t="shared" si="18"/>
        <v>59.5</v>
      </c>
      <c r="AJ25">
        <f t="shared" si="18"/>
        <v>93.333333333333329</v>
      </c>
      <c r="AK25">
        <f t="shared" si="11"/>
        <v>42.833333333333336</v>
      </c>
      <c r="AL25">
        <f t="shared" si="12"/>
        <v>65.433333333333337</v>
      </c>
      <c r="AM25">
        <f t="shared" si="13"/>
        <v>93.333333333333329</v>
      </c>
    </row>
    <row r="26" spans="1:39" x14ac:dyDescent="0.25">
      <c r="A26">
        <v>23</v>
      </c>
      <c r="B26">
        <f>Aware1!H25</f>
        <v>0</v>
      </c>
      <c r="C26">
        <f>Aware2!H25</f>
        <v>1</v>
      </c>
      <c r="D26">
        <f>Aware3!H25</f>
        <v>0</v>
      </c>
      <c r="E26">
        <f>Aware4!H25</f>
        <v>1</v>
      </c>
      <c r="F26">
        <f>Aware5!H25</f>
        <v>0</v>
      </c>
      <c r="G26">
        <f t="shared" si="1"/>
        <v>0</v>
      </c>
      <c r="H26">
        <f t="shared" si="2"/>
        <v>0.4</v>
      </c>
      <c r="I26">
        <f t="shared" si="3"/>
        <v>1</v>
      </c>
      <c r="K26">
        <v>23</v>
      </c>
      <c r="L26">
        <f>Aware1!$G25</f>
        <v>100</v>
      </c>
      <c r="M26">
        <f>Aware2!$G25</f>
        <v>60</v>
      </c>
      <c r="N26">
        <f>Aware3!$G25</f>
        <v>100</v>
      </c>
      <c r="O26">
        <f>Aware4!$G25</f>
        <v>100</v>
      </c>
      <c r="P26">
        <f>Aware5!$G25</f>
        <v>61</v>
      </c>
      <c r="Q26">
        <f t="shared" si="4"/>
        <v>60</v>
      </c>
      <c r="R26">
        <f t="shared" si="5"/>
        <v>84.2</v>
      </c>
      <c r="S26">
        <f t="shared" si="6"/>
        <v>100</v>
      </c>
      <c r="U26">
        <v>23</v>
      </c>
      <c r="V26">
        <f>Aware1!$D25</f>
        <v>1</v>
      </c>
      <c r="W26">
        <f>Aware2!$D25</f>
        <v>8</v>
      </c>
      <c r="X26">
        <f>Aware3!$D25</f>
        <v>3</v>
      </c>
      <c r="Y26">
        <f>Aware4!$D25</f>
        <v>3</v>
      </c>
      <c r="Z26">
        <f>Aware5!$D25</f>
        <v>2</v>
      </c>
      <c r="AA26">
        <f t="shared" si="7"/>
        <v>1</v>
      </c>
      <c r="AB26">
        <f t="shared" si="8"/>
        <v>3.4</v>
      </c>
      <c r="AC26">
        <f t="shared" si="9"/>
        <v>8</v>
      </c>
      <c r="AE26">
        <v>23</v>
      </c>
      <c r="AF26">
        <f t="shared" ref="AF26:AJ41" si="19">AVERAGE(L21:L26)</f>
        <v>86</v>
      </c>
      <c r="AG26">
        <f t="shared" si="19"/>
        <v>59.166666666666664</v>
      </c>
      <c r="AH26">
        <f t="shared" si="19"/>
        <v>53.666666666666664</v>
      </c>
      <c r="AI26">
        <f t="shared" si="19"/>
        <v>72</v>
      </c>
      <c r="AJ26">
        <f t="shared" si="19"/>
        <v>86.833333333333329</v>
      </c>
      <c r="AK26">
        <f t="shared" si="11"/>
        <v>53.666666666666664</v>
      </c>
      <c r="AL26">
        <f t="shared" si="12"/>
        <v>71.533333333333331</v>
      </c>
      <c r="AM26">
        <f t="shared" si="13"/>
        <v>86.833333333333329</v>
      </c>
    </row>
    <row r="27" spans="1:39" x14ac:dyDescent="0.25">
      <c r="A27">
        <v>24</v>
      </c>
      <c r="B27">
        <f>Aware1!H26</f>
        <v>0</v>
      </c>
      <c r="C27">
        <f>Aware2!H26</f>
        <v>2</v>
      </c>
      <c r="D27">
        <f>Aware3!H26</f>
        <v>2</v>
      </c>
      <c r="E27">
        <f>Aware4!H26</f>
        <v>2</v>
      </c>
      <c r="F27">
        <f>Aware5!H26</f>
        <v>0</v>
      </c>
      <c r="G27">
        <f t="shared" si="1"/>
        <v>0</v>
      </c>
      <c r="H27">
        <f t="shared" si="2"/>
        <v>1.2</v>
      </c>
      <c r="I27">
        <f t="shared" si="3"/>
        <v>2</v>
      </c>
      <c r="K27">
        <v>24</v>
      </c>
      <c r="L27">
        <f>Aware1!$G26</f>
        <v>100</v>
      </c>
      <c r="M27">
        <f>Aware2!$G26</f>
        <v>100</v>
      </c>
      <c r="N27">
        <f>Aware3!$G26</f>
        <v>100</v>
      </c>
      <c r="O27">
        <f>Aware4!$G26</f>
        <v>100</v>
      </c>
      <c r="P27">
        <f>Aware5!$G26</f>
        <v>62</v>
      </c>
      <c r="Q27">
        <f t="shared" si="4"/>
        <v>62</v>
      </c>
      <c r="R27">
        <f t="shared" si="5"/>
        <v>92.4</v>
      </c>
      <c r="S27">
        <f t="shared" si="6"/>
        <v>100</v>
      </c>
      <c r="U27">
        <v>24</v>
      </c>
      <c r="V27">
        <f>Aware1!$D26</f>
        <v>1</v>
      </c>
      <c r="W27">
        <f>Aware2!$D26</f>
        <v>10</v>
      </c>
      <c r="X27">
        <f>Aware3!$D26</f>
        <v>5</v>
      </c>
      <c r="Y27">
        <f>Aware4!$D26</f>
        <v>5</v>
      </c>
      <c r="Z27">
        <f>Aware5!$D26</f>
        <v>2</v>
      </c>
      <c r="AA27">
        <f t="shared" si="7"/>
        <v>1</v>
      </c>
      <c r="AB27">
        <f t="shared" si="8"/>
        <v>4.5999999999999996</v>
      </c>
      <c r="AC27">
        <f t="shared" si="9"/>
        <v>10</v>
      </c>
      <c r="AE27">
        <v>24</v>
      </c>
      <c r="AF27">
        <f t="shared" si="19"/>
        <v>93.166666666666671</v>
      </c>
      <c r="AG27">
        <f t="shared" si="19"/>
        <v>72.5</v>
      </c>
      <c r="AH27">
        <f t="shared" si="19"/>
        <v>62.833333333333336</v>
      </c>
      <c r="AI27">
        <f t="shared" si="19"/>
        <v>80</v>
      </c>
      <c r="AJ27">
        <f t="shared" si="19"/>
        <v>80.5</v>
      </c>
      <c r="AK27">
        <f t="shared" si="11"/>
        <v>62.833333333333336</v>
      </c>
      <c r="AL27">
        <f t="shared" si="12"/>
        <v>77.8</v>
      </c>
      <c r="AM27">
        <f t="shared" si="13"/>
        <v>93.166666666666671</v>
      </c>
    </row>
    <row r="28" spans="1:39" x14ac:dyDescent="0.25">
      <c r="A28">
        <v>25</v>
      </c>
      <c r="B28">
        <f>Aware1!H27</f>
        <v>0</v>
      </c>
      <c r="C28">
        <f>Aware2!H27</f>
        <v>0</v>
      </c>
      <c r="D28">
        <f>Aware3!H27</f>
        <v>4</v>
      </c>
      <c r="E28">
        <f>Aware4!H27</f>
        <v>2</v>
      </c>
      <c r="F28">
        <f>Aware5!H27</f>
        <v>0</v>
      </c>
      <c r="G28">
        <f t="shared" si="1"/>
        <v>0</v>
      </c>
      <c r="H28">
        <f t="shared" si="2"/>
        <v>1.2</v>
      </c>
      <c r="I28">
        <f t="shared" si="3"/>
        <v>4</v>
      </c>
      <c r="K28">
        <v>25</v>
      </c>
      <c r="L28">
        <f>Aware1!$G27</f>
        <v>60</v>
      </c>
      <c r="M28">
        <f>Aware2!$G27</f>
        <v>26</v>
      </c>
      <c r="N28">
        <f>Aware3!$G27</f>
        <v>99</v>
      </c>
      <c r="O28">
        <f>Aware4!$G27</f>
        <v>100</v>
      </c>
      <c r="P28">
        <f>Aware5!$G27</f>
        <v>98</v>
      </c>
      <c r="Q28">
        <f t="shared" si="4"/>
        <v>26</v>
      </c>
      <c r="R28">
        <f t="shared" si="5"/>
        <v>76.599999999999994</v>
      </c>
      <c r="S28">
        <f t="shared" si="6"/>
        <v>100</v>
      </c>
      <c r="U28">
        <v>25</v>
      </c>
      <c r="V28">
        <f>Aware1!$D27</f>
        <v>1</v>
      </c>
      <c r="W28">
        <f>Aware2!$D27</f>
        <v>9</v>
      </c>
      <c r="X28">
        <f>Aware3!$D27</f>
        <v>9</v>
      </c>
      <c r="Y28">
        <f>Aware4!$D27</f>
        <v>7</v>
      </c>
      <c r="Z28">
        <f>Aware5!$D27</f>
        <v>1</v>
      </c>
      <c r="AA28">
        <f t="shared" si="7"/>
        <v>1</v>
      </c>
      <c r="AB28">
        <f t="shared" si="8"/>
        <v>5.4</v>
      </c>
      <c r="AC28">
        <f t="shared" si="9"/>
        <v>9</v>
      </c>
      <c r="AE28">
        <v>25</v>
      </c>
      <c r="AF28">
        <f t="shared" si="19"/>
        <v>93.166666666666671</v>
      </c>
      <c r="AG28">
        <f t="shared" si="19"/>
        <v>68.5</v>
      </c>
      <c r="AH28">
        <f t="shared" si="19"/>
        <v>76</v>
      </c>
      <c r="AI28">
        <f t="shared" si="19"/>
        <v>92</v>
      </c>
      <c r="AJ28">
        <f t="shared" si="19"/>
        <v>80.166666666666671</v>
      </c>
      <c r="AK28">
        <f t="shared" si="11"/>
        <v>68.5</v>
      </c>
      <c r="AL28">
        <f t="shared" si="12"/>
        <v>81.966666666666669</v>
      </c>
      <c r="AM28">
        <f t="shared" si="13"/>
        <v>93.166666666666671</v>
      </c>
    </row>
    <row r="29" spans="1:39" x14ac:dyDescent="0.25">
      <c r="A29">
        <v>26</v>
      </c>
      <c r="B29">
        <f>Aware1!H28</f>
        <v>0</v>
      </c>
      <c r="C29">
        <f>Aware2!H28</f>
        <v>0</v>
      </c>
      <c r="D29">
        <f>Aware3!H28</f>
        <v>2</v>
      </c>
      <c r="E29">
        <f>Aware4!H28</f>
        <v>0</v>
      </c>
      <c r="F29">
        <f>Aware5!H28</f>
        <v>0</v>
      </c>
      <c r="G29">
        <f t="shared" si="1"/>
        <v>0</v>
      </c>
      <c r="H29">
        <f t="shared" si="2"/>
        <v>0.4</v>
      </c>
      <c r="I29">
        <f t="shared" si="3"/>
        <v>2</v>
      </c>
      <c r="K29">
        <v>26</v>
      </c>
      <c r="L29">
        <f>Aware1!$G28</f>
        <v>99</v>
      </c>
      <c r="M29">
        <f>Aware2!$G28</f>
        <v>30</v>
      </c>
      <c r="N29">
        <f>Aware3!$G28</f>
        <v>34</v>
      </c>
      <c r="O29">
        <f>Aware4!$G28</f>
        <v>31</v>
      </c>
      <c r="P29">
        <f>Aware5!$G28</f>
        <v>99</v>
      </c>
      <c r="Q29">
        <f t="shared" si="4"/>
        <v>30</v>
      </c>
      <c r="R29">
        <f t="shared" si="5"/>
        <v>58.6</v>
      </c>
      <c r="S29">
        <f t="shared" si="6"/>
        <v>99</v>
      </c>
      <c r="U29">
        <v>26</v>
      </c>
      <c r="V29">
        <f>Aware1!$D28</f>
        <v>1</v>
      </c>
      <c r="W29">
        <f>Aware2!$D28</f>
        <v>9</v>
      </c>
      <c r="X29">
        <f>Aware3!$D28</f>
        <v>11</v>
      </c>
      <c r="Y29">
        <f>Aware4!$D28</f>
        <v>7</v>
      </c>
      <c r="Z29">
        <f>Aware5!$D28</f>
        <v>0</v>
      </c>
      <c r="AA29">
        <f t="shared" si="7"/>
        <v>0</v>
      </c>
      <c r="AB29">
        <f t="shared" si="8"/>
        <v>5.6</v>
      </c>
      <c r="AC29">
        <f t="shared" si="9"/>
        <v>11</v>
      </c>
      <c r="AE29">
        <v>26</v>
      </c>
      <c r="AF29">
        <f t="shared" si="19"/>
        <v>93.166666666666671</v>
      </c>
      <c r="AG29">
        <f t="shared" si="19"/>
        <v>69</v>
      </c>
      <c r="AH29">
        <f t="shared" si="19"/>
        <v>78.833333333333329</v>
      </c>
      <c r="AI29">
        <f t="shared" si="19"/>
        <v>88</v>
      </c>
      <c r="AJ29">
        <f t="shared" si="19"/>
        <v>86.333333333333329</v>
      </c>
      <c r="AK29">
        <f t="shared" si="11"/>
        <v>69</v>
      </c>
      <c r="AL29">
        <f t="shared" si="12"/>
        <v>83.066666666666663</v>
      </c>
      <c r="AM29">
        <f t="shared" si="13"/>
        <v>93.166666666666671</v>
      </c>
    </row>
    <row r="30" spans="1:39" x14ac:dyDescent="0.25">
      <c r="A30">
        <v>27</v>
      </c>
      <c r="B30">
        <f>Aware1!H29</f>
        <v>1</v>
      </c>
      <c r="C30">
        <f>Aware2!H29</f>
        <v>0</v>
      </c>
      <c r="D30">
        <f>Aware3!H29</f>
        <v>5</v>
      </c>
      <c r="E30">
        <f>Aware4!H29</f>
        <v>1</v>
      </c>
      <c r="F30" s="2">
        <f>Aware5!H29</f>
        <v>0</v>
      </c>
      <c r="G30">
        <f t="shared" si="1"/>
        <v>0</v>
      </c>
      <c r="H30">
        <f t="shared" si="2"/>
        <v>1.4</v>
      </c>
      <c r="I30">
        <f t="shared" si="3"/>
        <v>5</v>
      </c>
      <c r="K30">
        <v>27</v>
      </c>
      <c r="L30">
        <f>Aware1!$G29</f>
        <v>100</v>
      </c>
      <c r="M30">
        <f>Aware2!$G29</f>
        <v>59</v>
      </c>
      <c r="N30">
        <f>Aware3!$G29</f>
        <v>96</v>
      </c>
      <c r="O30">
        <f>Aware4!$G29</f>
        <v>58</v>
      </c>
      <c r="P30" s="2">
        <f>100</f>
        <v>100</v>
      </c>
      <c r="Q30">
        <f t="shared" si="4"/>
        <v>58</v>
      </c>
      <c r="R30">
        <f t="shared" si="5"/>
        <v>82.6</v>
      </c>
      <c r="S30">
        <f t="shared" si="6"/>
        <v>100</v>
      </c>
      <c r="U30">
        <v>27</v>
      </c>
      <c r="V30">
        <f>Aware1!$D29</f>
        <v>1</v>
      </c>
      <c r="W30">
        <f>Aware2!$D29</f>
        <v>7</v>
      </c>
      <c r="X30">
        <f>Aware3!$D29</f>
        <v>16</v>
      </c>
      <c r="Y30">
        <f>Aware4!$D29</f>
        <v>8</v>
      </c>
      <c r="Z30" s="2">
        <f>Aware5!$D29</f>
        <v>0</v>
      </c>
      <c r="AA30">
        <f t="shared" si="7"/>
        <v>0</v>
      </c>
      <c r="AB30">
        <f t="shared" si="8"/>
        <v>6.4</v>
      </c>
      <c r="AC30">
        <f t="shared" si="9"/>
        <v>16</v>
      </c>
      <c r="AE30">
        <v>27</v>
      </c>
      <c r="AF30">
        <f t="shared" si="19"/>
        <v>93.166666666666671</v>
      </c>
      <c r="AG30">
        <f t="shared" si="19"/>
        <v>62.333333333333336</v>
      </c>
      <c r="AH30">
        <f t="shared" si="19"/>
        <v>87.5</v>
      </c>
      <c r="AI30">
        <f t="shared" si="19"/>
        <v>81.5</v>
      </c>
      <c r="AJ30" s="2">
        <f t="shared" si="19"/>
        <v>86.5</v>
      </c>
      <c r="AK30">
        <f t="shared" si="11"/>
        <v>62.333333333333336</v>
      </c>
      <c r="AL30">
        <f t="shared" si="12"/>
        <v>82.2</v>
      </c>
      <c r="AM30">
        <f t="shared" si="13"/>
        <v>93.166666666666671</v>
      </c>
    </row>
    <row r="31" spans="1:39" x14ac:dyDescent="0.25">
      <c r="A31">
        <v>28</v>
      </c>
      <c r="B31">
        <f>Aware1!H30</f>
        <v>0</v>
      </c>
      <c r="C31">
        <f>Aware2!H30</f>
        <v>0</v>
      </c>
      <c r="D31">
        <f>Aware3!H30</f>
        <v>1</v>
      </c>
      <c r="E31">
        <f>Aware4!H30</f>
        <v>0</v>
      </c>
      <c r="F31" s="2">
        <f>Aware5!H30</f>
        <v>0</v>
      </c>
      <c r="G31">
        <f t="shared" si="1"/>
        <v>0</v>
      </c>
      <c r="H31">
        <f t="shared" si="2"/>
        <v>0.2</v>
      </c>
      <c r="I31">
        <f t="shared" si="3"/>
        <v>1</v>
      </c>
      <c r="K31">
        <v>28</v>
      </c>
      <c r="L31">
        <f>Aware1!$G30</f>
        <v>100</v>
      </c>
      <c r="M31">
        <f>Aware2!$G30</f>
        <v>28</v>
      </c>
      <c r="N31">
        <f>Aware3!$G30</f>
        <v>29</v>
      </c>
      <c r="O31">
        <f>Aware4!$G30</f>
        <v>32</v>
      </c>
      <c r="P31" s="2">
        <f>100</f>
        <v>100</v>
      </c>
      <c r="Q31">
        <f t="shared" si="4"/>
        <v>28</v>
      </c>
      <c r="R31">
        <f t="shared" si="5"/>
        <v>57.8</v>
      </c>
      <c r="S31">
        <f t="shared" si="6"/>
        <v>100</v>
      </c>
      <c r="U31">
        <v>28</v>
      </c>
      <c r="V31">
        <f>Aware1!$D30</f>
        <v>1</v>
      </c>
      <c r="W31">
        <f>Aware2!$D30</f>
        <v>3</v>
      </c>
      <c r="X31">
        <f>Aware3!$D30</f>
        <v>14</v>
      </c>
      <c r="Y31">
        <f>Aware4!$D30</f>
        <v>6</v>
      </c>
      <c r="Z31" s="2">
        <f>Aware5!$D30</f>
        <v>0</v>
      </c>
      <c r="AA31">
        <f t="shared" si="7"/>
        <v>0</v>
      </c>
      <c r="AB31">
        <f t="shared" si="8"/>
        <v>4.8</v>
      </c>
      <c r="AC31">
        <f t="shared" si="9"/>
        <v>14</v>
      </c>
      <c r="AE31">
        <v>28</v>
      </c>
      <c r="AF31">
        <f t="shared" si="19"/>
        <v>93.166666666666671</v>
      </c>
      <c r="AG31">
        <f t="shared" si="19"/>
        <v>50.5</v>
      </c>
      <c r="AH31">
        <f t="shared" si="19"/>
        <v>76.333333333333329</v>
      </c>
      <c r="AI31">
        <f t="shared" si="19"/>
        <v>70.166666666666671</v>
      </c>
      <c r="AJ31" s="2">
        <f t="shared" si="19"/>
        <v>86.666666666666671</v>
      </c>
      <c r="AK31">
        <f t="shared" si="11"/>
        <v>50.5</v>
      </c>
      <c r="AL31">
        <f t="shared" si="12"/>
        <v>75.366666666666674</v>
      </c>
      <c r="AM31">
        <f t="shared" si="13"/>
        <v>93.166666666666671</v>
      </c>
    </row>
    <row r="32" spans="1:39" x14ac:dyDescent="0.25">
      <c r="A32">
        <v>29</v>
      </c>
      <c r="B32">
        <f>Aware1!H31</f>
        <v>1</v>
      </c>
      <c r="C32">
        <f>Aware2!H31</f>
        <v>2</v>
      </c>
      <c r="D32">
        <f>Aware3!H31</f>
        <v>1</v>
      </c>
      <c r="E32">
        <f>Aware4!H31</f>
        <v>0</v>
      </c>
      <c r="F32" s="2">
        <f>Aware5!H31</f>
        <v>0</v>
      </c>
      <c r="G32">
        <f t="shared" si="1"/>
        <v>0</v>
      </c>
      <c r="H32">
        <f t="shared" si="2"/>
        <v>0.8</v>
      </c>
      <c r="I32">
        <f t="shared" si="3"/>
        <v>2</v>
      </c>
      <c r="K32">
        <v>29</v>
      </c>
      <c r="L32">
        <f>Aware1!$G31</f>
        <v>100</v>
      </c>
      <c r="M32">
        <f>Aware2!$G31</f>
        <v>98</v>
      </c>
      <c r="N32">
        <f>Aware3!$G31</f>
        <v>24</v>
      </c>
      <c r="O32">
        <f>Aware4!$G31</f>
        <v>33</v>
      </c>
      <c r="P32" s="2">
        <f>100</f>
        <v>100</v>
      </c>
      <c r="Q32">
        <f t="shared" si="4"/>
        <v>24</v>
      </c>
      <c r="R32">
        <f t="shared" si="5"/>
        <v>71</v>
      </c>
      <c r="S32">
        <f t="shared" si="6"/>
        <v>100</v>
      </c>
      <c r="U32">
        <v>29</v>
      </c>
      <c r="V32">
        <f>Aware1!$D31</f>
        <v>2</v>
      </c>
      <c r="W32">
        <f>Aware2!$D31</f>
        <v>4</v>
      </c>
      <c r="X32">
        <f>Aware3!$D31</f>
        <v>15</v>
      </c>
      <c r="Y32">
        <f>Aware4!$D31</f>
        <v>5</v>
      </c>
      <c r="Z32" s="2">
        <f>Aware5!$D31</f>
        <v>0</v>
      </c>
      <c r="AA32">
        <f t="shared" si="7"/>
        <v>0</v>
      </c>
      <c r="AB32">
        <f t="shared" si="8"/>
        <v>5.2</v>
      </c>
      <c r="AC32">
        <f t="shared" si="9"/>
        <v>15</v>
      </c>
      <c r="AE32">
        <v>29</v>
      </c>
      <c r="AF32">
        <f t="shared" si="19"/>
        <v>93.166666666666671</v>
      </c>
      <c r="AG32">
        <f t="shared" si="19"/>
        <v>56.833333333333336</v>
      </c>
      <c r="AH32">
        <f t="shared" si="19"/>
        <v>63.666666666666664</v>
      </c>
      <c r="AI32">
        <f t="shared" si="19"/>
        <v>59</v>
      </c>
      <c r="AJ32" s="2">
        <f t="shared" si="19"/>
        <v>93.166666666666671</v>
      </c>
      <c r="AK32">
        <f t="shared" si="11"/>
        <v>56.833333333333336</v>
      </c>
      <c r="AL32">
        <f t="shared" si="12"/>
        <v>73.166666666666657</v>
      </c>
      <c r="AM32">
        <f t="shared" si="13"/>
        <v>93.166666666666671</v>
      </c>
    </row>
    <row r="33" spans="1:39" x14ac:dyDescent="0.25">
      <c r="A33">
        <v>30</v>
      </c>
      <c r="B33">
        <f>Aware1!H32</f>
        <v>1</v>
      </c>
      <c r="C33">
        <f>Aware2!H32</f>
        <v>3</v>
      </c>
      <c r="D33">
        <f>Aware3!H32</f>
        <v>0</v>
      </c>
      <c r="E33">
        <f>Aware4!H32</f>
        <v>2</v>
      </c>
      <c r="F33" s="2">
        <f>Aware5!H32</f>
        <v>0</v>
      </c>
      <c r="G33">
        <f t="shared" si="1"/>
        <v>0</v>
      </c>
      <c r="H33">
        <f t="shared" si="2"/>
        <v>1.2</v>
      </c>
      <c r="I33">
        <f t="shared" si="3"/>
        <v>3</v>
      </c>
      <c r="K33">
        <v>30</v>
      </c>
      <c r="L33">
        <f>Aware1!$G32</f>
        <v>100</v>
      </c>
      <c r="M33">
        <f>Aware2!$G32</f>
        <v>100</v>
      </c>
      <c r="N33">
        <f>Aware3!$G32</f>
        <v>28</v>
      </c>
      <c r="O33">
        <f>Aware4!$G32</f>
        <v>97</v>
      </c>
      <c r="P33" s="2">
        <f>100</f>
        <v>100</v>
      </c>
      <c r="Q33">
        <f t="shared" si="4"/>
        <v>28</v>
      </c>
      <c r="R33">
        <f t="shared" si="5"/>
        <v>85</v>
      </c>
      <c r="S33">
        <f t="shared" si="6"/>
        <v>100</v>
      </c>
      <c r="U33">
        <v>30</v>
      </c>
      <c r="V33">
        <f>Aware1!$D32</f>
        <v>3</v>
      </c>
      <c r="W33">
        <f>Aware2!$D32</f>
        <v>5</v>
      </c>
      <c r="X33">
        <f>Aware3!$D32</f>
        <v>13</v>
      </c>
      <c r="Y33">
        <f>Aware4!$D32</f>
        <v>5</v>
      </c>
      <c r="Z33" s="2">
        <f>Aware5!$D32</f>
        <v>0</v>
      </c>
      <c r="AA33">
        <f t="shared" si="7"/>
        <v>0</v>
      </c>
      <c r="AB33">
        <f t="shared" si="8"/>
        <v>5.2</v>
      </c>
      <c r="AC33">
        <f t="shared" si="9"/>
        <v>13</v>
      </c>
      <c r="AE33">
        <v>30</v>
      </c>
      <c r="AF33">
        <f t="shared" si="19"/>
        <v>93.166666666666671</v>
      </c>
      <c r="AG33">
        <f t="shared" si="19"/>
        <v>56.833333333333336</v>
      </c>
      <c r="AH33">
        <f t="shared" si="19"/>
        <v>51.666666666666664</v>
      </c>
      <c r="AI33">
        <f t="shared" si="19"/>
        <v>58.5</v>
      </c>
      <c r="AJ33" s="2">
        <f t="shared" si="19"/>
        <v>99.5</v>
      </c>
      <c r="AK33">
        <f t="shared" si="11"/>
        <v>51.666666666666664</v>
      </c>
      <c r="AL33">
        <f t="shared" si="12"/>
        <v>71.933333333333323</v>
      </c>
      <c r="AM33">
        <f t="shared" si="13"/>
        <v>99.5</v>
      </c>
    </row>
    <row r="34" spans="1:39" x14ac:dyDescent="0.25">
      <c r="A34">
        <v>31</v>
      </c>
      <c r="B34">
        <f>Aware1!H33</f>
        <v>3</v>
      </c>
      <c r="C34">
        <f>Aware2!H33</f>
        <v>3</v>
      </c>
      <c r="D34">
        <f>Aware3!H33</f>
        <v>0</v>
      </c>
      <c r="E34">
        <f>Aware4!H33</f>
        <v>1</v>
      </c>
      <c r="F34" s="2">
        <f>Aware5!H33</f>
        <v>0</v>
      </c>
      <c r="G34">
        <f t="shared" si="1"/>
        <v>0</v>
      </c>
      <c r="H34">
        <f t="shared" si="2"/>
        <v>1.4</v>
      </c>
      <c r="I34">
        <f t="shared" si="3"/>
        <v>3</v>
      </c>
      <c r="K34">
        <v>31</v>
      </c>
      <c r="L34">
        <f>Aware1!$G33</f>
        <v>62</v>
      </c>
      <c r="M34">
        <f>Aware2!$G33</f>
        <v>100</v>
      </c>
      <c r="N34">
        <f>Aware3!$G33</f>
        <v>20</v>
      </c>
      <c r="O34">
        <f>Aware4!$G33</f>
        <v>60</v>
      </c>
      <c r="P34" s="2">
        <f>100</f>
        <v>100</v>
      </c>
      <c r="Q34">
        <f t="shared" si="4"/>
        <v>20</v>
      </c>
      <c r="R34">
        <f t="shared" si="5"/>
        <v>68.400000000000006</v>
      </c>
      <c r="S34">
        <f t="shared" si="6"/>
        <v>100</v>
      </c>
      <c r="U34">
        <v>31</v>
      </c>
      <c r="V34">
        <f>Aware1!$D33</f>
        <v>6</v>
      </c>
      <c r="W34">
        <f>Aware2!$D33</f>
        <v>8</v>
      </c>
      <c r="X34">
        <f>Aware3!$D33</f>
        <v>9</v>
      </c>
      <c r="Y34">
        <f>Aware4!$D33</f>
        <v>4</v>
      </c>
      <c r="Z34" s="2">
        <f>Aware5!$D33</f>
        <v>0</v>
      </c>
      <c r="AA34">
        <f t="shared" si="7"/>
        <v>0</v>
      </c>
      <c r="AB34">
        <f t="shared" si="8"/>
        <v>5.4</v>
      </c>
      <c r="AC34">
        <f t="shared" si="9"/>
        <v>9</v>
      </c>
      <c r="AE34">
        <v>31</v>
      </c>
      <c r="AF34">
        <f t="shared" si="19"/>
        <v>93.5</v>
      </c>
      <c r="AG34">
        <f t="shared" si="19"/>
        <v>69.166666666666671</v>
      </c>
      <c r="AH34">
        <f t="shared" si="19"/>
        <v>38.5</v>
      </c>
      <c r="AI34">
        <f t="shared" si="19"/>
        <v>51.833333333333336</v>
      </c>
      <c r="AJ34" s="2">
        <f t="shared" si="19"/>
        <v>99.833333333333329</v>
      </c>
      <c r="AK34">
        <f t="shared" si="11"/>
        <v>38.5</v>
      </c>
      <c r="AL34">
        <f t="shared" si="12"/>
        <v>70.566666666666677</v>
      </c>
      <c r="AM34">
        <f t="shared" si="13"/>
        <v>99.833333333333329</v>
      </c>
    </row>
    <row r="35" spans="1:39" x14ac:dyDescent="0.25">
      <c r="A35">
        <v>32</v>
      </c>
      <c r="B35">
        <f>Aware1!H34</f>
        <v>1</v>
      </c>
      <c r="C35">
        <f>Aware2!H34</f>
        <v>4</v>
      </c>
      <c r="D35">
        <f>Aware3!H34</f>
        <v>1</v>
      </c>
      <c r="E35">
        <f>Aware4!H34</f>
        <v>4</v>
      </c>
      <c r="F35" s="2">
        <f>Aware5!H34</f>
        <v>0</v>
      </c>
      <c r="G35">
        <f t="shared" si="1"/>
        <v>0</v>
      </c>
      <c r="H35">
        <f t="shared" si="2"/>
        <v>2</v>
      </c>
      <c r="I35">
        <f t="shared" si="3"/>
        <v>4</v>
      </c>
      <c r="K35">
        <v>32</v>
      </c>
      <c r="L35">
        <f>Aware1!$G34</f>
        <v>99</v>
      </c>
      <c r="M35">
        <f>Aware2!$G34</f>
        <v>98</v>
      </c>
      <c r="N35">
        <f>Aware3!$G34</f>
        <v>52</v>
      </c>
      <c r="O35">
        <f>Aware4!$G34</f>
        <v>100</v>
      </c>
      <c r="P35" s="2">
        <f>100</f>
        <v>100</v>
      </c>
      <c r="Q35">
        <f t="shared" si="4"/>
        <v>52</v>
      </c>
      <c r="R35">
        <f t="shared" si="5"/>
        <v>89.8</v>
      </c>
      <c r="S35">
        <f t="shared" si="6"/>
        <v>100</v>
      </c>
      <c r="U35">
        <v>32</v>
      </c>
      <c r="V35">
        <f>Aware1!$D34</f>
        <v>7</v>
      </c>
      <c r="W35">
        <f>Aware2!$D34</f>
        <v>12</v>
      </c>
      <c r="X35">
        <f>Aware3!$D34</f>
        <v>8</v>
      </c>
      <c r="Y35">
        <f>Aware4!$D34</f>
        <v>8</v>
      </c>
      <c r="Z35" s="2">
        <f>Aware5!$D34</f>
        <v>0</v>
      </c>
      <c r="AA35">
        <f t="shared" si="7"/>
        <v>0</v>
      </c>
      <c r="AB35">
        <f t="shared" si="8"/>
        <v>7</v>
      </c>
      <c r="AC35">
        <f t="shared" si="9"/>
        <v>12</v>
      </c>
      <c r="AE35">
        <v>32</v>
      </c>
      <c r="AF35">
        <f t="shared" si="19"/>
        <v>93.5</v>
      </c>
      <c r="AG35">
        <f t="shared" si="19"/>
        <v>80.5</v>
      </c>
      <c r="AH35">
        <f t="shared" si="19"/>
        <v>41.5</v>
      </c>
      <c r="AI35">
        <f t="shared" si="19"/>
        <v>63.333333333333336</v>
      </c>
      <c r="AJ35" s="2">
        <f t="shared" si="19"/>
        <v>100</v>
      </c>
      <c r="AK35">
        <f t="shared" si="11"/>
        <v>41.5</v>
      </c>
      <c r="AL35">
        <f t="shared" si="12"/>
        <v>75.766666666666666</v>
      </c>
      <c r="AM35">
        <f t="shared" si="13"/>
        <v>100</v>
      </c>
    </row>
    <row r="36" spans="1:39" x14ac:dyDescent="0.25">
      <c r="A36">
        <v>33</v>
      </c>
      <c r="B36">
        <f>Aware1!H35</f>
        <v>0</v>
      </c>
      <c r="C36">
        <f>Aware2!H35</f>
        <v>0</v>
      </c>
      <c r="D36">
        <f>Aware3!H35</f>
        <v>0</v>
      </c>
      <c r="E36">
        <f>Aware4!H35</f>
        <v>3</v>
      </c>
      <c r="F36" s="2">
        <f>Aware5!H35</f>
        <v>0</v>
      </c>
      <c r="G36">
        <f t="shared" si="1"/>
        <v>0</v>
      </c>
      <c r="H36">
        <f t="shared" si="2"/>
        <v>0.6</v>
      </c>
      <c r="I36">
        <f t="shared" si="3"/>
        <v>3</v>
      </c>
      <c r="K36">
        <v>33</v>
      </c>
      <c r="L36">
        <f>Aware1!$G35</f>
        <v>57</v>
      </c>
      <c r="M36">
        <f>Aware2!$G35</f>
        <v>29</v>
      </c>
      <c r="N36">
        <f>Aware3!$G35</f>
        <v>48</v>
      </c>
      <c r="O36">
        <f>Aware4!$G35</f>
        <v>100</v>
      </c>
      <c r="P36" s="2">
        <f>100</f>
        <v>100</v>
      </c>
      <c r="Q36">
        <f t="shared" si="4"/>
        <v>29</v>
      </c>
      <c r="R36">
        <f t="shared" si="5"/>
        <v>66.8</v>
      </c>
      <c r="S36">
        <f t="shared" si="6"/>
        <v>100</v>
      </c>
      <c r="U36">
        <v>33</v>
      </c>
      <c r="V36">
        <f>Aware1!$D35</f>
        <v>6</v>
      </c>
      <c r="W36">
        <f>Aware2!$D35</f>
        <v>12</v>
      </c>
      <c r="X36">
        <f>Aware3!$D35</f>
        <v>3</v>
      </c>
      <c r="Y36">
        <f>Aware4!$D35</f>
        <v>10</v>
      </c>
      <c r="Z36" s="2">
        <f>Aware5!$D35</f>
        <v>0</v>
      </c>
      <c r="AA36">
        <f t="shared" si="7"/>
        <v>0</v>
      </c>
      <c r="AB36">
        <f t="shared" si="8"/>
        <v>6.2</v>
      </c>
      <c r="AC36">
        <f t="shared" si="9"/>
        <v>12</v>
      </c>
      <c r="AE36">
        <v>33</v>
      </c>
      <c r="AF36">
        <f t="shared" si="19"/>
        <v>86.333333333333329</v>
      </c>
      <c r="AG36">
        <f t="shared" si="19"/>
        <v>75.5</v>
      </c>
      <c r="AH36">
        <f t="shared" si="19"/>
        <v>33.5</v>
      </c>
      <c r="AI36">
        <f t="shared" si="19"/>
        <v>70.333333333333329</v>
      </c>
      <c r="AJ36" s="2">
        <f t="shared" si="19"/>
        <v>100</v>
      </c>
      <c r="AK36">
        <f t="shared" si="11"/>
        <v>33.5</v>
      </c>
      <c r="AL36">
        <f t="shared" si="12"/>
        <v>73.133333333333326</v>
      </c>
      <c r="AM36">
        <f t="shared" si="13"/>
        <v>100</v>
      </c>
    </row>
    <row r="37" spans="1:39" x14ac:dyDescent="0.25">
      <c r="A37">
        <v>34</v>
      </c>
      <c r="B37">
        <f>Aware1!H36</f>
        <v>0</v>
      </c>
      <c r="C37">
        <f>Aware2!H36</f>
        <v>0</v>
      </c>
      <c r="D37">
        <f>Aware3!H36</f>
        <v>0</v>
      </c>
      <c r="E37">
        <f>Aware4!H36</f>
        <v>0</v>
      </c>
      <c r="F37" s="2">
        <f>Aware5!H36</f>
        <v>0</v>
      </c>
      <c r="G37">
        <f t="shared" si="1"/>
        <v>0</v>
      </c>
      <c r="H37">
        <f t="shared" si="2"/>
        <v>0</v>
      </c>
      <c r="I37">
        <f t="shared" si="3"/>
        <v>0</v>
      </c>
      <c r="K37">
        <v>34</v>
      </c>
      <c r="L37">
        <f>Aware1!$G36</f>
        <v>55</v>
      </c>
      <c r="M37">
        <f>Aware2!$G36</f>
        <v>34</v>
      </c>
      <c r="N37">
        <f>Aware3!$G36</f>
        <v>98</v>
      </c>
      <c r="O37">
        <f>Aware4!$G36</f>
        <v>31</v>
      </c>
      <c r="P37" s="2">
        <f>100</f>
        <v>100</v>
      </c>
      <c r="Q37">
        <f t="shared" si="4"/>
        <v>31</v>
      </c>
      <c r="R37">
        <f t="shared" si="5"/>
        <v>63.6</v>
      </c>
      <c r="S37">
        <f t="shared" si="6"/>
        <v>100</v>
      </c>
      <c r="U37">
        <v>34</v>
      </c>
      <c r="V37">
        <f>Aware1!$D36</f>
        <v>6</v>
      </c>
      <c r="W37">
        <f>Aware2!$D36</f>
        <v>12</v>
      </c>
      <c r="X37">
        <f>Aware3!$D36</f>
        <v>2</v>
      </c>
      <c r="Y37">
        <f>Aware4!$D36</f>
        <v>10</v>
      </c>
      <c r="Z37" s="2">
        <f>Aware5!$D36</f>
        <v>0</v>
      </c>
      <c r="AA37">
        <f t="shared" si="7"/>
        <v>0</v>
      </c>
      <c r="AB37">
        <f t="shared" si="8"/>
        <v>6</v>
      </c>
      <c r="AC37">
        <f t="shared" si="9"/>
        <v>12</v>
      </c>
      <c r="AE37">
        <v>34</v>
      </c>
      <c r="AF37">
        <f t="shared" si="19"/>
        <v>78.833333333333329</v>
      </c>
      <c r="AG37">
        <f t="shared" si="19"/>
        <v>76.5</v>
      </c>
      <c r="AH37">
        <f t="shared" si="19"/>
        <v>45</v>
      </c>
      <c r="AI37">
        <f t="shared" si="19"/>
        <v>70.166666666666671</v>
      </c>
      <c r="AJ37" s="2">
        <f t="shared" si="19"/>
        <v>100</v>
      </c>
      <c r="AK37">
        <f t="shared" si="11"/>
        <v>45</v>
      </c>
      <c r="AL37">
        <f t="shared" si="12"/>
        <v>74.099999999999994</v>
      </c>
      <c r="AM37">
        <f t="shared" si="13"/>
        <v>100</v>
      </c>
    </row>
    <row r="38" spans="1:39" x14ac:dyDescent="0.25">
      <c r="A38">
        <v>35</v>
      </c>
      <c r="B38">
        <f>Aware1!H37</f>
        <v>0</v>
      </c>
      <c r="C38">
        <f>Aware2!H37</f>
        <v>0</v>
      </c>
      <c r="D38">
        <f>Aware3!H37</f>
        <v>0</v>
      </c>
      <c r="E38">
        <f>Aware4!H37</f>
        <v>0</v>
      </c>
      <c r="F38" s="2">
        <f>Aware5!H37</f>
        <v>0</v>
      </c>
      <c r="G38">
        <f t="shared" si="1"/>
        <v>0</v>
      </c>
      <c r="H38">
        <f t="shared" si="2"/>
        <v>0</v>
      </c>
      <c r="I38">
        <f t="shared" si="3"/>
        <v>0</v>
      </c>
      <c r="K38">
        <v>35</v>
      </c>
      <c r="L38">
        <f>Aware1!$G37</f>
        <v>32</v>
      </c>
      <c r="M38">
        <f>Aware2!$G37</f>
        <v>31</v>
      </c>
      <c r="N38">
        <f>Aware3!$G37</f>
        <v>99</v>
      </c>
      <c r="O38">
        <f>Aware4!$G37</f>
        <v>56</v>
      </c>
      <c r="P38" s="2">
        <f>100</f>
        <v>100</v>
      </c>
      <c r="Q38">
        <f t="shared" si="4"/>
        <v>31</v>
      </c>
      <c r="R38">
        <f t="shared" si="5"/>
        <v>63.6</v>
      </c>
      <c r="S38">
        <f t="shared" si="6"/>
        <v>100</v>
      </c>
      <c r="U38">
        <v>35</v>
      </c>
      <c r="V38">
        <f>Aware1!$D37</f>
        <v>5</v>
      </c>
      <c r="W38">
        <f>Aware2!$D37</f>
        <v>10</v>
      </c>
      <c r="X38">
        <f>Aware3!$D37</f>
        <v>1</v>
      </c>
      <c r="Y38">
        <f>Aware4!$D37</f>
        <v>10</v>
      </c>
      <c r="Z38" s="2">
        <f>Aware5!$D37</f>
        <v>0</v>
      </c>
      <c r="AA38">
        <f t="shared" si="7"/>
        <v>0</v>
      </c>
      <c r="AB38">
        <f t="shared" si="8"/>
        <v>5.2</v>
      </c>
      <c r="AC38">
        <f t="shared" si="9"/>
        <v>10</v>
      </c>
      <c r="AE38">
        <v>35</v>
      </c>
      <c r="AF38">
        <f t="shared" si="19"/>
        <v>67.5</v>
      </c>
      <c r="AG38">
        <f t="shared" si="19"/>
        <v>65.333333333333329</v>
      </c>
      <c r="AH38">
        <f t="shared" si="19"/>
        <v>57.5</v>
      </c>
      <c r="AI38">
        <f t="shared" si="19"/>
        <v>74</v>
      </c>
      <c r="AJ38" s="2">
        <f t="shared" si="19"/>
        <v>100</v>
      </c>
      <c r="AK38">
        <f t="shared" si="11"/>
        <v>57.5</v>
      </c>
      <c r="AL38">
        <f t="shared" si="12"/>
        <v>72.86666666666666</v>
      </c>
      <c r="AM38">
        <f t="shared" si="13"/>
        <v>100</v>
      </c>
    </row>
    <row r="39" spans="1:39" x14ac:dyDescent="0.25">
      <c r="A39">
        <v>36</v>
      </c>
      <c r="B39">
        <f>Aware1!H38</f>
        <v>0</v>
      </c>
      <c r="C39">
        <f>Aware2!H38</f>
        <v>0</v>
      </c>
      <c r="D39">
        <f>Aware3!H38</f>
        <v>0</v>
      </c>
      <c r="E39">
        <f>Aware4!H38</f>
        <v>0</v>
      </c>
      <c r="F39" s="2">
        <f>Aware5!H38</f>
        <v>0</v>
      </c>
      <c r="G39">
        <f t="shared" si="1"/>
        <v>0</v>
      </c>
      <c r="H39">
        <f t="shared" si="2"/>
        <v>0</v>
      </c>
      <c r="I39">
        <f t="shared" si="3"/>
        <v>0</v>
      </c>
      <c r="K39">
        <v>36</v>
      </c>
      <c r="L39">
        <f>Aware1!$G38</f>
        <v>58</v>
      </c>
      <c r="M39">
        <f>Aware2!$G38</f>
        <v>32</v>
      </c>
      <c r="N39">
        <f>Aware3!$G38</f>
        <v>49</v>
      </c>
      <c r="O39">
        <f>Aware4!$G38</f>
        <v>25</v>
      </c>
      <c r="P39" s="2">
        <f>100</f>
        <v>100</v>
      </c>
      <c r="Q39">
        <f t="shared" si="4"/>
        <v>25</v>
      </c>
      <c r="R39">
        <f t="shared" si="5"/>
        <v>52.8</v>
      </c>
      <c r="S39">
        <f t="shared" si="6"/>
        <v>100</v>
      </c>
      <c r="U39">
        <v>36</v>
      </c>
      <c r="V39">
        <f>Aware1!$D38</f>
        <v>4</v>
      </c>
      <c r="W39">
        <f>Aware2!$D38</f>
        <v>7</v>
      </c>
      <c r="X39">
        <f>Aware3!$D38</f>
        <v>1</v>
      </c>
      <c r="Y39">
        <f>Aware4!$D38</f>
        <v>8</v>
      </c>
      <c r="Z39" s="2">
        <f>Aware5!$D38</f>
        <v>0</v>
      </c>
      <c r="AA39">
        <f t="shared" si="7"/>
        <v>0</v>
      </c>
      <c r="AB39">
        <f t="shared" si="8"/>
        <v>4</v>
      </c>
      <c r="AC39">
        <f t="shared" si="9"/>
        <v>8</v>
      </c>
      <c r="AE39">
        <v>36</v>
      </c>
      <c r="AF39">
        <f t="shared" si="19"/>
        <v>60.5</v>
      </c>
      <c r="AG39">
        <f t="shared" si="19"/>
        <v>54</v>
      </c>
      <c r="AH39">
        <f t="shared" si="19"/>
        <v>61</v>
      </c>
      <c r="AI39">
        <f t="shared" si="19"/>
        <v>62</v>
      </c>
      <c r="AJ39" s="2">
        <f t="shared" si="19"/>
        <v>100</v>
      </c>
      <c r="AK39">
        <f t="shared" si="11"/>
        <v>54</v>
      </c>
      <c r="AL39">
        <f t="shared" si="12"/>
        <v>67.5</v>
      </c>
      <c r="AM39">
        <f t="shared" si="13"/>
        <v>100</v>
      </c>
    </row>
    <row r="40" spans="1:39" x14ac:dyDescent="0.25">
      <c r="A40">
        <v>37</v>
      </c>
      <c r="B40">
        <f>Aware1!H39</f>
        <v>2</v>
      </c>
      <c r="C40">
        <f>Aware2!H39</f>
        <v>1</v>
      </c>
      <c r="D40">
        <f>Aware3!H39</f>
        <v>0</v>
      </c>
      <c r="E40">
        <f>Aware4!H39</f>
        <v>0</v>
      </c>
      <c r="F40" s="2">
        <f>Aware5!H39</f>
        <v>0</v>
      </c>
      <c r="G40">
        <f t="shared" si="1"/>
        <v>0</v>
      </c>
      <c r="H40">
        <f t="shared" si="2"/>
        <v>0.6</v>
      </c>
      <c r="I40">
        <f t="shared" si="3"/>
        <v>2</v>
      </c>
      <c r="K40">
        <v>37</v>
      </c>
      <c r="L40">
        <f>Aware1!$G39</f>
        <v>98</v>
      </c>
      <c r="M40">
        <f>Aware2!$G39</f>
        <v>95</v>
      </c>
      <c r="N40">
        <f>Aware3!$G39</f>
        <v>99</v>
      </c>
      <c r="O40">
        <f>Aware4!$G39</f>
        <v>29</v>
      </c>
      <c r="P40" s="2">
        <f>100</f>
        <v>100</v>
      </c>
      <c r="Q40">
        <f t="shared" si="4"/>
        <v>29</v>
      </c>
      <c r="R40">
        <f t="shared" si="5"/>
        <v>84.2</v>
      </c>
      <c r="S40">
        <f t="shared" si="6"/>
        <v>100</v>
      </c>
      <c r="U40">
        <v>37</v>
      </c>
      <c r="V40">
        <f>Aware1!$D39</f>
        <v>3</v>
      </c>
      <c r="W40">
        <f>Aware2!$D39</f>
        <v>5</v>
      </c>
      <c r="X40">
        <f>Aware3!$D39</f>
        <v>1</v>
      </c>
      <c r="Y40">
        <f>Aware4!$D39</f>
        <v>7</v>
      </c>
      <c r="Z40" s="2">
        <f>Aware5!$D39</f>
        <v>0</v>
      </c>
      <c r="AA40">
        <f t="shared" si="7"/>
        <v>0</v>
      </c>
      <c r="AB40">
        <f t="shared" si="8"/>
        <v>3.2</v>
      </c>
      <c r="AC40">
        <f t="shared" si="9"/>
        <v>7</v>
      </c>
      <c r="AE40">
        <v>37</v>
      </c>
      <c r="AF40">
        <f t="shared" si="19"/>
        <v>66.5</v>
      </c>
      <c r="AG40">
        <f t="shared" si="19"/>
        <v>53.166666666666664</v>
      </c>
      <c r="AH40">
        <f t="shared" si="19"/>
        <v>74.166666666666671</v>
      </c>
      <c r="AI40">
        <f t="shared" si="19"/>
        <v>56.833333333333336</v>
      </c>
      <c r="AJ40" s="2">
        <f t="shared" si="19"/>
        <v>100</v>
      </c>
      <c r="AK40">
        <f t="shared" si="11"/>
        <v>53.166666666666664</v>
      </c>
      <c r="AL40">
        <f t="shared" si="12"/>
        <v>70.133333333333326</v>
      </c>
      <c r="AM40">
        <f t="shared" si="13"/>
        <v>100</v>
      </c>
    </row>
    <row r="41" spans="1:39" x14ac:dyDescent="0.25">
      <c r="A41">
        <v>38</v>
      </c>
      <c r="B41">
        <f>Aware1!H40</f>
        <v>1</v>
      </c>
      <c r="C41">
        <f>Aware2!H40</f>
        <v>1</v>
      </c>
      <c r="D41">
        <f>Aware3!H40</f>
        <v>1</v>
      </c>
      <c r="E41">
        <f>Aware4!H40</f>
        <v>3</v>
      </c>
      <c r="F41" s="2">
        <f>Aware5!H40</f>
        <v>0</v>
      </c>
      <c r="G41">
        <f t="shared" si="1"/>
        <v>0</v>
      </c>
      <c r="H41">
        <f t="shared" si="2"/>
        <v>1.2</v>
      </c>
      <c r="I41">
        <f t="shared" si="3"/>
        <v>3</v>
      </c>
      <c r="K41">
        <v>38</v>
      </c>
      <c r="L41">
        <f>Aware1!$G40</f>
        <v>100</v>
      </c>
      <c r="M41">
        <f>Aware2!$G40</f>
        <v>98</v>
      </c>
      <c r="N41">
        <f>Aware3!$G40</f>
        <v>100</v>
      </c>
      <c r="O41">
        <f>Aware4!$G40</f>
        <v>97</v>
      </c>
      <c r="P41" s="2">
        <f>100</f>
        <v>100</v>
      </c>
      <c r="Q41">
        <f t="shared" si="4"/>
        <v>97</v>
      </c>
      <c r="R41">
        <f t="shared" si="5"/>
        <v>99</v>
      </c>
      <c r="S41">
        <f t="shared" si="6"/>
        <v>100</v>
      </c>
      <c r="U41">
        <v>38</v>
      </c>
      <c r="V41">
        <f>Aware1!$D40</f>
        <v>3</v>
      </c>
      <c r="W41">
        <f>Aware2!$D40</f>
        <v>2</v>
      </c>
      <c r="X41">
        <f>Aware3!$D40</f>
        <v>1</v>
      </c>
      <c r="Y41">
        <f>Aware4!$D40</f>
        <v>6</v>
      </c>
      <c r="Z41" s="2">
        <f>Aware5!$D40</f>
        <v>0</v>
      </c>
      <c r="AA41">
        <f t="shared" si="7"/>
        <v>0</v>
      </c>
      <c r="AB41">
        <f t="shared" si="8"/>
        <v>2.4</v>
      </c>
      <c r="AC41">
        <f t="shared" si="9"/>
        <v>6</v>
      </c>
      <c r="AE41">
        <v>38</v>
      </c>
      <c r="AF41">
        <f t="shared" si="19"/>
        <v>66.666666666666671</v>
      </c>
      <c r="AG41">
        <f t="shared" si="19"/>
        <v>53.166666666666664</v>
      </c>
      <c r="AH41">
        <f t="shared" si="19"/>
        <v>82.166666666666671</v>
      </c>
      <c r="AI41">
        <f t="shared" si="19"/>
        <v>56.333333333333336</v>
      </c>
      <c r="AJ41" s="2">
        <f t="shared" si="19"/>
        <v>100</v>
      </c>
      <c r="AK41">
        <f t="shared" si="11"/>
        <v>53.166666666666664</v>
      </c>
      <c r="AL41">
        <f t="shared" si="12"/>
        <v>71.666666666666657</v>
      </c>
      <c r="AM41">
        <f t="shared" si="13"/>
        <v>100</v>
      </c>
    </row>
    <row r="42" spans="1:39" x14ac:dyDescent="0.25">
      <c r="A42">
        <v>39</v>
      </c>
      <c r="B42">
        <f>Aware1!H41</f>
        <v>2</v>
      </c>
      <c r="C42">
        <f>Aware2!H41</f>
        <v>0</v>
      </c>
      <c r="D42">
        <f>Aware3!H41</f>
        <v>0</v>
      </c>
      <c r="E42">
        <f>Aware4!H41</f>
        <v>5</v>
      </c>
      <c r="F42" s="2">
        <f>Aware5!H41</f>
        <v>0</v>
      </c>
      <c r="G42">
        <f t="shared" si="1"/>
        <v>0</v>
      </c>
      <c r="H42">
        <f t="shared" si="2"/>
        <v>1.4</v>
      </c>
      <c r="I42">
        <f t="shared" si="3"/>
        <v>5</v>
      </c>
      <c r="K42">
        <v>39</v>
      </c>
      <c r="L42">
        <f>Aware1!$G41</f>
        <v>100</v>
      </c>
      <c r="M42">
        <f>Aware2!$G41</f>
        <v>100</v>
      </c>
      <c r="N42">
        <f>Aware3!$G41</f>
        <v>100</v>
      </c>
      <c r="O42">
        <f>Aware4!$G41</f>
        <v>100</v>
      </c>
      <c r="P42" s="2">
        <f>100</f>
        <v>100</v>
      </c>
      <c r="Q42">
        <f t="shared" si="4"/>
        <v>100</v>
      </c>
      <c r="R42">
        <f t="shared" si="5"/>
        <v>100</v>
      </c>
      <c r="S42">
        <f t="shared" si="6"/>
        <v>100</v>
      </c>
      <c r="U42">
        <v>39</v>
      </c>
      <c r="V42">
        <f>Aware1!$D41</f>
        <v>5</v>
      </c>
      <c r="W42">
        <f>Aware2!$D41</f>
        <v>2</v>
      </c>
      <c r="X42">
        <f>Aware3!$D41</f>
        <v>1</v>
      </c>
      <c r="Y42">
        <f>Aware4!$D41</f>
        <v>8</v>
      </c>
      <c r="Z42" s="2">
        <f>Aware5!$D41</f>
        <v>0</v>
      </c>
      <c r="AA42">
        <f t="shared" si="7"/>
        <v>0</v>
      </c>
      <c r="AB42">
        <f t="shared" si="8"/>
        <v>3.2</v>
      </c>
      <c r="AC42">
        <f t="shared" si="9"/>
        <v>8</v>
      </c>
      <c r="AE42">
        <v>39</v>
      </c>
      <c r="AF42">
        <f t="shared" ref="AF42:AJ52" si="20">AVERAGE(L37:L42)</f>
        <v>73.833333333333329</v>
      </c>
      <c r="AG42">
        <f t="shared" si="20"/>
        <v>65</v>
      </c>
      <c r="AH42">
        <f t="shared" si="20"/>
        <v>90.833333333333329</v>
      </c>
      <c r="AI42">
        <f t="shared" si="20"/>
        <v>56.333333333333336</v>
      </c>
      <c r="AJ42" s="2">
        <f t="shared" si="20"/>
        <v>100</v>
      </c>
      <c r="AK42">
        <f t="shared" si="11"/>
        <v>56.333333333333336</v>
      </c>
      <c r="AL42">
        <f t="shared" si="12"/>
        <v>77.199999999999989</v>
      </c>
      <c r="AM42">
        <f t="shared" si="13"/>
        <v>100</v>
      </c>
    </row>
    <row r="43" spans="1:39" x14ac:dyDescent="0.25">
      <c r="A43">
        <v>40</v>
      </c>
      <c r="B43">
        <f>Aware1!H42</f>
        <v>1</v>
      </c>
      <c r="C43">
        <f>Aware2!H42</f>
        <v>1</v>
      </c>
      <c r="D43">
        <f>Aware3!H42</f>
        <v>0</v>
      </c>
      <c r="E43">
        <f>Aware4!H42</f>
        <v>4</v>
      </c>
      <c r="F43" s="2">
        <f>Aware5!H42</f>
        <v>0</v>
      </c>
      <c r="G43">
        <f t="shared" si="1"/>
        <v>0</v>
      </c>
      <c r="H43">
        <f t="shared" si="2"/>
        <v>1.2</v>
      </c>
      <c r="I43">
        <f t="shared" si="3"/>
        <v>4</v>
      </c>
      <c r="K43">
        <v>40</v>
      </c>
      <c r="L43">
        <f>Aware1!$G42</f>
        <v>99</v>
      </c>
      <c r="M43">
        <f>Aware2!$G42</f>
        <v>100</v>
      </c>
      <c r="N43">
        <f>Aware3!$G42</f>
        <v>100</v>
      </c>
      <c r="O43">
        <f>Aware4!$G42</f>
        <v>100</v>
      </c>
      <c r="P43" s="2">
        <f>100</f>
        <v>100</v>
      </c>
      <c r="Q43">
        <f t="shared" si="4"/>
        <v>99</v>
      </c>
      <c r="R43">
        <f t="shared" si="5"/>
        <v>99.8</v>
      </c>
      <c r="S43">
        <f t="shared" si="6"/>
        <v>100</v>
      </c>
      <c r="U43">
        <v>40</v>
      </c>
      <c r="V43">
        <f>Aware1!$D42</f>
        <v>6</v>
      </c>
      <c r="W43">
        <f>Aware2!$D42</f>
        <v>3</v>
      </c>
      <c r="X43">
        <f>Aware3!$D42</f>
        <v>1</v>
      </c>
      <c r="Y43">
        <f>Aware4!$D42</f>
        <v>12</v>
      </c>
      <c r="Z43" s="2">
        <f>Aware5!$D42</f>
        <v>0</v>
      </c>
      <c r="AA43">
        <f t="shared" si="7"/>
        <v>0</v>
      </c>
      <c r="AB43">
        <f t="shared" si="8"/>
        <v>4.4000000000000004</v>
      </c>
      <c r="AC43">
        <f t="shared" si="9"/>
        <v>12</v>
      </c>
      <c r="AE43">
        <v>40</v>
      </c>
      <c r="AF43">
        <f t="shared" si="20"/>
        <v>81.166666666666671</v>
      </c>
      <c r="AG43">
        <f t="shared" si="20"/>
        <v>76</v>
      </c>
      <c r="AH43">
        <f t="shared" si="20"/>
        <v>91.166666666666671</v>
      </c>
      <c r="AI43">
        <f t="shared" si="20"/>
        <v>67.833333333333329</v>
      </c>
      <c r="AJ43" s="2">
        <f t="shared" si="20"/>
        <v>100</v>
      </c>
      <c r="AK43">
        <f t="shared" si="11"/>
        <v>67.833333333333329</v>
      </c>
      <c r="AL43">
        <f t="shared" si="12"/>
        <v>83.233333333333334</v>
      </c>
      <c r="AM43">
        <f t="shared" si="13"/>
        <v>100</v>
      </c>
    </row>
    <row r="44" spans="1:39" x14ac:dyDescent="0.25">
      <c r="A44">
        <v>41</v>
      </c>
      <c r="B44">
        <f>Aware1!H43</f>
        <v>2</v>
      </c>
      <c r="C44">
        <f>Aware2!H43</f>
        <v>0</v>
      </c>
      <c r="D44">
        <f>Aware3!H43</f>
        <v>1</v>
      </c>
      <c r="E44">
        <f>Aware4!H43</f>
        <v>3</v>
      </c>
      <c r="F44" s="2">
        <f>Aware5!H43</f>
        <v>0</v>
      </c>
      <c r="G44">
        <f t="shared" si="1"/>
        <v>0</v>
      </c>
      <c r="H44">
        <f t="shared" si="2"/>
        <v>1.2</v>
      </c>
      <c r="I44">
        <f t="shared" si="3"/>
        <v>3</v>
      </c>
      <c r="K44">
        <v>41</v>
      </c>
      <c r="L44">
        <f>Aware1!$G43</f>
        <v>36</v>
      </c>
      <c r="M44">
        <f>Aware2!$G43</f>
        <v>62</v>
      </c>
      <c r="N44">
        <f>Aware3!$G43</f>
        <v>100</v>
      </c>
      <c r="O44">
        <f>Aware4!$G43</f>
        <v>98</v>
      </c>
      <c r="P44" s="2">
        <f>100</f>
        <v>100</v>
      </c>
      <c r="Q44">
        <f t="shared" si="4"/>
        <v>36</v>
      </c>
      <c r="R44">
        <f t="shared" si="5"/>
        <v>79.2</v>
      </c>
      <c r="S44">
        <f t="shared" si="6"/>
        <v>100</v>
      </c>
      <c r="U44">
        <v>41</v>
      </c>
      <c r="V44">
        <f>Aware1!$D43</f>
        <v>8</v>
      </c>
      <c r="W44">
        <f>Aware2!$D43</f>
        <v>3</v>
      </c>
      <c r="X44">
        <f>Aware3!$D43</f>
        <v>2</v>
      </c>
      <c r="Y44">
        <f>Aware4!$D43</f>
        <v>15</v>
      </c>
      <c r="Z44" s="2">
        <f>Aware5!$D43</f>
        <v>0</v>
      </c>
      <c r="AA44">
        <f t="shared" si="7"/>
        <v>0</v>
      </c>
      <c r="AB44">
        <f t="shared" si="8"/>
        <v>5.6</v>
      </c>
      <c r="AC44">
        <f t="shared" si="9"/>
        <v>15</v>
      </c>
      <c r="AE44">
        <v>41</v>
      </c>
      <c r="AF44">
        <f t="shared" si="20"/>
        <v>81.833333333333329</v>
      </c>
      <c r="AG44">
        <f t="shared" si="20"/>
        <v>81.166666666666671</v>
      </c>
      <c r="AH44">
        <f t="shared" si="20"/>
        <v>91.333333333333329</v>
      </c>
      <c r="AI44">
        <f t="shared" si="20"/>
        <v>74.833333333333329</v>
      </c>
      <c r="AJ44" s="2">
        <f t="shared" si="20"/>
        <v>100</v>
      </c>
      <c r="AK44">
        <f t="shared" si="11"/>
        <v>74.833333333333329</v>
      </c>
      <c r="AL44">
        <f t="shared" si="12"/>
        <v>85.833333333333329</v>
      </c>
      <c r="AM44">
        <f t="shared" si="13"/>
        <v>100</v>
      </c>
    </row>
    <row r="45" spans="1:39" x14ac:dyDescent="0.25">
      <c r="A45">
        <v>42</v>
      </c>
      <c r="B45">
        <f>Aware1!H44</f>
        <v>1</v>
      </c>
      <c r="C45">
        <f>Aware2!H44</f>
        <v>0</v>
      </c>
      <c r="D45">
        <f>Aware3!H44</f>
        <v>0</v>
      </c>
      <c r="E45">
        <f>Aware4!H44</f>
        <v>0</v>
      </c>
      <c r="F45" s="2">
        <f>Aware5!H44</f>
        <v>0</v>
      </c>
      <c r="G45">
        <f t="shared" si="1"/>
        <v>0</v>
      </c>
      <c r="H45">
        <f t="shared" si="2"/>
        <v>0.2</v>
      </c>
      <c r="I45">
        <f t="shared" si="3"/>
        <v>1</v>
      </c>
      <c r="K45">
        <v>42</v>
      </c>
      <c r="L45">
        <f>Aware1!$G44</f>
        <v>59</v>
      </c>
      <c r="M45">
        <f>Aware2!$G44</f>
        <v>60</v>
      </c>
      <c r="N45">
        <f>Aware3!$G44</f>
        <v>49</v>
      </c>
      <c r="O45">
        <f>Aware4!$G44</f>
        <v>32</v>
      </c>
      <c r="P45" s="2">
        <f>100</f>
        <v>100</v>
      </c>
      <c r="Q45">
        <f t="shared" si="4"/>
        <v>32</v>
      </c>
      <c r="R45">
        <f t="shared" si="5"/>
        <v>60</v>
      </c>
      <c r="S45">
        <f t="shared" si="6"/>
        <v>100</v>
      </c>
      <c r="U45">
        <v>42</v>
      </c>
      <c r="V45">
        <f>Aware1!$D44</f>
        <v>9</v>
      </c>
      <c r="W45">
        <f>Aware2!$D44</f>
        <v>3</v>
      </c>
      <c r="X45">
        <f>Aware3!$D44</f>
        <v>2</v>
      </c>
      <c r="Y45">
        <f>Aware4!$D44</f>
        <v>15</v>
      </c>
      <c r="Z45" s="2">
        <f>Aware5!$D44</f>
        <v>0</v>
      </c>
      <c r="AA45">
        <f t="shared" si="7"/>
        <v>0</v>
      </c>
      <c r="AB45">
        <f t="shared" si="8"/>
        <v>5.8</v>
      </c>
      <c r="AC45">
        <f t="shared" si="9"/>
        <v>15</v>
      </c>
      <c r="AE45">
        <v>42</v>
      </c>
      <c r="AF45">
        <f t="shared" si="20"/>
        <v>82</v>
      </c>
      <c r="AG45">
        <f t="shared" si="20"/>
        <v>85.833333333333329</v>
      </c>
      <c r="AH45">
        <f t="shared" si="20"/>
        <v>91.333333333333329</v>
      </c>
      <c r="AI45">
        <f t="shared" si="20"/>
        <v>76</v>
      </c>
      <c r="AJ45" s="2">
        <f t="shared" si="20"/>
        <v>100</v>
      </c>
      <c r="AK45">
        <f t="shared" si="11"/>
        <v>76</v>
      </c>
      <c r="AL45">
        <f t="shared" si="12"/>
        <v>87.033333333333331</v>
      </c>
      <c r="AM45">
        <f t="shared" si="13"/>
        <v>100</v>
      </c>
    </row>
    <row r="46" spans="1:39" x14ac:dyDescent="0.25">
      <c r="A46">
        <v>43</v>
      </c>
      <c r="B46">
        <f>Aware1!H45</f>
        <v>0</v>
      </c>
      <c r="C46">
        <f>Aware2!H45</f>
        <v>0</v>
      </c>
      <c r="D46">
        <f>Aware3!H45</f>
        <v>0</v>
      </c>
      <c r="E46">
        <f>Aware4!H45</f>
        <v>0</v>
      </c>
      <c r="F46" s="2">
        <f>Aware5!H45</f>
        <v>0</v>
      </c>
      <c r="G46">
        <f t="shared" si="1"/>
        <v>0</v>
      </c>
      <c r="H46">
        <f t="shared" si="2"/>
        <v>0</v>
      </c>
      <c r="I46">
        <f t="shared" si="3"/>
        <v>0</v>
      </c>
      <c r="K46">
        <v>43</v>
      </c>
      <c r="L46">
        <f>Aware1!$G45</f>
        <v>35</v>
      </c>
      <c r="M46">
        <f>Aware2!$G45</f>
        <v>100</v>
      </c>
      <c r="N46">
        <f>Aware3!$G45</f>
        <v>100</v>
      </c>
      <c r="O46">
        <f>Aware4!$G45</f>
        <v>31</v>
      </c>
      <c r="P46" s="2">
        <f>100</f>
        <v>100</v>
      </c>
      <c r="Q46">
        <f t="shared" si="4"/>
        <v>31</v>
      </c>
      <c r="R46">
        <f t="shared" si="5"/>
        <v>73.2</v>
      </c>
      <c r="S46">
        <f t="shared" si="6"/>
        <v>100</v>
      </c>
      <c r="U46">
        <v>43</v>
      </c>
      <c r="V46">
        <f>Aware1!$D45</f>
        <v>7</v>
      </c>
      <c r="W46">
        <f>Aware2!$D45</f>
        <v>2</v>
      </c>
      <c r="X46">
        <f>Aware3!$D45</f>
        <v>2</v>
      </c>
      <c r="Y46">
        <f>Aware4!$D45</f>
        <v>15</v>
      </c>
      <c r="Z46" s="2">
        <f>Aware5!$D45</f>
        <v>0</v>
      </c>
      <c r="AA46">
        <f t="shared" si="7"/>
        <v>0</v>
      </c>
      <c r="AB46">
        <f t="shared" si="8"/>
        <v>5.2</v>
      </c>
      <c r="AC46">
        <f t="shared" si="9"/>
        <v>15</v>
      </c>
      <c r="AE46">
        <v>43</v>
      </c>
      <c r="AF46">
        <f t="shared" si="20"/>
        <v>71.5</v>
      </c>
      <c r="AG46">
        <f t="shared" si="20"/>
        <v>86.666666666666671</v>
      </c>
      <c r="AH46">
        <f t="shared" si="20"/>
        <v>91.5</v>
      </c>
      <c r="AI46">
        <f t="shared" si="20"/>
        <v>76.333333333333329</v>
      </c>
      <c r="AJ46" s="2">
        <f t="shared" si="20"/>
        <v>100</v>
      </c>
      <c r="AK46">
        <f t="shared" si="11"/>
        <v>71.5</v>
      </c>
      <c r="AL46">
        <f t="shared" si="12"/>
        <v>85.2</v>
      </c>
      <c r="AM46">
        <f t="shared" si="13"/>
        <v>100</v>
      </c>
    </row>
    <row r="47" spans="1:39" x14ac:dyDescent="0.25">
      <c r="A47">
        <v>44</v>
      </c>
      <c r="B47">
        <f>Aware1!H46</f>
        <v>1</v>
      </c>
      <c r="C47">
        <f>Aware2!H46</f>
        <v>0</v>
      </c>
      <c r="D47">
        <f>Aware3!H46</f>
        <v>0</v>
      </c>
      <c r="E47">
        <f>Aware4!H46</f>
        <v>0</v>
      </c>
      <c r="F47" s="2">
        <f>Aware5!H46</f>
        <v>0</v>
      </c>
      <c r="G47">
        <f t="shared" si="1"/>
        <v>0</v>
      </c>
      <c r="H47">
        <f t="shared" si="2"/>
        <v>0.2</v>
      </c>
      <c r="I47">
        <f t="shared" si="3"/>
        <v>1</v>
      </c>
      <c r="K47">
        <v>44</v>
      </c>
      <c r="L47">
        <f>Aware1!$G46</f>
        <v>57</v>
      </c>
      <c r="M47">
        <f>Aware2!$G46</f>
        <v>62</v>
      </c>
      <c r="N47">
        <f>Aware3!$G46</f>
        <v>100</v>
      </c>
      <c r="O47">
        <f>Aware4!$G46</f>
        <v>26</v>
      </c>
      <c r="P47" s="2">
        <f>100</f>
        <v>100</v>
      </c>
      <c r="Q47">
        <f t="shared" si="4"/>
        <v>26</v>
      </c>
      <c r="R47">
        <f t="shared" si="5"/>
        <v>69</v>
      </c>
      <c r="S47">
        <f t="shared" si="6"/>
        <v>100</v>
      </c>
      <c r="U47">
        <v>44</v>
      </c>
      <c r="V47">
        <f>Aware1!$D46</f>
        <v>7</v>
      </c>
      <c r="W47">
        <f>Aware2!$D46</f>
        <v>1</v>
      </c>
      <c r="X47">
        <f>Aware3!$D46</f>
        <v>1</v>
      </c>
      <c r="Y47">
        <f>Aware4!$D46</f>
        <v>12</v>
      </c>
      <c r="Z47" s="2">
        <f>Aware5!$D46</f>
        <v>0</v>
      </c>
      <c r="AA47">
        <f t="shared" si="7"/>
        <v>0</v>
      </c>
      <c r="AB47">
        <f t="shared" si="8"/>
        <v>4.2</v>
      </c>
      <c r="AC47">
        <f t="shared" si="9"/>
        <v>12</v>
      </c>
      <c r="AE47">
        <v>44</v>
      </c>
      <c r="AF47">
        <f t="shared" si="20"/>
        <v>64.333333333333329</v>
      </c>
      <c r="AG47">
        <f t="shared" si="20"/>
        <v>80.666666666666671</v>
      </c>
      <c r="AH47">
        <f t="shared" si="20"/>
        <v>91.5</v>
      </c>
      <c r="AI47">
        <f t="shared" si="20"/>
        <v>64.5</v>
      </c>
      <c r="AJ47" s="2">
        <f t="shared" si="20"/>
        <v>100</v>
      </c>
      <c r="AK47">
        <f t="shared" si="11"/>
        <v>64.333333333333329</v>
      </c>
      <c r="AL47">
        <f t="shared" si="12"/>
        <v>80.2</v>
      </c>
      <c r="AM47">
        <f t="shared" si="13"/>
        <v>100</v>
      </c>
    </row>
    <row r="48" spans="1:39" x14ac:dyDescent="0.25">
      <c r="A48">
        <v>45</v>
      </c>
      <c r="B48">
        <f>Aware1!H47</f>
        <v>0</v>
      </c>
      <c r="C48">
        <f>Aware2!H47</f>
        <v>0</v>
      </c>
      <c r="D48">
        <f>Aware3!H47</f>
        <v>0</v>
      </c>
      <c r="E48">
        <f>Aware4!H47</f>
        <v>1</v>
      </c>
      <c r="F48" s="2">
        <f>Aware5!H47</f>
        <v>0</v>
      </c>
      <c r="G48">
        <f t="shared" si="1"/>
        <v>0</v>
      </c>
      <c r="H48">
        <f t="shared" si="2"/>
        <v>0.2</v>
      </c>
      <c r="I48">
        <f t="shared" si="3"/>
        <v>1</v>
      </c>
      <c r="K48">
        <v>45</v>
      </c>
      <c r="L48">
        <f>Aware1!$G47</f>
        <v>32</v>
      </c>
      <c r="M48">
        <f>Aware2!$G47</f>
        <v>100</v>
      </c>
      <c r="N48">
        <f>Aware3!$G47</f>
        <v>51</v>
      </c>
      <c r="O48">
        <f>Aware4!$G47</f>
        <v>33</v>
      </c>
      <c r="P48" s="2">
        <f>100</f>
        <v>100</v>
      </c>
      <c r="Q48">
        <f t="shared" si="4"/>
        <v>32</v>
      </c>
      <c r="R48">
        <f t="shared" si="5"/>
        <v>63.2</v>
      </c>
      <c r="S48">
        <f t="shared" si="6"/>
        <v>100</v>
      </c>
      <c r="U48">
        <v>45</v>
      </c>
      <c r="V48">
        <f>Aware1!$D47</f>
        <v>5</v>
      </c>
      <c r="W48">
        <f>Aware2!$D47</f>
        <v>1</v>
      </c>
      <c r="X48">
        <f>Aware3!$D47</f>
        <v>1</v>
      </c>
      <c r="Y48">
        <f>Aware4!$D47</f>
        <v>8</v>
      </c>
      <c r="Z48" s="2">
        <f>Aware5!$D47</f>
        <v>0</v>
      </c>
      <c r="AA48">
        <f t="shared" si="7"/>
        <v>0</v>
      </c>
      <c r="AB48">
        <f t="shared" si="8"/>
        <v>3</v>
      </c>
      <c r="AC48">
        <f t="shared" si="9"/>
        <v>8</v>
      </c>
      <c r="AE48">
        <v>45</v>
      </c>
      <c r="AF48">
        <f t="shared" si="20"/>
        <v>53</v>
      </c>
      <c r="AG48">
        <f t="shared" si="20"/>
        <v>80.666666666666671</v>
      </c>
      <c r="AH48">
        <f t="shared" si="20"/>
        <v>83.333333333333329</v>
      </c>
      <c r="AI48">
        <f t="shared" si="20"/>
        <v>53.333333333333336</v>
      </c>
      <c r="AJ48" s="2">
        <f t="shared" si="20"/>
        <v>100</v>
      </c>
      <c r="AK48">
        <f t="shared" si="11"/>
        <v>53</v>
      </c>
      <c r="AL48">
        <f t="shared" si="12"/>
        <v>74.066666666666663</v>
      </c>
      <c r="AM48">
        <f t="shared" si="13"/>
        <v>100</v>
      </c>
    </row>
    <row r="49" spans="1:39" x14ac:dyDescent="0.25">
      <c r="A49">
        <v>46</v>
      </c>
      <c r="B49">
        <f>Aware1!H48</f>
        <v>0</v>
      </c>
      <c r="C49">
        <f>Aware2!H48</f>
        <v>0</v>
      </c>
      <c r="D49">
        <f>Aware3!H48</f>
        <v>0</v>
      </c>
      <c r="E49">
        <f>Aware4!H48</f>
        <v>0</v>
      </c>
      <c r="F49" s="2">
        <f>Aware5!H48</f>
        <v>0</v>
      </c>
      <c r="G49">
        <f t="shared" si="1"/>
        <v>0</v>
      </c>
      <c r="H49">
        <f t="shared" si="2"/>
        <v>0</v>
      </c>
      <c r="I49">
        <f t="shared" si="3"/>
        <v>0</v>
      </c>
      <c r="K49">
        <v>46</v>
      </c>
      <c r="L49">
        <f>Aware1!$G48</f>
        <v>58</v>
      </c>
      <c r="M49">
        <f>Aware2!$G48</f>
        <v>100</v>
      </c>
      <c r="N49">
        <f>Aware3!$G48</f>
        <v>100</v>
      </c>
      <c r="O49">
        <f>Aware4!$G48</f>
        <v>93</v>
      </c>
      <c r="P49" s="2">
        <f>100</f>
        <v>100</v>
      </c>
      <c r="Q49">
        <f t="shared" si="4"/>
        <v>58</v>
      </c>
      <c r="R49">
        <f t="shared" si="5"/>
        <v>90.2</v>
      </c>
      <c r="S49">
        <f t="shared" si="6"/>
        <v>100</v>
      </c>
      <c r="U49">
        <v>46</v>
      </c>
      <c r="V49">
        <f>Aware1!$D48</f>
        <v>4</v>
      </c>
      <c r="W49">
        <f>Aware2!$D48</f>
        <v>0</v>
      </c>
      <c r="X49">
        <f>Aware3!$D48</f>
        <v>1</v>
      </c>
      <c r="Y49">
        <f>Aware4!$D48</f>
        <v>4</v>
      </c>
      <c r="Z49" s="2">
        <f>Aware5!$D48</f>
        <v>0</v>
      </c>
      <c r="AA49">
        <f t="shared" si="7"/>
        <v>0</v>
      </c>
      <c r="AB49">
        <f t="shared" si="8"/>
        <v>1.8</v>
      </c>
      <c r="AC49">
        <f t="shared" si="9"/>
        <v>4</v>
      </c>
      <c r="AE49">
        <v>46</v>
      </c>
      <c r="AF49">
        <f t="shared" si="20"/>
        <v>46.166666666666664</v>
      </c>
      <c r="AG49">
        <f t="shared" si="20"/>
        <v>80.666666666666671</v>
      </c>
      <c r="AH49">
        <f t="shared" si="20"/>
        <v>83.333333333333329</v>
      </c>
      <c r="AI49">
        <f t="shared" si="20"/>
        <v>52.166666666666664</v>
      </c>
      <c r="AJ49" s="2">
        <f t="shared" si="20"/>
        <v>100</v>
      </c>
      <c r="AK49">
        <f t="shared" si="11"/>
        <v>46.166666666666664</v>
      </c>
      <c r="AL49">
        <f t="shared" si="12"/>
        <v>72.466666666666669</v>
      </c>
      <c r="AM49">
        <f t="shared" si="13"/>
        <v>100</v>
      </c>
    </row>
    <row r="50" spans="1:39" x14ac:dyDescent="0.25">
      <c r="A50">
        <v>47</v>
      </c>
      <c r="B50">
        <f>Aware1!H49</f>
        <v>0</v>
      </c>
      <c r="C50" s="2">
        <f>Aware2!H49</f>
        <v>0</v>
      </c>
      <c r="D50">
        <f>Aware3!H49</f>
        <v>1</v>
      </c>
      <c r="E50">
        <f>Aware4!H49</f>
        <v>1</v>
      </c>
      <c r="F50" s="2">
        <f>Aware5!H49</f>
        <v>0</v>
      </c>
      <c r="G50">
        <f t="shared" si="1"/>
        <v>0</v>
      </c>
      <c r="H50">
        <f t="shared" si="2"/>
        <v>0.4</v>
      </c>
      <c r="I50">
        <f t="shared" si="3"/>
        <v>1</v>
      </c>
      <c r="K50">
        <v>47</v>
      </c>
      <c r="L50">
        <f>Aware1!$G49</f>
        <v>97</v>
      </c>
      <c r="M50" s="2">
        <f>100</f>
        <v>100</v>
      </c>
      <c r="N50">
        <f>Aware3!$G49</f>
        <v>100</v>
      </c>
      <c r="O50">
        <f>Aware4!$G49</f>
        <v>100</v>
      </c>
      <c r="P50" s="2">
        <f>100</f>
        <v>100</v>
      </c>
      <c r="Q50">
        <f t="shared" si="4"/>
        <v>97</v>
      </c>
      <c r="R50">
        <f t="shared" si="5"/>
        <v>99.4</v>
      </c>
      <c r="S50">
        <f t="shared" si="6"/>
        <v>100</v>
      </c>
      <c r="U50">
        <v>47</v>
      </c>
      <c r="V50">
        <f>Aware1!$D49</f>
        <v>2</v>
      </c>
      <c r="W50" s="2">
        <f>Aware2!$D49</f>
        <v>0</v>
      </c>
      <c r="X50">
        <f>Aware3!$D49</f>
        <v>1</v>
      </c>
      <c r="Y50">
        <f>Aware4!$D49</f>
        <v>2</v>
      </c>
      <c r="Z50" s="2">
        <f>Aware5!$D49</f>
        <v>0</v>
      </c>
      <c r="AA50">
        <f t="shared" si="7"/>
        <v>0</v>
      </c>
      <c r="AB50">
        <f t="shared" si="8"/>
        <v>1</v>
      </c>
      <c r="AC50">
        <f t="shared" si="9"/>
        <v>2</v>
      </c>
      <c r="AE50">
        <v>47</v>
      </c>
      <c r="AF50">
        <f t="shared" si="20"/>
        <v>56.333333333333336</v>
      </c>
      <c r="AG50" s="2">
        <f t="shared" si="20"/>
        <v>87</v>
      </c>
      <c r="AH50">
        <f t="shared" si="20"/>
        <v>83.333333333333329</v>
      </c>
      <c r="AI50">
        <f t="shared" si="20"/>
        <v>52.5</v>
      </c>
      <c r="AJ50" s="2">
        <f t="shared" si="20"/>
        <v>100</v>
      </c>
      <c r="AK50">
        <f t="shared" si="11"/>
        <v>52.5</v>
      </c>
      <c r="AL50">
        <f t="shared" si="12"/>
        <v>75.833333333333343</v>
      </c>
      <c r="AM50">
        <f t="shared" si="13"/>
        <v>100</v>
      </c>
    </row>
    <row r="51" spans="1:39" x14ac:dyDescent="0.25">
      <c r="A51">
        <v>48</v>
      </c>
      <c r="B51">
        <f>Aware1!H50</f>
        <v>0</v>
      </c>
      <c r="C51" s="2">
        <f>Aware2!H50</f>
        <v>0</v>
      </c>
      <c r="D51">
        <f>Aware3!H50</f>
        <v>0</v>
      </c>
      <c r="E51">
        <f>Aware4!H50</f>
        <v>0</v>
      </c>
      <c r="F51" s="2">
        <f>Aware5!H50</f>
        <v>0</v>
      </c>
      <c r="G51">
        <f t="shared" si="1"/>
        <v>0</v>
      </c>
      <c r="H51">
        <f t="shared" si="2"/>
        <v>0</v>
      </c>
      <c r="I51">
        <f t="shared" si="3"/>
        <v>0</v>
      </c>
      <c r="K51">
        <v>48</v>
      </c>
      <c r="L51">
        <f>Aware1!$G50</f>
        <v>60</v>
      </c>
      <c r="M51" s="2">
        <f>100</f>
        <v>100</v>
      </c>
      <c r="N51">
        <f>Aware3!$G50</f>
        <v>100</v>
      </c>
      <c r="O51">
        <f>Aware4!$G50</f>
        <v>100</v>
      </c>
      <c r="P51" s="2">
        <f>100</f>
        <v>100</v>
      </c>
      <c r="Q51">
        <f t="shared" si="4"/>
        <v>60</v>
      </c>
      <c r="R51">
        <f t="shared" si="5"/>
        <v>92</v>
      </c>
      <c r="S51">
        <f t="shared" si="6"/>
        <v>100</v>
      </c>
      <c r="U51">
        <v>48</v>
      </c>
      <c r="V51">
        <f>Aware1!$D50</f>
        <v>1</v>
      </c>
      <c r="W51" s="2">
        <f>Aware2!$D50</f>
        <v>0</v>
      </c>
      <c r="X51">
        <f>Aware3!$D50</f>
        <v>1</v>
      </c>
      <c r="Y51">
        <f>Aware4!$D50</f>
        <v>2</v>
      </c>
      <c r="Z51" s="2">
        <f>Aware5!$D50</f>
        <v>0</v>
      </c>
      <c r="AA51">
        <f t="shared" si="7"/>
        <v>0</v>
      </c>
      <c r="AB51">
        <f t="shared" si="8"/>
        <v>0.8</v>
      </c>
      <c r="AC51">
        <f t="shared" si="9"/>
        <v>2</v>
      </c>
      <c r="AE51">
        <v>48</v>
      </c>
      <c r="AF51">
        <f t="shared" si="20"/>
        <v>56.5</v>
      </c>
      <c r="AG51" s="2">
        <f t="shared" si="20"/>
        <v>93.666666666666671</v>
      </c>
      <c r="AH51">
        <f t="shared" si="20"/>
        <v>91.833333333333329</v>
      </c>
      <c r="AI51">
        <f t="shared" si="20"/>
        <v>63.833333333333336</v>
      </c>
      <c r="AJ51" s="2">
        <f t="shared" si="20"/>
        <v>100</v>
      </c>
      <c r="AK51">
        <f t="shared" si="11"/>
        <v>56.5</v>
      </c>
      <c r="AL51">
        <f t="shared" si="12"/>
        <v>81.166666666666657</v>
      </c>
      <c r="AM51">
        <f t="shared" si="13"/>
        <v>100</v>
      </c>
    </row>
    <row r="52" spans="1:39" x14ac:dyDescent="0.25">
      <c r="A52">
        <v>49</v>
      </c>
      <c r="B52">
        <f>Aware1!H51</f>
        <v>0</v>
      </c>
      <c r="C52" s="2">
        <f>Aware2!H51</f>
        <v>0</v>
      </c>
      <c r="D52">
        <f>Aware3!H51</f>
        <v>0</v>
      </c>
      <c r="E52">
        <f>Aware4!H51</f>
        <v>0</v>
      </c>
      <c r="F52" s="2">
        <f>Aware5!H51</f>
        <v>0</v>
      </c>
      <c r="G52">
        <f t="shared" ref="G52" si="21">MIN(B52:F52)</f>
        <v>0</v>
      </c>
      <c r="H52">
        <f t="shared" ref="H52" si="22">AVERAGE(B52:F52)</f>
        <v>0</v>
      </c>
      <c r="I52">
        <f t="shared" ref="I52" si="23">MAX(B52:F52)</f>
        <v>0</v>
      </c>
      <c r="K52">
        <v>49</v>
      </c>
      <c r="L52">
        <f>Aware1!$G51</f>
        <v>100</v>
      </c>
      <c r="M52" s="2">
        <f>100</f>
        <v>100</v>
      </c>
      <c r="N52">
        <f>Aware3!$G51</f>
        <v>100</v>
      </c>
      <c r="O52">
        <f>Aware4!$G51</f>
        <v>61</v>
      </c>
      <c r="P52" s="2">
        <f>100</f>
        <v>100</v>
      </c>
      <c r="Q52">
        <f t="shared" si="4"/>
        <v>61</v>
      </c>
      <c r="R52">
        <f t="shared" si="5"/>
        <v>92.2</v>
      </c>
      <c r="S52">
        <f t="shared" si="6"/>
        <v>100</v>
      </c>
      <c r="U52">
        <v>49</v>
      </c>
      <c r="V52">
        <f>Aware1!$D51</f>
        <v>1</v>
      </c>
      <c r="W52" s="2">
        <f>Aware2!$D51</f>
        <v>0</v>
      </c>
      <c r="X52">
        <f>Aware3!$D51</f>
        <v>1</v>
      </c>
      <c r="Y52">
        <f>Aware4!$D51</f>
        <v>2</v>
      </c>
      <c r="Z52" s="2">
        <f>Aware5!$D51</f>
        <v>0</v>
      </c>
      <c r="AA52">
        <f t="shared" si="7"/>
        <v>0</v>
      </c>
      <c r="AB52">
        <f t="shared" si="8"/>
        <v>0.8</v>
      </c>
      <c r="AC52">
        <f t="shared" si="9"/>
        <v>2</v>
      </c>
      <c r="AE52">
        <v>49</v>
      </c>
      <c r="AF52">
        <f t="shared" si="20"/>
        <v>67.333333333333329</v>
      </c>
      <c r="AG52" s="2">
        <f t="shared" si="20"/>
        <v>93.666666666666671</v>
      </c>
      <c r="AH52">
        <f t="shared" si="20"/>
        <v>91.833333333333329</v>
      </c>
      <c r="AI52">
        <f t="shared" si="20"/>
        <v>68.833333333333329</v>
      </c>
      <c r="AJ52" s="2">
        <f t="shared" si="20"/>
        <v>100</v>
      </c>
      <c r="AK52">
        <f t="shared" si="11"/>
        <v>67.333333333333329</v>
      </c>
      <c r="AL52">
        <f t="shared" si="12"/>
        <v>84.333333333333329</v>
      </c>
      <c r="AM52">
        <f t="shared" si="13"/>
        <v>100</v>
      </c>
    </row>
    <row r="53" spans="1:39" x14ac:dyDescent="0.25">
      <c r="A53" t="s">
        <v>14</v>
      </c>
      <c r="B53">
        <f t="shared" ref="B53:I53" si="24">SUM(B3:B52)</f>
        <v>70</v>
      </c>
      <c r="C53">
        <f t="shared" si="24"/>
        <v>69</v>
      </c>
      <c r="D53">
        <f t="shared" si="24"/>
        <v>66</v>
      </c>
      <c r="E53">
        <f t="shared" si="24"/>
        <v>72</v>
      </c>
      <c r="F53">
        <f t="shared" si="24"/>
        <v>54</v>
      </c>
      <c r="G53">
        <f>SUM(G3:G52)</f>
        <v>11</v>
      </c>
      <c r="H53">
        <f t="shared" si="24"/>
        <v>66.200000000000031</v>
      </c>
      <c r="I53">
        <f t="shared" si="24"/>
        <v>156</v>
      </c>
      <c r="K53" t="s">
        <v>14</v>
      </c>
      <c r="L53">
        <f>SUM(L3:L52)</f>
        <v>3333</v>
      </c>
      <c r="M53">
        <f t="shared" ref="M53:Q53" si="25">SUM(M3:M52)</f>
        <v>3345</v>
      </c>
      <c r="N53">
        <f t="shared" si="25"/>
        <v>3346</v>
      </c>
      <c r="O53">
        <f t="shared" si="25"/>
        <v>3069</v>
      </c>
      <c r="P53">
        <f t="shared" si="25"/>
        <v>4000</v>
      </c>
      <c r="Q53">
        <f t="shared" si="25"/>
        <v>2135</v>
      </c>
      <c r="R53">
        <f t="shared" si="5"/>
        <v>3418.6</v>
      </c>
      <c r="S53">
        <f t="shared" si="6"/>
        <v>4000</v>
      </c>
      <c r="U53" t="s">
        <v>14</v>
      </c>
      <c r="V53">
        <f>SUM(V3:V52)</f>
        <v>420</v>
      </c>
      <c r="W53">
        <f t="shared" ref="W53:AA53" si="26">SUM(W3:W52)</f>
        <v>414</v>
      </c>
      <c r="X53">
        <f t="shared" si="26"/>
        <v>393</v>
      </c>
      <c r="Y53">
        <f t="shared" si="26"/>
        <v>428</v>
      </c>
      <c r="Z53">
        <f t="shared" si="26"/>
        <v>324</v>
      </c>
      <c r="AA53">
        <f t="shared" si="26"/>
        <v>131</v>
      </c>
      <c r="AB53">
        <f t="shared" si="8"/>
        <v>395.8</v>
      </c>
      <c r="AC53">
        <f t="shared" si="9"/>
        <v>428</v>
      </c>
      <c r="AE53" t="s">
        <v>14</v>
      </c>
      <c r="AF53">
        <f>SUM(AF3:AF52)</f>
        <v>3384.3000000000011</v>
      </c>
      <c r="AG53">
        <f t="shared" ref="AG53:AK53" si="27">SUM(AG3:AG52)</f>
        <v>3342.4499999999985</v>
      </c>
      <c r="AH53">
        <f t="shared" si="27"/>
        <v>3351.650000000001</v>
      </c>
      <c r="AI53">
        <f t="shared" si="27"/>
        <v>3112.6166666666677</v>
      </c>
      <c r="AJ53">
        <f t="shared" si="27"/>
        <v>3997.8</v>
      </c>
      <c r="AK53">
        <f t="shared" si="27"/>
        <v>2622.9500000000003</v>
      </c>
      <c r="AL53">
        <f t="shared" si="12"/>
        <v>3437.7633333333338</v>
      </c>
      <c r="AM53">
        <f t="shared" si="13"/>
        <v>3997.8</v>
      </c>
    </row>
    <row r="55" spans="1:39" x14ac:dyDescent="0.25">
      <c r="A55" t="s">
        <v>42</v>
      </c>
      <c r="B55">
        <f>AVERAGE(B3:B52)</f>
        <v>1.4</v>
      </c>
      <c r="C55">
        <f>AVERAGE(C3:C49)</f>
        <v>1.4680851063829787</v>
      </c>
      <c r="D55">
        <f>AVERAGE(D3:D52)</f>
        <v>1.32</v>
      </c>
      <c r="E55">
        <f>AVERAGE(E3:E52)</f>
        <v>1.44</v>
      </c>
      <c r="F55">
        <f>AVERAGE(F3:F29)</f>
        <v>2</v>
      </c>
      <c r="G55">
        <f>MIN(B55:F55)</f>
        <v>1.32</v>
      </c>
      <c r="H55">
        <f>AVERAGE(B55:G55)</f>
        <v>1.4913475177304967</v>
      </c>
      <c r="I55">
        <f>MAX(B55:G55)</f>
        <v>2</v>
      </c>
      <c r="K55" t="s">
        <v>42</v>
      </c>
      <c r="L55">
        <f>AVERAGE(L3:L52)</f>
        <v>66.66</v>
      </c>
      <c r="M55">
        <f>AVERAGE(M3:M49)</f>
        <v>64.787234042553195</v>
      </c>
      <c r="N55">
        <f>AVERAGE(N3:N52)</f>
        <v>66.92</v>
      </c>
      <c r="O55">
        <f>AVERAGE(O3:O52)</f>
        <v>61.38</v>
      </c>
      <c r="P55">
        <f>AVERAGE(P3:P29)</f>
        <v>62.962962962962962</v>
      </c>
      <c r="Q55">
        <f>MIN(L55:P55)</f>
        <v>61.38</v>
      </c>
      <c r="R55">
        <f>AVERAGE(L55:Q55)</f>
        <v>64.015032834252693</v>
      </c>
      <c r="S55">
        <f>MAX(L55:Q55)</f>
        <v>66.92</v>
      </c>
      <c r="U55" t="s">
        <v>42</v>
      </c>
      <c r="V55">
        <f>AVERAGE(V3:V52)</f>
        <v>8.4</v>
      </c>
      <c r="W55">
        <f>AVERAGE(W3:W49)</f>
        <v>8.8085106382978715</v>
      </c>
      <c r="X55">
        <f>AVERAGE(X3:X52)</f>
        <v>7.86</v>
      </c>
      <c r="Y55">
        <f>AVERAGE(Y3:Y52)</f>
        <v>8.56</v>
      </c>
      <c r="Z55">
        <f>AVERAGE(Z3:Z29)</f>
        <v>12</v>
      </c>
      <c r="AA55">
        <f>MIN(V55:Z55)</f>
        <v>7.86</v>
      </c>
      <c r="AB55">
        <f>AVERAGE(V55:AA55)</f>
        <v>8.9147517730496464</v>
      </c>
      <c r="AC55">
        <f>MAX(V55:AA55)</f>
        <v>12</v>
      </c>
      <c r="AE55" t="s">
        <v>42</v>
      </c>
      <c r="AF55">
        <f>AVERAGE(AF3:AF52)</f>
        <v>67.686000000000021</v>
      </c>
      <c r="AG55">
        <f>AVERAGE(AG3:AG49)</f>
        <v>65.279078014184364</v>
      </c>
      <c r="AH55">
        <f>AVERAGE(AH3:AH52)</f>
        <v>67.033000000000015</v>
      </c>
      <c r="AI55">
        <f>AVERAGE(AI3:AI52)</f>
        <v>62.252333333333354</v>
      </c>
      <c r="AJ55">
        <f>AVERAGE(AJ3:AJ29)</f>
        <v>64.15308641975308</v>
      </c>
      <c r="AK55">
        <f>MIN(AF55:AJ55)</f>
        <v>62.252333333333354</v>
      </c>
      <c r="AL55">
        <f>AVERAGE(AF55:AK55)</f>
        <v>64.775971850100703</v>
      </c>
      <c r="AM55">
        <f>MAX(AF55:AK55)</f>
        <v>67.686000000000021</v>
      </c>
    </row>
  </sheetData>
  <mergeCells count="4">
    <mergeCell ref="B1:F1"/>
    <mergeCell ref="L1:P1"/>
    <mergeCell ref="V1:Z1"/>
    <mergeCell ref="AF1:AJ1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20EE-2D1B-46FD-A526-C691856C7D39}">
  <dimension ref="A1:AM55"/>
  <sheetViews>
    <sheetView zoomScale="70" zoomScaleNormal="70" workbookViewId="0">
      <selection activeCell="AL10" sqref="AL10"/>
    </sheetView>
  </sheetViews>
  <sheetFormatPr defaultRowHeight="15" x14ac:dyDescent="0.25"/>
  <sheetData>
    <row r="1" spans="1:39" x14ac:dyDescent="0.25">
      <c r="B1" s="7" t="s">
        <v>11</v>
      </c>
      <c r="C1" s="7"/>
      <c r="D1" s="7"/>
      <c r="E1" s="7"/>
      <c r="F1" s="7"/>
      <c r="L1" s="7" t="s">
        <v>15</v>
      </c>
      <c r="M1" s="7"/>
      <c r="N1" s="7"/>
      <c r="O1" s="7"/>
      <c r="P1" s="7"/>
      <c r="V1" s="7" t="s">
        <v>2</v>
      </c>
      <c r="W1" s="7"/>
      <c r="X1" s="7"/>
      <c r="Y1" s="7"/>
      <c r="Z1" s="7"/>
      <c r="AF1" s="7" t="s">
        <v>70</v>
      </c>
      <c r="AG1" s="7"/>
      <c r="AH1" s="7"/>
      <c r="AI1" s="7"/>
      <c r="AJ1" s="7"/>
    </row>
    <row r="2" spans="1:39" x14ac:dyDescent="0.25">
      <c r="A2" t="s">
        <v>10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21</v>
      </c>
      <c r="H2" t="s">
        <v>22</v>
      </c>
      <c r="I2" t="s">
        <v>23</v>
      </c>
      <c r="K2" t="s">
        <v>10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29</v>
      </c>
      <c r="R2" t="s">
        <v>30</v>
      </c>
      <c r="S2" t="s">
        <v>31</v>
      </c>
      <c r="U2" t="s">
        <v>10</v>
      </c>
      <c r="V2" t="s">
        <v>101</v>
      </c>
      <c r="W2" t="s">
        <v>102</v>
      </c>
      <c r="X2" t="s">
        <v>103</v>
      </c>
      <c r="Y2" t="s">
        <v>104</v>
      </c>
      <c r="Z2" t="s">
        <v>105</v>
      </c>
      <c r="AA2" t="s">
        <v>90</v>
      </c>
      <c r="AB2" t="s">
        <v>91</v>
      </c>
      <c r="AC2" t="s">
        <v>92</v>
      </c>
      <c r="AE2" t="s">
        <v>10</v>
      </c>
      <c r="AF2" t="s">
        <v>106</v>
      </c>
      <c r="AG2" t="s">
        <v>107</v>
      </c>
      <c r="AH2" t="s">
        <v>108</v>
      </c>
      <c r="AI2" t="s">
        <v>109</v>
      </c>
      <c r="AJ2" t="s">
        <v>110</v>
      </c>
      <c r="AK2" t="s">
        <v>98</v>
      </c>
      <c r="AL2" t="s">
        <v>99</v>
      </c>
      <c r="AM2" t="s">
        <v>100</v>
      </c>
    </row>
    <row r="3" spans="1:39" x14ac:dyDescent="0.25">
      <c r="A3">
        <v>0</v>
      </c>
      <c r="B3">
        <f>Learn1!H2</f>
        <v>2</v>
      </c>
      <c r="C3">
        <f>Learn2!H2</f>
        <v>2</v>
      </c>
      <c r="D3">
        <f>Learn3!H2</f>
        <v>2</v>
      </c>
      <c r="E3">
        <f>Learn4!H2</f>
        <v>2</v>
      </c>
      <c r="F3">
        <f>Learn5!H2</f>
        <v>2</v>
      </c>
      <c r="G3">
        <f>PERCENTILE(B3:F3,0.25)</f>
        <v>2</v>
      </c>
      <c r="H3">
        <f>PERCENTILE(B3:F3,0.5)</f>
        <v>2</v>
      </c>
      <c r="I3">
        <f>PERCENTILE(B3:F3,0.75)</f>
        <v>2</v>
      </c>
      <c r="K3">
        <v>0</v>
      </c>
      <c r="L3">
        <f>Learn1!$G2</f>
        <v>100</v>
      </c>
      <c r="M3">
        <f>Learn2!$G2</f>
        <v>100</v>
      </c>
      <c r="N3">
        <f>Learn3!$G2</f>
        <v>100</v>
      </c>
      <c r="O3">
        <f>Learn4!$G2</f>
        <v>100</v>
      </c>
      <c r="P3">
        <f>Learn5!$G2</f>
        <v>100</v>
      </c>
      <c r="Q3">
        <f>MIN(L3:P3)</f>
        <v>100</v>
      </c>
      <c r="R3">
        <f>AVERAGE(L3:P3)</f>
        <v>100</v>
      </c>
      <c r="S3">
        <f>MAX(L3:P3)</f>
        <v>100</v>
      </c>
      <c r="U3">
        <v>0</v>
      </c>
      <c r="V3">
        <f>Learn1!D2</f>
        <v>2</v>
      </c>
      <c r="W3">
        <f>Learn2!D2</f>
        <v>2</v>
      </c>
      <c r="X3">
        <f>Learn3!D2</f>
        <v>2</v>
      </c>
      <c r="Y3">
        <f>Learn4!D2</f>
        <v>2</v>
      </c>
      <c r="Z3">
        <f>Learn5!D2</f>
        <v>2</v>
      </c>
      <c r="AA3">
        <f>PERCENTILE(V3:Z3,0.25)</f>
        <v>2</v>
      </c>
      <c r="AB3">
        <f>PERCENTILE(V3:Z3,0.5)</f>
        <v>2</v>
      </c>
      <c r="AC3">
        <f>PERCENTILE(V3:Z3,0.75)</f>
        <v>2</v>
      </c>
      <c r="AE3">
        <v>0</v>
      </c>
      <c r="AF3">
        <f>L3</f>
        <v>100</v>
      </c>
      <c r="AG3">
        <f t="shared" ref="AG3:AJ3" si="0">M3</f>
        <v>100</v>
      </c>
      <c r="AH3">
        <f t="shared" si="0"/>
        <v>100</v>
      </c>
      <c r="AI3">
        <f t="shared" si="0"/>
        <v>100</v>
      </c>
      <c r="AJ3">
        <f t="shared" si="0"/>
        <v>100</v>
      </c>
      <c r="AK3">
        <f>MIN(AF3:AJ3)</f>
        <v>100</v>
      </c>
      <c r="AL3">
        <f>AVERAGE(AF3:AJ3)</f>
        <v>100</v>
      </c>
      <c r="AM3">
        <f>MAX(AF3:AJ3)</f>
        <v>100</v>
      </c>
    </row>
    <row r="4" spans="1:39" x14ac:dyDescent="0.25">
      <c r="A4">
        <v>1</v>
      </c>
      <c r="B4">
        <f>Learn1!H3</f>
        <v>0</v>
      </c>
      <c r="C4">
        <f>Learn2!H3</f>
        <v>0</v>
      </c>
      <c r="D4">
        <f>Learn3!H3</f>
        <v>1</v>
      </c>
      <c r="E4">
        <f>Learn4!H3</f>
        <v>2</v>
      </c>
      <c r="F4">
        <f>Learn5!H3</f>
        <v>1</v>
      </c>
      <c r="G4">
        <f t="shared" ref="G4:G53" si="1">PERCENTILE(B4:F4,0.25)</f>
        <v>0</v>
      </c>
      <c r="H4">
        <f t="shared" ref="H4:H53" si="2">AVERAGE(B4:F4)</f>
        <v>0.8</v>
      </c>
      <c r="I4">
        <f t="shared" ref="I4:I53" si="3">PERCENTILE(B4:F4,0.75)</f>
        <v>1</v>
      </c>
      <c r="K4">
        <v>1</v>
      </c>
      <c r="L4">
        <f>Learn1!$G3</f>
        <v>100</v>
      </c>
      <c r="M4">
        <f>Learn2!$G3</f>
        <v>100</v>
      </c>
      <c r="N4">
        <f>Learn3!$G3</f>
        <v>98</v>
      </c>
      <c r="O4">
        <f>Learn4!$G3</f>
        <v>98</v>
      </c>
      <c r="P4">
        <f>Learn5!$G3</f>
        <v>98</v>
      </c>
      <c r="Q4">
        <f t="shared" ref="Q4:Q52" si="4">MIN(L4:P4)</f>
        <v>98</v>
      </c>
      <c r="R4">
        <f t="shared" ref="R4:R53" si="5">AVERAGE(L4:P4)</f>
        <v>98.8</v>
      </c>
      <c r="S4">
        <f t="shared" ref="S4:S53" si="6">MAX(L4:P4)</f>
        <v>100</v>
      </c>
      <c r="U4">
        <v>1</v>
      </c>
      <c r="V4">
        <f>Learn1!D3</f>
        <v>2</v>
      </c>
      <c r="W4">
        <f>Learn2!D3</f>
        <v>2</v>
      </c>
      <c r="X4">
        <f>Learn3!D3</f>
        <v>3</v>
      </c>
      <c r="Y4">
        <f>Learn4!D3</f>
        <v>4</v>
      </c>
      <c r="Z4">
        <f>Learn5!D3</f>
        <v>3</v>
      </c>
      <c r="AA4">
        <f t="shared" ref="AA4:AA52" si="7">PERCENTILE(V4:Z4,0.25)</f>
        <v>2</v>
      </c>
      <c r="AB4">
        <f t="shared" ref="AB4:AB53" si="8">AVERAGE(V4:Z4)</f>
        <v>2.8</v>
      </c>
      <c r="AC4">
        <f t="shared" ref="AC4:AC52" si="9">PERCENTILE(V4:Z4,0.75)</f>
        <v>3</v>
      </c>
      <c r="AE4">
        <v>1</v>
      </c>
      <c r="AF4">
        <f>AVERAGE(L3:L4)</f>
        <v>100</v>
      </c>
      <c r="AG4">
        <f t="shared" ref="AG4:AJ4" si="10">AVERAGE(M3:M4)</f>
        <v>100</v>
      </c>
      <c r="AH4">
        <f t="shared" si="10"/>
        <v>99</v>
      </c>
      <c r="AI4">
        <f t="shared" si="10"/>
        <v>99</v>
      </c>
      <c r="AJ4">
        <f t="shared" si="10"/>
        <v>99</v>
      </c>
      <c r="AK4">
        <f t="shared" ref="AK4:AK15" si="11">MIN(AF4:AJ4)</f>
        <v>99</v>
      </c>
      <c r="AL4">
        <f t="shared" ref="AL4:AL15" si="12">AVERAGE(AF4:AJ4)</f>
        <v>99.4</v>
      </c>
      <c r="AM4">
        <f t="shared" ref="AM4:AM15" si="13">MAX(AF4:AJ4)</f>
        <v>100</v>
      </c>
    </row>
    <row r="5" spans="1:39" x14ac:dyDescent="0.25">
      <c r="A5">
        <v>2</v>
      </c>
      <c r="B5">
        <f>Learn1!H4</f>
        <v>1</v>
      </c>
      <c r="C5">
        <f>Learn2!H4</f>
        <v>3</v>
      </c>
      <c r="D5">
        <f>Learn3!H4</f>
        <v>1</v>
      </c>
      <c r="E5">
        <f>Learn4!H4</f>
        <v>3</v>
      </c>
      <c r="F5">
        <f>Learn5!H4</f>
        <v>4</v>
      </c>
      <c r="G5">
        <f t="shared" si="1"/>
        <v>1</v>
      </c>
      <c r="H5">
        <f t="shared" si="2"/>
        <v>2.4</v>
      </c>
      <c r="I5">
        <f t="shared" si="3"/>
        <v>3</v>
      </c>
      <c r="K5">
        <v>2</v>
      </c>
      <c r="L5">
        <f>Learn1!$G4</f>
        <v>99</v>
      </c>
      <c r="M5">
        <f>Learn2!$G4</f>
        <v>100</v>
      </c>
      <c r="N5">
        <f>Learn3!$G4</f>
        <v>98</v>
      </c>
      <c r="O5">
        <f>Learn4!$G4</f>
        <v>98</v>
      </c>
      <c r="P5">
        <f>Learn5!$G4</f>
        <v>98</v>
      </c>
      <c r="Q5">
        <f t="shared" si="4"/>
        <v>98</v>
      </c>
      <c r="R5">
        <f t="shared" si="5"/>
        <v>98.6</v>
      </c>
      <c r="S5">
        <f t="shared" si="6"/>
        <v>100</v>
      </c>
      <c r="U5">
        <v>2</v>
      </c>
      <c r="V5">
        <f>Learn1!D4</f>
        <v>3</v>
      </c>
      <c r="W5">
        <f>Learn2!D4</f>
        <v>5</v>
      </c>
      <c r="X5">
        <f>Learn3!D4</f>
        <v>4</v>
      </c>
      <c r="Y5">
        <f>Learn4!D4</f>
        <v>7</v>
      </c>
      <c r="Z5">
        <f>Learn5!D4</f>
        <v>7</v>
      </c>
      <c r="AA5">
        <f t="shared" si="7"/>
        <v>4</v>
      </c>
      <c r="AB5">
        <f t="shared" si="8"/>
        <v>5.2</v>
      </c>
      <c r="AC5">
        <f t="shared" si="9"/>
        <v>7</v>
      </c>
      <c r="AE5">
        <v>2</v>
      </c>
      <c r="AF5">
        <f>AVERAGE(L3:L5)</f>
        <v>99.666666666666671</v>
      </c>
      <c r="AG5">
        <f t="shared" ref="AG5:AJ5" si="14">AVERAGE(M3:M5)</f>
        <v>100</v>
      </c>
      <c r="AH5">
        <f t="shared" si="14"/>
        <v>98.666666666666671</v>
      </c>
      <c r="AI5">
        <f t="shared" si="14"/>
        <v>98.666666666666671</v>
      </c>
      <c r="AJ5">
        <f t="shared" si="14"/>
        <v>98.666666666666671</v>
      </c>
      <c r="AK5">
        <f t="shared" si="11"/>
        <v>98.666666666666671</v>
      </c>
      <c r="AL5">
        <f t="shared" si="12"/>
        <v>99.133333333333354</v>
      </c>
      <c r="AM5">
        <f t="shared" si="13"/>
        <v>100</v>
      </c>
    </row>
    <row r="6" spans="1:39" x14ac:dyDescent="0.25">
      <c r="A6">
        <v>3</v>
      </c>
      <c r="B6">
        <f>Learn1!H5</f>
        <v>4</v>
      </c>
      <c r="C6">
        <f>Learn2!H5</f>
        <v>5</v>
      </c>
      <c r="D6">
        <f>Learn3!H5</f>
        <v>6</v>
      </c>
      <c r="E6">
        <f>Learn4!H5</f>
        <v>6</v>
      </c>
      <c r="F6">
        <f>Learn5!H5</f>
        <v>4</v>
      </c>
      <c r="G6">
        <f t="shared" si="1"/>
        <v>4</v>
      </c>
      <c r="H6">
        <f t="shared" si="2"/>
        <v>5</v>
      </c>
      <c r="I6">
        <f t="shared" si="3"/>
        <v>6</v>
      </c>
      <c r="K6">
        <v>3</v>
      </c>
      <c r="L6">
        <f>Learn1!$G5</f>
        <v>100</v>
      </c>
      <c r="M6">
        <f>Learn2!$G5</f>
        <v>100</v>
      </c>
      <c r="N6">
        <f>Learn3!$G5</f>
        <v>98</v>
      </c>
      <c r="O6">
        <f>Learn4!$G5</f>
        <v>97</v>
      </c>
      <c r="P6">
        <f>Learn5!$G5</f>
        <v>98</v>
      </c>
      <c r="Q6">
        <f t="shared" si="4"/>
        <v>97</v>
      </c>
      <c r="R6">
        <f t="shared" si="5"/>
        <v>98.6</v>
      </c>
      <c r="S6">
        <f t="shared" si="6"/>
        <v>100</v>
      </c>
      <c r="U6">
        <v>3</v>
      </c>
      <c r="V6">
        <f>Learn1!D5</f>
        <v>7</v>
      </c>
      <c r="W6">
        <f>Learn2!D5</f>
        <v>10</v>
      </c>
      <c r="X6">
        <f>Learn3!D5</f>
        <v>10</v>
      </c>
      <c r="Y6">
        <f>Learn4!D5</f>
        <v>13</v>
      </c>
      <c r="Z6">
        <f>Learn5!D5</f>
        <v>11</v>
      </c>
      <c r="AA6">
        <f t="shared" si="7"/>
        <v>10</v>
      </c>
      <c r="AB6">
        <f t="shared" si="8"/>
        <v>10.199999999999999</v>
      </c>
      <c r="AC6">
        <f t="shared" si="9"/>
        <v>11</v>
      </c>
      <c r="AE6">
        <v>3</v>
      </c>
      <c r="AF6">
        <f>AVERAGE(L3:L6)</f>
        <v>99.75</v>
      </c>
      <c r="AG6">
        <f t="shared" ref="AG6:AJ6" si="15">AVERAGE(M3:M6)</f>
        <v>100</v>
      </c>
      <c r="AH6">
        <f t="shared" si="15"/>
        <v>98.5</v>
      </c>
      <c r="AI6">
        <f t="shared" si="15"/>
        <v>98.25</v>
      </c>
      <c r="AJ6">
        <f t="shared" si="15"/>
        <v>98.5</v>
      </c>
      <c r="AK6">
        <f t="shared" si="11"/>
        <v>98.25</v>
      </c>
      <c r="AL6">
        <f t="shared" si="12"/>
        <v>99</v>
      </c>
      <c r="AM6">
        <f t="shared" si="13"/>
        <v>100</v>
      </c>
    </row>
    <row r="7" spans="1:39" x14ac:dyDescent="0.25">
      <c r="A7">
        <v>4</v>
      </c>
      <c r="B7">
        <f>Learn1!H6</f>
        <v>4</v>
      </c>
      <c r="C7">
        <f>Learn2!H6</f>
        <v>3</v>
      </c>
      <c r="D7">
        <f>Learn3!H6</f>
        <v>0</v>
      </c>
      <c r="E7">
        <f>Learn4!H6</f>
        <v>0</v>
      </c>
      <c r="F7">
        <f>Learn5!H6</f>
        <v>1</v>
      </c>
      <c r="G7">
        <f t="shared" si="1"/>
        <v>0</v>
      </c>
      <c r="H7">
        <f t="shared" si="2"/>
        <v>1.6</v>
      </c>
      <c r="I7">
        <f t="shared" si="3"/>
        <v>3</v>
      </c>
      <c r="K7">
        <v>4</v>
      </c>
      <c r="L7">
        <f>Learn1!$G6</f>
        <v>19</v>
      </c>
      <c r="M7">
        <f>Learn2!$G6</f>
        <v>11</v>
      </c>
      <c r="N7">
        <f>Learn3!$G6</f>
        <v>5</v>
      </c>
      <c r="O7">
        <f>Learn4!$G6</f>
        <v>14</v>
      </c>
      <c r="P7">
        <f>Learn5!$G6</f>
        <v>20</v>
      </c>
      <c r="Q7">
        <f t="shared" si="4"/>
        <v>5</v>
      </c>
      <c r="R7">
        <f t="shared" si="5"/>
        <v>13.8</v>
      </c>
      <c r="S7">
        <f t="shared" si="6"/>
        <v>20</v>
      </c>
      <c r="U7">
        <v>4</v>
      </c>
      <c r="V7">
        <f>Learn1!D6</f>
        <v>11</v>
      </c>
      <c r="W7">
        <f>Learn2!D6</f>
        <v>13</v>
      </c>
      <c r="X7">
        <f>Learn3!D6</f>
        <v>10</v>
      </c>
      <c r="Y7">
        <f>Learn4!D6</f>
        <v>13</v>
      </c>
      <c r="Z7">
        <f>Learn5!D6</f>
        <v>12</v>
      </c>
      <c r="AA7">
        <f t="shared" si="7"/>
        <v>11</v>
      </c>
      <c r="AB7">
        <f t="shared" si="8"/>
        <v>11.8</v>
      </c>
      <c r="AC7">
        <f t="shared" si="9"/>
        <v>13</v>
      </c>
      <c r="AE7">
        <v>4</v>
      </c>
      <c r="AF7">
        <f>AVERAGE(L3:L7)</f>
        <v>83.6</v>
      </c>
      <c r="AG7">
        <f t="shared" ref="AG7:AJ7" si="16">AVERAGE(M3:M7)</f>
        <v>82.2</v>
      </c>
      <c r="AH7">
        <f t="shared" si="16"/>
        <v>79.8</v>
      </c>
      <c r="AI7">
        <f t="shared" si="16"/>
        <v>81.400000000000006</v>
      </c>
      <c r="AJ7">
        <f t="shared" si="16"/>
        <v>82.8</v>
      </c>
      <c r="AK7">
        <f t="shared" si="11"/>
        <v>79.8</v>
      </c>
      <c r="AL7">
        <f t="shared" si="12"/>
        <v>81.960000000000008</v>
      </c>
      <c r="AM7">
        <f t="shared" si="13"/>
        <v>83.6</v>
      </c>
    </row>
    <row r="8" spans="1:39" x14ac:dyDescent="0.25">
      <c r="A8">
        <v>5</v>
      </c>
      <c r="B8">
        <f>Learn1!H7</f>
        <v>9</v>
      </c>
      <c r="C8">
        <f>Learn2!H7</f>
        <v>9</v>
      </c>
      <c r="D8">
        <f>Learn3!H7</f>
        <v>0</v>
      </c>
      <c r="E8">
        <f>Learn4!H7</f>
        <v>0</v>
      </c>
      <c r="F8">
        <f>Learn5!H7</f>
        <v>2</v>
      </c>
      <c r="G8">
        <f t="shared" si="1"/>
        <v>0</v>
      </c>
      <c r="H8">
        <f t="shared" si="2"/>
        <v>4</v>
      </c>
      <c r="I8">
        <f t="shared" si="3"/>
        <v>9</v>
      </c>
      <c r="K8">
        <v>5</v>
      </c>
      <c r="L8">
        <f>Learn1!$G7</f>
        <v>98</v>
      </c>
      <c r="M8">
        <f>Learn2!$G7</f>
        <v>98</v>
      </c>
      <c r="N8">
        <f>Learn3!$G7</f>
        <v>17</v>
      </c>
      <c r="O8">
        <f>Learn4!$G7</f>
        <v>14</v>
      </c>
      <c r="P8">
        <f>Learn5!$G7</f>
        <v>26</v>
      </c>
      <c r="Q8">
        <f t="shared" si="4"/>
        <v>14</v>
      </c>
      <c r="R8">
        <f t="shared" si="5"/>
        <v>50.6</v>
      </c>
      <c r="S8">
        <f t="shared" si="6"/>
        <v>98</v>
      </c>
      <c r="U8">
        <v>5</v>
      </c>
      <c r="V8">
        <f>Learn1!D7</f>
        <v>20</v>
      </c>
      <c r="W8">
        <f>Learn2!D7</f>
        <v>22</v>
      </c>
      <c r="X8">
        <f>Learn3!D7</f>
        <v>10</v>
      </c>
      <c r="Y8">
        <f>Learn4!D7</f>
        <v>13</v>
      </c>
      <c r="Z8">
        <f>Learn5!D7</f>
        <v>14</v>
      </c>
      <c r="AA8">
        <f t="shared" si="7"/>
        <v>13</v>
      </c>
      <c r="AB8">
        <f t="shared" si="8"/>
        <v>15.8</v>
      </c>
      <c r="AC8">
        <f t="shared" si="9"/>
        <v>20</v>
      </c>
      <c r="AE8">
        <v>5</v>
      </c>
      <c r="AF8">
        <f>AVERAGE(L3:L8)</f>
        <v>86</v>
      </c>
      <c r="AG8">
        <f t="shared" ref="AG8:AJ15" si="17">AVERAGE(M3:M8)</f>
        <v>84.833333333333329</v>
      </c>
      <c r="AH8">
        <f t="shared" si="17"/>
        <v>69.333333333333329</v>
      </c>
      <c r="AI8">
        <f t="shared" si="17"/>
        <v>70.166666666666671</v>
      </c>
      <c r="AJ8">
        <f t="shared" si="17"/>
        <v>73.333333333333329</v>
      </c>
      <c r="AK8">
        <f t="shared" si="11"/>
        <v>69.333333333333329</v>
      </c>
      <c r="AL8">
        <f t="shared" si="12"/>
        <v>76.73333333333332</v>
      </c>
      <c r="AM8">
        <f t="shared" si="13"/>
        <v>86</v>
      </c>
    </row>
    <row r="9" spans="1:39" x14ac:dyDescent="0.25">
      <c r="A9">
        <v>6</v>
      </c>
      <c r="B9">
        <f>Learn1!H8</f>
        <v>5</v>
      </c>
      <c r="C9">
        <f>Learn2!H8</f>
        <v>4</v>
      </c>
      <c r="D9">
        <f>Learn3!H8</f>
        <v>0</v>
      </c>
      <c r="E9">
        <f>Learn4!H8</f>
        <v>0</v>
      </c>
      <c r="F9">
        <f>Learn5!H8</f>
        <v>3</v>
      </c>
      <c r="G9">
        <f t="shared" si="1"/>
        <v>0</v>
      </c>
      <c r="H9">
        <f t="shared" si="2"/>
        <v>2.4</v>
      </c>
      <c r="I9">
        <f t="shared" si="3"/>
        <v>4</v>
      </c>
      <c r="K9">
        <v>6</v>
      </c>
      <c r="L9">
        <f>Learn1!$G8</f>
        <v>23</v>
      </c>
      <c r="M9">
        <f>Learn2!$G8</f>
        <v>20</v>
      </c>
      <c r="N9">
        <f>Learn3!$G8</f>
        <v>16</v>
      </c>
      <c r="O9">
        <f>Learn4!$G8</f>
        <v>15</v>
      </c>
      <c r="P9">
        <f>Learn5!$G8</f>
        <v>18</v>
      </c>
      <c r="Q9">
        <f t="shared" si="4"/>
        <v>15</v>
      </c>
      <c r="R9">
        <f t="shared" si="5"/>
        <v>18.399999999999999</v>
      </c>
      <c r="S9">
        <f t="shared" si="6"/>
        <v>23</v>
      </c>
      <c r="U9">
        <v>6</v>
      </c>
      <c r="V9">
        <f>Learn1!D8</f>
        <v>23</v>
      </c>
      <c r="W9">
        <f>Learn2!D8</f>
        <v>24</v>
      </c>
      <c r="X9">
        <f>Learn3!D8</f>
        <v>8</v>
      </c>
      <c r="Y9">
        <f>Learn4!D8</f>
        <v>11</v>
      </c>
      <c r="Z9">
        <f>Learn5!D8</f>
        <v>15</v>
      </c>
      <c r="AA9">
        <f t="shared" si="7"/>
        <v>11</v>
      </c>
      <c r="AB9">
        <f t="shared" si="8"/>
        <v>16.2</v>
      </c>
      <c r="AC9">
        <f t="shared" si="9"/>
        <v>23</v>
      </c>
      <c r="AE9">
        <v>6</v>
      </c>
      <c r="AF9">
        <f>AVERAGE(L4:L9)</f>
        <v>73.166666666666671</v>
      </c>
      <c r="AG9">
        <f t="shared" si="17"/>
        <v>71.5</v>
      </c>
      <c r="AH9">
        <f t="shared" si="17"/>
        <v>55.333333333333336</v>
      </c>
      <c r="AI9">
        <f t="shared" si="17"/>
        <v>56</v>
      </c>
      <c r="AJ9">
        <f t="shared" si="17"/>
        <v>59.666666666666664</v>
      </c>
      <c r="AK9">
        <f t="shared" si="11"/>
        <v>55.333333333333336</v>
      </c>
      <c r="AL9">
        <f t="shared" si="12"/>
        <v>63.13333333333334</v>
      </c>
      <c r="AM9">
        <f t="shared" si="13"/>
        <v>73.166666666666671</v>
      </c>
    </row>
    <row r="10" spans="1:39" x14ac:dyDescent="0.25">
      <c r="A10">
        <v>7</v>
      </c>
      <c r="B10">
        <f>Learn1!H9</f>
        <v>3</v>
      </c>
      <c r="C10">
        <f>Learn2!H9</f>
        <v>3</v>
      </c>
      <c r="D10">
        <f>Learn3!H9</f>
        <v>0</v>
      </c>
      <c r="E10">
        <f>Learn4!H9</f>
        <v>3</v>
      </c>
      <c r="F10">
        <f>Learn5!H9</f>
        <v>3</v>
      </c>
      <c r="G10">
        <f t="shared" si="1"/>
        <v>3</v>
      </c>
      <c r="H10">
        <f t="shared" si="2"/>
        <v>2.4</v>
      </c>
      <c r="I10">
        <f t="shared" si="3"/>
        <v>3</v>
      </c>
      <c r="K10">
        <v>7</v>
      </c>
      <c r="L10">
        <f>Learn1!$G9</f>
        <v>14</v>
      </c>
      <c r="M10">
        <f>Learn2!$G9</f>
        <v>13</v>
      </c>
      <c r="N10">
        <f>Learn3!$G9</f>
        <v>10</v>
      </c>
      <c r="O10">
        <f>Learn4!$G9</f>
        <v>14</v>
      </c>
      <c r="P10">
        <f>Learn5!$G9</f>
        <v>19</v>
      </c>
      <c r="Q10">
        <f t="shared" si="4"/>
        <v>10</v>
      </c>
      <c r="R10">
        <f t="shared" si="5"/>
        <v>14</v>
      </c>
      <c r="S10">
        <f t="shared" si="6"/>
        <v>19</v>
      </c>
      <c r="U10">
        <v>7</v>
      </c>
      <c r="V10">
        <f>Learn1!D9</f>
        <v>26</v>
      </c>
      <c r="W10">
        <f>Learn2!D9</f>
        <v>27</v>
      </c>
      <c r="X10">
        <f>Learn3!D9</f>
        <v>7</v>
      </c>
      <c r="Y10">
        <f>Learn4!D9</f>
        <v>12</v>
      </c>
      <c r="Z10">
        <f>Learn5!D9</f>
        <v>17</v>
      </c>
      <c r="AA10">
        <f t="shared" si="7"/>
        <v>12</v>
      </c>
      <c r="AB10">
        <f t="shared" si="8"/>
        <v>17.8</v>
      </c>
      <c r="AC10">
        <f t="shared" si="9"/>
        <v>26</v>
      </c>
      <c r="AE10">
        <v>7</v>
      </c>
      <c r="AF10">
        <f t="shared" ref="AF10:AF15" si="18">AVERAGE(L5:L10)</f>
        <v>58.833333333333336</v>
      </c>
      <c r="AG10">
        <f t="shared" si="17"/>
        <v>57</v>
      </c>
      <c r="AH10">
        <f t="shared" si="17"/>
        <v>40.666666666666664</v>
      </c>
      <c r="AI10">
        <f t="shared" si="17"/>
        <v>42</v>
      </c>
      <c r="AJ10">
        <f t="shared" si="17"/>
        <v>46.5</v>
      </c>
      <c r="AK10">
        <f t="shared" si="11"/>
        <v>40.666666666666664</v>
      </c>
      <c r="AL10">
        <f t="shared" si="12"/>
        <v>49</v>
      </c>
      <c r="AM10">
        <f t="shared" si="13"/>
        <v>58.833333333333336</v>
      </c>
    </row>
    <row r="11" spans="1:39" x14ac:dyDescent="0.25">
      <c r="A11">
        <v>8</v>
      </c>
      <c r="B11">
        <f>Learn1!H10</f>
        <v>3</v>
      </c>
      <c r="C11">
        <f>Learn2!H10</f>
        <v>5</v>
      </c>
      <c r="D11">
        <f>Learn3!H10</f>
        <v>3</v>
      </c>
      <c r="E11">
        <f>Learn4!H10</f>
        <v>4</v>
      </c>
      <c r="F11">
        <f>Learn5!H10</f>
        <v>7</v>
      </c>
      <c r="G11">
        <f t="shared" si="1"/>
        <v>3</v>
      </c>
      <c r="H11">
        <f t="shared" si="2"/>
        <v>4.4000000000000004</v>
      </c>
      <c r="I11">
        <f t="shared" si="3"/>
        <v>5</v>
      </c>
      <c r="K11">
        <v>8</v>
      </c>
      <c r="L11">
        <f>Learn1!$G10</f>
        <v>15</v>
      </c>
      <c r="M11">
        <f>Learn2!$G10</f>
        <v>14</v>
      </c>
      <c r="N11">
        <f>Learn3!$G10</f>
        <v>93</v>
      </c>
      <c r="O11">
        <f>Learn4!$G10</f>
        <v>93</v>
      </c>
      <c r="P11">
        <f>Learn5!$G10</f>
        <v>24</v>
      </c>
      <c r="Q11">
        <f t="shared" si="4"/>
        <v>14</v>
      </c>
      <c r="R11">
        <f t="shared" si="5"/>
        <v>47.8</v>
      </c>
      <c r="S11">
        <f t="shared" si="6"/>
        <v>93</v>
      </c>
      <c r="U11">
        <v>8</v>
      </c>
      <c r="V11">
        <f>Learn1!D10</f>
        <v>28</v>
      </c>
      <c r="W11">
        <f>Learn2!D10</f>
        <v>29</v>
      </c>
      <c r="X11">
        <f>Learn3!D10</f>
        <v>9</v>
      </c>
      <c r="Y11">
        <f>Learn4!D10</f>
        <v>13</v>
      </c>
      <c r="Z11">
        <f>Learn5!D10</f>
        <v>20</v>
      </c>
      <c r="AA11">
        <f t="shared" si="7"/>
        <v>13</v>
      </c>
      <c r="AB11">
        <f t="shared" si="8"/>
        <v>19.8</v>
      </c>
      <c r="AC11">
        <f t="shared" si="9"/>
        <v>28</v>
      </c>
      <c r="AE11">
        <v>8</v>
      </c>
      <c r="AF11">
        <f t="shared" si="18"/>
        <v>44.833333333333336</v>
      </c>
      <c r="AG11">
        <f t="shared" si="17"/>
        <v>42.666666666666664</v>
      </c>
      <c r="AH11">
        <f t="shared" si="17"/>
        <v>39.833333333333336</v>
      </c>
      <c r="AI11">
        <f t="shared" si="17"/>
        <v>41.166666666666664</v>
      </c>
      <c r="AJ11">
        <f t="shared" si="17"/>
        <v>34.166666666666664</v>
      </c>
      <c r="AK11">
        <f t="shared" si="11"/>
        <v>34.166666666666664</v>
      </c>
      <c r="AL11">
        <f t="shared" si="12"/>
        <v>40.533333333333331</v>
      </c>
      <c r="AM11">
        <f t="shared" si="13"/>
        <v>44.833333333333336</v>
      </c>
    </row>
    <row r="12" spans="1:39" x14ac:dyDescent="0.25">
      <c r="A12">
        <v>9</v>
      </c>
      <c r="B12">
        <f>Learn1!H11</f>
        <v>1</v>
      </c>
      <c r="C12">
        <f>Learn2!H11</f>
        <v>4</v>
      </c>
      <c r="D12">
        <f>Learn3!H11</f>
        <v>5</v>
      </c>
      <c r="E12">
        <f>Learn4!H11</f>
        <v>10</v>
      </c>
      <c r="F12">
        <f>Learn5!H11</f>
        <v>3</v>
      </c>
      <c r="G12">
        <f t="shared" si="1"/>
        <v>3</v>
      </c>
      <c r="H12">
        <f t="shared" si="2"/>
        <v>4.5999999999999996</v>
      </c>
      <c r="I12">
        <f t="shared" si="3"/>
        <v>5</v>
      </c>
      <c r="K12">
        <v>9</v>
      </c>
      <c r="L12">
        <f>Learn1!$G11</f>
        <v>10</v>
      </c>
      <c r="M12">
        <f>Learn2!$G11</f>
        <v>14</v>
      </c>
      <c r="N12">
        <f>Learn3!$G11</f>
        <v>99</v>
      </c>
      <c r="O12">
        <f>Learn4!$G11</f>
        <v>98</v>
      </c>
      <c r="P12">
        <f>Learn5!$G11</f>
        <v>17</v>
      </c>
      <c r="Q12">
        <f t="shared" si="4"/>
        <v>10</v>
      </c>
      <c r="R12">
        <f t="shared" si="5"/>
        <v>47.6</v>
      </c>
      <c r="S12">
        <f t="shared" si="6"/>
        <v>99</v>
      </c>
      <c r="U12">
        <v>9</v>
      </c>
      <c r="V12">
        <f>Learn1!D11</f>
        <v>25</v>
      </c>
      <c r="W12">
        <f>Learn2!D11</f>
        <v>28</v>
      </c>
      <c r="X12">
        <f>Learn3!D11</f>
        <v>8</v>
      </c>
      <c r="Y12">
        <f>Learn4!D11</f>
        <v>17</v>
      </c>
      <c r="Z12">
        <f>Learn5!D11</f>
        <v>19</v>
      </c>
      <c r="AA12">
        <f t="shared" si="7"/>
        <v>17</v>
      </c>
      <c r="AB12">
        <f t="shared" si="8"/>
        <v>19.399999999999999</v>
      </c>
      <c r="AC12">
        <f t="shared" si="9"/>
        <v>25</v>
      </c>
      <c r="AE12">
        <v>9</v>
      </c>
      <c r="AF12">
        <f t="shared" si="18"/>
        <v>29.833333333333332</v>
      </c>
      <c r="AG12">
        <f t="shared" si="17"/>
        <v>28.333333333333332</v>
      </c>
      <c r="AH12">
        <f t="shared" si="17"/>
        <v>40</v>
      </c>
      <c r="AI12">
        <f t="shared" si="17"/>
        <v>41.333333333333336</v>
      </c>
      <c r="AJ12">
        <f t="shared" si="17"/>
        <v>20.666666666666668</v>
      </c>
      <c r="AK12">
        <f t="shared" si="11"/>
        <v>20.666666666666668</v>
      </c>
      <c r="AL12">
        <f t="shared" si="12"/>
        <v>32.033333333333331</v>
      </c>
      <c r="AM12">
        <f t="shared" si="13"/>
        <v>41.333333333333336</v>
      </c>
    </row>
    <row r="13" spans="1:39" x14ac:dyDescent="0.25">
      <c r="A13">
        <v>10</v>
      </c>
      <c r="B13">
        <f>Learn1!H12</f>
        <v>2</v>
      </c>
      <c r="C13">
        <f>Learn2!H12</f>
        <v>1</v>
      </c>
      <c r="D13">
        <f>Learn3!H12</f>
        <v>9</v>
      </c>
      <c r="E13">
        <f>Learn4!H12</f>
        <v>9</v>
      </c>
      <c r="F13">
        <f>Learn5!H12</f>
        <v>3</v>
      </c>
      <c r="G13">
        <f t="shared" si="1"/>
        <v>2</v>
      </c>
      <c r="H13">
        <f t="shared" si="2"/>
        <v>4.8</v>
      </c>
      <c r="I13">
        <f t="shared" si="3"/>
        <v>9</v>
      </c>
      <c r="K13">
        <v>10</v>
      </c>
      <c r="L13">
        <f>Learn1!$G12</f>
        <v>13</v>
      </c>
      <c r="M13">
        <f>Learn2!$G12</f>
        <v>18</v>
      </c>
      <c r="N13">
        <f>Learn3!$G12</f>
        <v>98</v>
      </c>
      <c r="O13">
        <f>Learn4!$G12</f>
        <v>98</v>
      </c>
      <c r="P13">
        <f>Learn5!$G12</f>
        <v>14</v>
      </c>
      <c r="Q13">
        <f t="shared" si="4"/>
        <v>13</v>
      </c>
      <c r="R13">
        <f t="shared" si="5"/>
        <v>48.2</v>
      </c>
      <c r="S13">
        <f t="shared" si="6"/>
        <v>98</v>
      </c>
      <c r="U13">
        <v>10</v>
      </c>
      <c r="V13">
        <f>Learn1!D12</f>
        <v>23</v>
      </c>
      <c r="W13">
        <f>Learn2!D12</f>
        <v>26</v>
      </c>
      <c r="X13">
        <f>Learn3!D12</f>
        <v>17</v>
      </c>
      <c r="Y13">
        <f>Learn4!D12</f>
        <v>26</v>
      </c>
      <c r="Z13">
        <f>Learn5!D12</f>
        <v>21</v>
      </c>
      <c r="AA13">
        <f t="shared" si="7"/>
        <v>21</v>
      </c>
      <c r="AB13">
        <f t="shared" si="8"/>
        <v>22.6</v>
      </c>
      <c r="AC13">
        <f t="shared" si="9"/>
        <v>26</v>
      </c>
      <c r="AE13">
        <v>10</v>
      </c>
      <c r="AF13">
        <f t="shared" si="18"/>
        <v>28.833333333333332</v>
      </c>
      <c r="AG13">
        <f t="shared" si="17"/>
        <v>29.5</v>
      </c>
      <c r="AH13">
        <f t="shared" si="17"/>
        <v>55.5</v>
      </c>
      <c r="AI13">
        <f t="shared" si="17"/>
        <v>55.333333333333336</v>
      </c>
      <c r="AJ13">
        <f t="shared" si="17"/>
        <v>19.666666666666668</v>
      </c>
      <c r="AK13">
        <f t="shared" si="11"/>
        <v>19.666666666666668</v>
      </c>
      <c r="AL13">
        <f t="shared" si="12"/>
        <v>37.766666666666666</v>
      </c>
      <c r="AM13">
        <f t="shared" si="13"/>
        <v>55.5</v>
      </c>
    </row>
    <row r="14" spans="1:39" x14ac:dyDescent="0.25">
      <c r="A14">
        <v>11</v>
      </c>
      <c r="B14">
        <f>Learn1!H13</f>
        <v>1</v>
      </c>
      <c r="C14">
        <f>Learn2!H13</f>
        <v>0</v>
      </c>
      <c r="D14">
        <f>Learn3!H13</f>
        <v>11</v>
      </c>
      <c r="E14">
        <f>Learn4!H13</f>
        <v>4</v>
      </c>
      <c r="F14">
        <f>Learn5!H13</f>
        <v>2</v>
      </c>
      <c r="G14">
        <f t="shared" si="1"/>
        <v>1</v>
      </c>
      <c r="H14">
        <f t="shared" si="2"/>
        <v>3.6</v>
      </c>
      <c r="I14">
        <f t="shared" si="3"/>
        <v>4</v>
      </c>
      <c r="K14">
        <v>11</v>
      </c>
      <c r="L14">
        <f>Learn1!$G13</f>
        <v>14</v>
      </c>
      <c r="M14">
        <f>Learn2!$G13</f>
        <v>10</v>
      </c>
      <c r="N14">
        <f>Learn3!$G13</f>
        <v>98</v>
      </c>
      <c r="O14">
        <f>Learn4!$G13</f>
        <v>19</v>
      </c>
      <c r="P14">
        <f>Learn5!$G13</f>
        <v>11</v>
      </c>
      <c r="Q14">
        <f t="shared" si="4"/>
        <v>10</v>
      </c>
      <c r="R14">
        <f t="shared" si="5"/>
        <v>30.4</v>
      </c>
      <c r="S14">
        <f t="shared" si="6"/>
        <v>98</v>
      </c>
      <c r="U14">
        <v>11</v>
      </c>
      <c r="V14">
        <f>Learn1!D13</f>
        <v>15</v>
      </c>
      <c r="W14">
        <f>Learn2!D13</f>
        <v>17</v>
      </c>
      <c r="X14">
        <f>Learn3!D13</f>
        <v>28</v>
      </c>
      <c r="Y14">
        <f>Learn4!D13</f>
        <v>30</v>
      </c>
      <c r="Z14">
        <f>Learn5!D13</f>
        <v>21</v>
      </c>
      <c r="AA14">
        <f t="shared" si="7"/>
        <v>17</v>
      </c>
      <c r="AB14">
        <f t="shared" si="8"/>
        <v>22.2</v>
      </c>
      <c r="AC14">
        <f t="shared" si="9"/>
        <v>28</v>
      </c>
      <c r="AE14">
        <v>11</v>
      </c>
      <c r="AF14">
        <f t="shared" si="18"/>
        <v>14.833333333333334</v>
      </c>
      <c r="AG14">
        <f t="shared" si="17"/>
        <v>14.833333333333334</v>
      </c>
      <c r="AH14">
        <f t="shared" si="17"/>
        <v>69</v>
      </c>
      <c r="AI14">
        <f t="shared" si="17"/>
        <v>56.166666666666664</v>
      </c>
      <c r="AJ14">
        <f t="shared" si="17"/>
        <v>17.166666666666668</v>
      </c>
      <c r="AK14">
        <f t="shared" si="11"/>
        <v>14.833333333333334</v>
      </c>
      <c r="AL14">
        <f t="shared" si="12"/>
        <v>34.4</v>
      </c>
      <c r="AM14">
        <f t="shared" si="13"/>
        <v>69</v>
      </c>
    </row>
    <row r="15" spans="1:39" x14ac:dyDescent="0.25">
      <c r="A15">
        <v>12</v>
      </c>
      <c r="B15">
        <f>Learn1!H14</f>
        <v>0</v>
      </c>
      <c r="C15">
        <f>Learn2!H14</f>
        <v>0</v>
      </c>
      <c r="D15">
        <f>Learn3!H14</f>
        <v>1</v>
      </c>
      <c r="E15">
        <f>Learn4!H14</f>
        <v>0</v>
      </c>
      <c r="F15">
        <f>Learn5!H14</f>
        <v>2</v>
      </c>
      <c r="G15">
        <f t="shared" si="1"/>
        <v>0</v>
      </c>
      <c r="H15">
        <f t="shared" si="2"/>
        <v>0.6</v>
      </c>
      <c r="I15">
        <f t="shared" si="3"/>
        <v>1</v>
      </c>
      <c r="K15">
        <v>12</v>
      </c>
      <c r="L15">
        <f>Learn1!$G14</f>
        <v>14</v>
      </c>
      <c r="M15">
        <f>Learn2!$G14</f>
        <v>14</v>
      </c>
      <c r="N15">
        <f>Learn3!$G14</f>
        <v>15</v>
      </c>
      <c r="O15">
        <f>Learn4!$G14</f>
        <v>14</v>
      </c>
      <c r="P15">
        <f>Learn5!$G14</f>
        <v>9</v>
      </c>
      <c r="Q15">
        <f t="shared" si="4"/>
        <v>9</v>
      </c>
      <c r="R15">
        <f t="shared" si="5"/>
        <v>13.2</v>
      </c>
      <c r="S15">
        <f t="shared" si="6"/>
        <v>15</v>
      </c>
      <c r="U15">
        <v>12</v>
      </c>
      <c r="V15">
        <f>Learn1!D14</f>
        <v>10</v>
      </c>
      <c r="W15">
        <f>Learn2!D14</f>
        <v>13</v>
      </c>
      <c r="X15">
        <f>Learn3!D14</f>
        <v>29</v>
      </c>
      <c r="Y15">
        <f>Learn4!D14</f>
        <v>30</v>
      </c>
      <c r="Z15">
        <f>Learn5!D14</f>
        <v>20</v>
      </c>
      <c r="AA15">
        <f t="shared" si="7"/>
        <v>13</v>
      </c>
      <c r="AB15">
        <f t="shared" si="8"/>
        <v>20.399999999999999</v>
      </c>
      <c r="AC15">
        <f t="shared" si="9"/>
        <v>29</v>
      </c>
      <c r="AE15">
        <v>12</v>
      </c>
      <c r="AF15">
        <f t="shared" si="18"/>
        <v>13.333333333333334</v>
      </c>
      <c r="AG15">
        <f t="shared" si="17"/>
        <v>13.833333333333334</v>
      </c>
      <c r="AH15">
        <f t="shared" si="17"/>
        <v>68.833333333333329</v>
      </c>
      <c r="AI15">
        <f t="shared" si="17"/>
        <v>56</v>
      </c>
      <c r="AJ15">
        <f t="shared" si="17"/>
        <v>15.666666666666666</v>
      </c>
      <c r="AK15">
        <f t="shared" si="11"/>
        <v>13.333333333333334</v>
      </c>
      <c r="AL15">
        <f t="shared" si="12"/>
        <v>33.533333333333331</v>
      </c>
      <c r="AM15">
        <f t="shared" si="13"/>
        <v>68.833333333333329</v>
      </c>
    </row>
    <row r="16" spans="1:39" x14ac:dyDescent="0.25">
      <c r="A16">
        <v>13</v>
      </c>
      <c r="B16">
        <f>Learn1!H15</f>
        <v>0</v>
      </c>
      <c r="C16">
        <f>Learn2!H15</f>
        <v>0</v>
      </c>
      <c r="D16">
        <f>Learn3!H15</f>
        <v>2</v>
      </c>
      <c r="E16">
        <f>Learn4!H15</f>
        <v>0</v>
      </c>
      <c r="F16">
        <f>Learn5!H15</f>
        <v>0</v>
      </c>
      <c r="G16">
        <f t="shared" si="1"/>
        <v>0</v>
      </c>
      <c r="H16">
        <f t="shared" si="2"/>
        <v>0.4</v>
      </c>
      <c r="I16">
        <f t="shared" si="3"/>
        <v>0</v>
      </c>
      <c r="K16">
        <v>13</v>
      </c>
      <c r="L16">
        <f>Learn1!$G15</f>
        <v>20</v>
      </c>
      <c r="M16">
        <f>Learn2!$G15</f>
        <v>13</v>
      </c>
      <c r="N16">
        <f>Learn3!$G15</f>
        <v>11</v>
      </c>
      <c r="O16">
        <f>Learn4!$G15</f>
        <v>7</v>
      </c>
      <c r="P16">
        <f>Learn5!$G15</f>
        <v>10</v>
      </c>
      <c r="Q16">
        <f t="shared" si="4"/>
        <v>7</v>
      </c>
      <c r="R16">
        <f t="shared" si="5"/>
        <v>12.2</v>
      </c>
      <c r="S16">
        <f t="shared" si="6"/>
        <v>20</v>
      </c>
      <c r="U16">
        <v>13</v>
      </c>
      <c r="V16">
        <f>Learn1!D15</f>
        <v>7</v>
      </c>
      <c r="W16">
        <f>Learn2!D15</f>
        <v>10</v>
      </c>
      <c r="X16">
        <f>Learn3!D15</f>
        <v>31</v>
      </c>
      <c r="Y16">
        <f>Learn4!D15</f>
        <v>27</v>
      </c>
      <c r="Z16">
        <f>Learn5!D15</f>
        <v>17</v>
      </c>
      <c r="AA16">
        <f t="shared" si="7"/>
        <v>10</v>
      </c>
      <c r="AB16">
        <f t="shared" si="8"/>
        <v>18.399999999999999</v>
      </c>
      <c r="AC16">
        <f t="shared" si="9"/>
        <v>27</v>
      </c>
      <c r="AE16">
        <v>13</v>
      </c>
      <c r="AF16">
        <f t="shared" ref="AF16:AF52" si="19">AVERAGE(L11:L16)</f>
        <v>14.333333333333334</v>
      </c>
      <c r="AG16">
        <f t="shared" ref="AG16:AG52" si="20">AVERAGE(M11:M16)</f>
        <v>13.833333333333334</v>
      </c>
      <c r="AH16">
        <f t="shared" ref="AH16:AH52" si="21">AVERAGE(N11:N16)</f>
        <v>69</v>
      </c>
      <c r="AI16">
        <f t="shared" ref="AI16:AI52" si="22">AVERAGE(O11:O16)</f>
        <v>54.833333333333336</v>
      </c>
      <c r="AJ16">
        <f t="shared" ref="AJ16:AJ52" si="23">AVERAGE(P11:P16)</f>
        <v>14.166666666666666</v>
      </c>
      <c r="AK16">
        <f t="shared" ref="AK16:AK52" si="24">MIN(AF16:AJ16)</f>
        <v>13.833333333333334</v>
      </c>
      <c r="AL16">
        <f t="shared" ref="AL16:AL53" si="25">AVERAGE(AF16:AJ16)</f>
        <v>33.233333333333334</v>
      </c>
      <c r="AM16">
        <f t="shared" ref="AM16:AM53" si="26">MAX(AF16:AJ16)</f>
        <v>69</v>
      </c>
    </row>
    <row r="17" spans="1:39" x14ac:dyDescent="0.25">
      <c r="A17">
        <v>14</v>
      </c>
      <c r="B17">
        <f>Learn1!H16</f>
        <v>0</v>
      </c>
      <c r="C17">
        <f>Learn2!H16</f>
        <v>0</v>
      </c>
      <c r="D17">
        <f>Learn3!H16</f>
        <v>3</v>
      </c>
      <c r="E17">
        <f>Learn4!H16</f>
        <v>2</v>
      </c>
      <c r="F17">
        <f>Learn5!H16</f>
        <v>0</v>
      </c>
      <c r="G17">
        <f t="shared" si="1"/>
        <v>0</v>
      </c>
      <c r="H17">
        <f t="shared" si="2"/>
        <v>1</v>
      </c>
      <c r="I17">
        <f t="shared" si="3"/>
        <v>2</v>
      </c>
      <c r="K17">
        <v>14</v>
      </c>
      <c r="L17">
        <f>Learn1!$G16</f>
        <v>13</v>
      </c>
      <c r="M17">
        <f>Learn2!$G16</f>
        <v>23</v>
      </c>
      <c r="N17">
        <f>Learn3!$G16</f>
        <v>12</v>
      </c>
      <c r="O17">
        <f>Learn4!$G16</f>
        <v>9</v>
      </c>
      <c r="P17">
        <f>Learn5!$G16</f>
        <v>11</v>
      </c>
      <c r="Q17">
        <f t="shared" si="4"/>
        <v>9</v>
      </c>
      <c r="R17">
        <f t="shared" si="5"/>
        <v>13.6</v>
      </c>
      <c r="S17">
        <f t="shared" si="6"/>
        <v>23</v>
      </c>
      <c r="U17">
        <v>14</v>
      </c>
      <c r="V17">
        <f>Learn1!D16</f>
        <v>4</v>
      </c>
      <c r="W17">
        <f>Learn2!D16</f>
        <v>5</v>
      </c>
      <c r="X17">
        <f>Learn3!D16</f>
        <v>31</v>
      </c>
      <c r="Y17">
        <f>Learn4!D16</f>
        <v>25</v>
      </c>
      <c r="Z17">
        <f>Learn5!D16</f>
        <v>10</v>
      </c>
      <c r="AA17">
        <f t="shared" si="7"/>
        <v>5</v>
      </c>
      <c r="AB17">
        <f t="shared" si="8"/>
        <v>15</v>
      </c>
      <c r="AC17">
        <f t="shared" si="9"/>
        <v>25</v>
      </c>
      <c r="AE17">
        <v>14</v>
      </c>
      <c r="AF17">
        <f t="shared" si="19"/>
        <v>14</v>
      </c>
      <c r="AG17">
        <f t="shared" si="20"/>
        <v>15.333333333333334</v>
      </c>
      <c r="AH17">
        <f t="shared" si="21"/>
        <v>55.5</v>
      </c>
      <c r="AI17">
        <f t="shared" si="22"/>
        <v>40.833333333333336</v>
      </c>
      <c r="AJ17">
        <f t="shared" si="23"/>
        <v>12</v>
      </c>
      <c r="AK17">
        <f t="shared" si="24"/>
        <v>12</v>
      </c>
      <c r="AL17">
        <f t="shared" si="25"/>
        <v>27.533333333333339</v>
      </c>
      <c r="AM17">
        <f t="shared" si="26"/>
        <v>55.5</v>
      </c>
    </row>
    <row r="18" spans="1:39" x14ac:dyDescent="0.25">
      <c r="A18">
        <v>15</v>
      </c>
      <c r="B18">
        <f>Learn1!H17</f>
        <v>0</v>
      </c>
      <c r="C18">
        <f>Learn2!H17</f>
        <v>3</v>
      </c>
      <c r="D18">
        <f>Learn3!H17</f>
        <v>2</v>
      </c>
      <c r="E18">
        <f>Learn4!H17</f>
        <v>2</v>
      </c>
      <c r="F18">
        <f>Learn5!H17</f>
        <v>0</v>
      </c>
      <c r="G18">
        <f t="shared" si="1"/>
        <v>0</v>
      </c>
      <c r="H18">
        <f t="shared" si="2"/>
        <v>1.4</v>
      </c>
      <c r="I18">
        <f t="shared" si="3"/>
        <v>2</v>
      </c>
      <c r="K18">
        <v>15</v>
      </c>
      <c r="L18">
        <f>Learn1!$G17</f>
        <v>25</v>
      </c>
      <c r="M18">
        <f>Learn2!$G17</f>
        <v>100</v>
      </c>
      <c r="N18">
        <f>Learn3!$G17</f>
        <v>8</v>
      </c>
      <c r="O18">
        <f>Learn4!$G17</f>
        <v>17</v>
      </c>
      <c r="P18">
        <f>Learn5!$G17</f>
        <v>14</v>
      </c>
      <c r="Q18">
        <f t="shared" si="4"/>
        <v>8</v>
      </c>
      <c r="R18">
        <f t="shared" si="5"/>
        <v>32.799999999999997</v>
      </c>
      <c r="S18">
        <f t="shared" si="6"/>
        <v>100</v>
      </c>
      <c r="U18">
        <v>15</v>
      </c>
      <c r="V18">
        <f>Learn1!D17</f>
        <v>3</v>
      </c>
      <c r="W18">
        <f>Learn2!D17</f>
        <v>4</v>
      </c>
      <c r="X18">
        <f>Learn3!D17</f>
        <v>28</v>
      </c>
      <c r="Y18">
        <f>Learn4!D17</f>
        <v>17</v>
      </c>
      <c r="Z18">
        <f>Learn5!D17</f>
        <v>7</v>
      </c>
      <c r="AA18">
        <f t="shared" si="7"/>
        <v>4</v>
      </c>
      <c r="AB18">
        <f t="shared" si="8"/>
        <v>11.8</v>
      </c>
      <c r="AC18">
        <f t="shared" si="9"/>
        <v>17</v>
      </c>
      <c r="AE18">
        <v>15</v>
      </c>
      <c r="AF18">
        <f t="shared" si="19"/>
        <v>16.5</v>
      </c>
      <c r="AG18">
        <f t="shared" si="20"/>
        <v>29.666666666666668</v>
      </c>
      <c r="AH18">
        <f t="shared" si="21"/>
        <v>40.333333333333336</v>
      </c>
      <c r="AI18">
        <f t="shared" si="22"/>
        <v>27.333333333333332</v>
      </c>
      <c r="AJ18">
        <f t="shared" si="23"/>
        <v>11.5</v>
      </c>
      <c r="AK18">
        <f t="shared" si="24"/>
        <v>11.5</v>
      </c>
      <c r="AL18">
        <f t="shared" si="25"/>
        <v>25.066666666666666</v>
      </c>
      <c r="AM18">
        <f t="shared" si="26"/>
        <v>40.333333333333336</v>
      </c>
    </row>
    <row r="19" spans="1:39" x14ac:dyDescent="0.25">
      <c r="A19">
        <v>16</v>
      </c>
      <c r="B19">
        <f>Learn1!H18</f>
        <v>2</v>
      </c>
      <c r="C19">
        <f>Learn2!H18</f>
        <v>1</v>
      </c>
      <c r="D19">
        <f>Learn3!H18</f>
        <v>1</v>
      </c>
      <c r="E19">
        <f>Learn4!H18</f>
        <v>4</v>
      </c>
      <c r="F19">
        <f>Learn5!H18</f>
        <v>0</v>
      </c>
      <c r="G19">
        <f t="shared" si="1"/>
        <v>1</v>
      </c>
      <c r="H19">
        <f t="shared" si="2"/>
        <v>1.6</v>
      </c>
      <c r="I19">
        <f t="shared" si="3"/>
        <v>2</v>
      </c>
      <c r="K19">
        <v>16</v>
      </c>
      <c r="L19">
        <f>Learn1!$G18</f>
        <v>100</v>
      </c>
      <c r="M19">
        <f>Learn2!$G18</f>
        <v>100</v>
      </c>
      <c r="N19">
        <f>Learn3!$G18</f>
        <v>16</v>
      </c>
      <c r="O19">
        <f>Learn4!$G18</f>
        <v>94</v>
      </c>
      <c r="P19">
        <f>Learn5!$G18</f>
        <v>16</v>
      </c>
      <c r="Q19">
        <f t="shared" si="4"/>
        <v>16</v>
      </c>
      <c r="R19">
        <f t="shared" si="5"/>
        <v>65.2</v>
      </c>
      <c r="S19">
        <f t="shared" si="6"/>
        <v>100</v>
      </c>
      <c r="U19">
        <v>16</v>
      </c>
      <c r="V19">
        <f>Learn1!D18</f>
        <v>3</v>
      </c>
      <c r="W19">
        <f>Learn2!D18</f>
        <v>4</v>
      </c>
      <c r="X19">
        <f>Learn3!D18</f>
        <v>20</v>
      </c>
      <c r="Y19">
        <f>Learn4!D18</f>
        <v>12</v>
      </c>
      <c r="Z19">
        <f>Learn5!D18</f>
        <v>4</v>
      </c>
      <c r="AA19">
        <f t="shared" si="7"/>
        <v>4</v>
      </c>
      <c r="AB19">
        <f t="shared" si="8"/>
        <v>8.6</v>
      </c>
      <c r="AC19">
        <f t="shared" si="9"/>
        <v>12</v>
      </c>
      <c r="AE19">
        <v>16</v>
      </c>
      <c r="AF19">
        <f t="shared" si="19"/>
        <v>31</v>
      </c>
      <c r="AG19">
        <f t="shared" si="20"/>
        <v>43.333333333333336</v>
      </c>
      <c r="AH19">
        <f t="shared" si="21"/>
        <v>26.666666666666668</v>
      </c>
      <c r="AI19">
        <f t="shared" si="22"/>
        <v>26.666666666666668</v>
      </c>
      <c r="AJ19">
        <f t="shared" si="23"/>
        <v>11.833333333333334</v>
      </c>
      <c r="AK19">
        <f t="shared" si="24"/>
        <v>11.833333333333334</v>
      </c>
      <c r="AL19">
        <f t="shared" si="25"/>
        <v>27.900000000000006</v>
      </c>
      <c r="AM19">
        <f t="shared" si="26"/>
        <v>43.333333333333336</v>
      </c>
    </row>
    <row r="20" spans="1:39" x14ac:dyDescent="0.25">
      <c r="A20">
        <v>17</v>
      </c>
      <c r="B20">
        <f>Learn1!H19</f>
        <v>1</v>
      </c>
      <c r="C20">
        <f>Learn2!H19</f>
        <v>0</v>
      </c>
      <c r="D20">
        <f>Learn3!H19</f>
        <v>0</v>
      </c>
      <c r="E20">
        <f>Learn4!H19</f>
        <v>3</v>
      </c>
      <c r="F20">
        <f>Learn5!H19</f>
        <v>1</v>
      </c>
      <c r="G20">
        <f t="shared" si="1"/>
        <v>0</v>
      </c>
      <c r="H20">
        <f t="shared" si="2"/>
        <v>1</v>
      </c>
      <c r="I20">
        <f t="shared" si="3"/>
        <v>1</v>
      </c>
      <c r="K20">
        <v>17</v>
      </c>
      <c r="L20">
        <f>Learn1!$G19</f>
        <v>100</v>
      </c>
      <c r="M20">
        <f>Learn2!$G19</f>
        <v>100</v>
      </c>
      <c r="N20">
        <f>Learn3!$G19</f>
        <v>2</v>
      </c>
      <c r="O20">
        <f>Learn4!$G19</f>
        <v>99</v>
      </c>
      <c r="P20">
        <f>Learn5!$G19</f>
        <v>95</v>
      </c>
      <c r="Q20">
        <f t="shared" si="4"/>
        <v>2</v>
      </c>
      <c r="R20">
        <f t="shared" si="5"/>
        <v>79.2</v>
      </c>
      <c r="S20">
        <f t="shared" si="6"/>
        <v>100</v>
      </c>
      <c r="U20">
        <v>17</v>
      </c>
      <c r="V20">
        <f>Learn1!D19</f>
        <v>3</v>
      </c>
      <c r="W20">
        <f>Learn2!D19</f>
        <v>4</v>
      </c>
      <c r="X20">
        <f>Learn3!D19</f>
        <v>9</v>
      </c>
      <c r="Y20">
        <f>Learn4!D19</f>
        <v>11</v>
      </c>
      <c r="Z20">
        <f>Learn5!D19</f>
        <v>3</v>
      </c>
      <c r="AA20">
        <f t="shared" si="7"/>
        <v>3</v>
      </c>
      <c r="AB20">
        <f t="shared" si="8"/>
        <v>6</v>
      </c>
      <c r="AC20">
        <f t="shared" si="9"/>
        <v>9</v>
      </c>
      <c r="AE20">
        <v>17</v>
      </c>
      <c r="AF20">
        <f t="shared" si="19"/>
        <v>45.333333333333336</v>
      </c>
      <c r="AG20">
        <f t="shared" si="20"/>
        <v>58.333333333333336</v>
      </c>
      <c r="AH20">
        <f t="shared" si="21"/>
        <v>10.666666666666666</v>
      </c>
      <c r="AI20">
        <f t="shared" si="22"/>
        <v>40</v>
      </c>
      <c r="AJ20">
        <f t="shared" si="23"/>
        <v>25.833333333333332</v>
      </c>
      <c r="AK20">
        <f t="shared" si="24"/>
        <v>10.666666666666666</v>
      </c>
      <c r="AL20">
        <f t="shared" si="25"/>
        <v>36.033333333333339</v>
      </c>
      <c r="AM20">
        <f t="shared" si="26"/>
        <v>58.333333333333336</v>
      </c>
    </row>
    <row r="21" spans="1:39" x14ac:dyDescent="0.25">
      <c r="A21">
        <v>18</v>
      </c>
      <c r="B21">
        <f>Learn1!H20</f>
        <v>0</v>
      </c>
      <c r="C21">
        <f>Learn2!H20</f>
        <v>2</v>
      </c>
      <c r="D21">
        <f>Learn3!H20</f>
        <v>0</v>
      </c>
      <c r="E21">
        <f>Learn4!H20</f>
        <v>0</v>
      </c>
      <c r="F21">
        <f>Learn5!H20</f>
        <v>0</v>
      </c>
      <c r="G21">
        <f t="shared" si="1"/>
        <v>0</v>
      </c>
      <c r="H21">
        <f t="shared" si="2"/>
        <v>0.4</v>
      </c>
      <c r="I21">
        <f t="shared" si="3"/>
        <v>0</v>
      </c>
      <c r="K21">
        <v>18</v>
      </c>
      <c r="L21">
        <f>Learn1!$G20</f>
        <v>100</v>
      </c>
      <c r="M21">
        <f>Learn2!$G20</f>
        <v>100</v>
      </c>
      <c r="N21">
        <f>Learn3!$G20</f>
        <v>13</v>
      </c>
      <c r="O21">
        <f>Learn4!$G20</f>
        <v>11</v>
      </c>
      <c r="P21">
        <f>Learn5!$G20</f>
        <v>98</v>
      </c>
      <c r="Q21">
        <f t="shared" si="4"/>
        <v>11</v>
      </c>
      <c r="R21">
        <f t="shared" si="5"/>
        <v>64.400000000000006</v>
      </c>
      <c r="S21">
        <f t="shared" si="6"/>
        <v>100</v>
      </c>
      <c r="U21">
        <v>18</v>
      </c>
      <c r="V21">
        <f>Learn1!D20</f>
        <v>3</v>
      </c>
      <c r="W21">
        <f>Learn2!D20</f>
        <v>6</v>
      </c>
      <c r="X21">
        <f>Learn3!D20</f>
        <v>8</v>
      </c>
      <c r="Y21">
        <f>Learn4!D20</f>
        <v>11</v>
      </c>
      <c r="Z21">
        <f>Learn5!D20</f>
        <v>1</v>
      </c>
      <c r="AA21">
        <f t="shared" si="7"/>
        <v>3</v>
      </c>
      <c r="AB21">
        <f t="shared" si="8"/>
        <v>5.8</v>
      </c>
      <c r="AC21">
        <f t="shared" si="9"/>
        <v>8</v>
      </c>
      <c r="AE21">
        <v>18</v>
      </c>
      <c r="AF21">
        <f t="shared" si="19"/>
        <v>59.666666666666664</v>
      </c>
      <c r="AG21">
        <f t="shared" si="20"/>
        <v>72.666666666666671</v>
      </c>
      <c r="AH21">
        <f t="shared" si="21"/>
        <v>10.333333333333334</v>
      </c>
      <c r="AI21">
        <f t="shared" si="22"/>
        <v>39.5</v>
      </c>
      <c r="AJ21">
        <f t="shared" si="23"/>
        <v>40.666666666666664</v>
      </c>
      <c r="AK21">
        <f t="shared" si="24"/>
        <v>10.333333333333334</v>
      </c>
      <c r="AL21">
        <f t="shared" si="25"/>
        <v>44.56666666666667</v>
      </c>
      <c r="AM21">
        <f t="shared" si="26"/>
        <v>72.666666666666671</v>
      </c>
    </row>
    <row r="22" spans="1:39" x14ac:dyDescent="0.25">
      <c r="A22">
        <v>19</v>
      </c>
      <c r="B22">
        <f>Learn1!H21</f>
        <v>1</v>
      </c>
      <c r="C22">
        <f>Learn2!H21</f>
        <v>0</v>
      </c>
      <c r="D22">
        <f>Learn3!H21</f>
        <v>0</v>
      </c>
      <c r="E22">
        <f>Learn4!H21</f>
        <v>0</v>
      </c>
      <c r="F22">
        <f>Learn5!H21</f>
        <v>1</v>
      </c>
      <c r="G22">
        <f t="shared" si="1"/>
        <v>0</v>
      </c>
      <c r="H22">
        <f t="shared" si="2"/>
        <v>0.4</v>
      </c>
      <c r="I22">
        <f t="shared" si="3"/>
        <v>1</v>
      </c>
      <c r="K22">
        <v>19</v>
      </c>
      <c r="L22">
        <f>Learn1!$G21</f>
        <v>100</v>
      </c>
      <c r="M22">
        <f>Learn2!$G21</f>
        <v>20</v>
      </c>
      <c r="N22">
        <f>Learn3!$G21</f>
        <v>1</v>
      </c>
      <c r="O22">
        <f>Learn4!$G21</f>
        <v>10</v>
      </c>
      <c r="P22">
        <f>Learn5!$G21</f>
        <v>98</v>
      </c>
      <c r="Q22">
        <f t="shared" si="4"/>
        <v>1</v>
      </c>
      <c r="R22">
        <f t="shared" si="5"/>
        <v>45.8</v>
      </c>
      <c r="S22">
        <f t="shared" si="6"/>
        <v>100</v>
      </c>
      <c r="U22">
        <v>19</v>
      </c>
      <c r="V22">
        <f>Learn1!D21</f>
        <v>4</v>
      </c>
      <c r="W22">
        <f>Learn2!D21</f>
        <v>6</v>
      </c>
      <c r="X22">
        <f>Learn3!D21</f>
        <v>6</v>
      </c>
      <c r="Y22">
        <f>Learn4!D21</f>
        <v>11</v>
      </c>
      <c r="Z22">
        <f>Learn5!D21</f>
        <v>2</v>
      </c>
      <c r="AA22">
        <f t="shared" si="7"/>
        <v>4</v>
      </c>
      <c r="AB22">
        <f t="shared" si="8"/>
        <v>5.8</v>
      </c>
      <c r="AC22">
        <f t="shared" si="9"/>
        <v>6</v>
      </c>
      <c r="AE22">
        <v>19</v>
      </c>
      <c r="AF22">
        <f t="shared" si="19"/>
        <v>73</v>
      </c>
      <c r="AG22">
        <f t="shared" si="20"/>
        <v>73.833333333333329</v>
      </c>
      <c r="AH22">
        <f t="shared" si="21"/>
        <v>8.6666666666666661</v>
      </c>
      <c r="AI22">
        <f t="shared" si="22"/>
        <v>40</v>
      </c>
      <c r="AJ22">
        <f t="shared" si="23"/>
        <v>55.333333333333336</v>
      </c>
      <c r="AK22">
        <f t="shared" si="24"/>
        <v>8.6666666666666661</v>
      </c>
      <c r="AL22">
        <f t="shared" si="25"/>
        <v>50.166666666666664</v>
      </c>
      <c r="AM22">
        <f t="shared" si="26"/>
        <v>73.833333333333329</v>
      </c>
    </row>
    <row r="23" spans="1:39" x14ac:dyDescent="0.25">
      <c r="A23">
        <v>20</v>
      </c>
      <c r="B23">
        <f>Learn1!H22</f>
        <v>0</v>
      </c>
      <c r="C23">
        <f>Learn2!H22</f>
        <v>0</v>
      </c>
      <c r="D23">
        <f>Learn3!H22</f>
        <v>0</v>
      </c>
      <c r="E23">
        <f>Learn4!H22</f>
        <v>0</v>
      </c>
      <c r="F23">
        <f>Learn5!H22</f>
        <v>2</v>
      </c>
      <c r="G23">
        <f t="shared" si="1"/>
        <v>0</v>
      </c>
      <c r="H23">
        <f t="shared" si="2"/>
        <v>0.4</v>
      </c>
      <c r="I23">
        <f t="shared" si="3"/>
        <v>0</v>
      </c>
      <c r="K23">
        <v>20</v>
      </c>
      <c r="L23">
        <f>Learn1!$G22</f>
        <v>18</v>
      </c>
      <c r="M23">
        <f>Learn2!$G22</f>
        <v>30</v>
      </c>
      <c r="N23">
        <f>Learn3!$G22</f>
        <v>15</v>
      </c>
      <c r="O23">
        <f>Learn4!$G22</f>
        <v>14</v>
      </c>
      <c r="P23">
        <f>Learn5!$G22</f>
        <v>98</v>
      </c>
      <c r="Q23">
        <f t="shared" si="4"/>
        <v>14</v>
      </c>
      <c r="R23">
        <f t="shared" si="5"/>
        <v>35</v>
      </c>
      <c r="S23">
        <f t="shared" si="6"/>
        <v>98</v>
      </c>
      <c r="U23">
        <v>20</v>
      </c>
      <c r="V23">
        <f>Learn1!D22</f>
        <v>4</v>
      </c>
      <c r="W23">
        <f>Learn2!D22</f>
        <v>6</v>
      </c>
      <c r="X23">
        <f>Learn3!D22</f>
        <v>3</v>
      </c>
      <c r="Y23">
        <f>Learn4!D22</f>
        <v>9</v>
      </c>
      <c r="Z23">
        <f>Learn5!D22</f>
        <v>4</v>
      </c>
      <c r="AA23">
        <f t="shared" si="7"/>
        <v>4</v>
      </c>
      <c r="AB23">
        <f t="shared" si="8"/>
        <v>5.2</v>
      </c>
      <c r="AC23">
        <f t="shared" si="9"/>
        <v>6</v>
      </c>
      <c r="AE23">
        <v>20</v>
      </c>
      <c r="AF23">
        <f t="shared" si="19"/>
        <v>73.833333333333329</v>
      </c>
      <c r="AG23">
        <f t="shared" si="20"/>
        <v>75</v>
      </c>
      <c r="AH23">
        <f t="shared" si="21"/>
        <v>9.1666666666666661</v>
      </c>
      <c r="AI23">
        <f t="shared" si="22"/>
        <v>40.833333333333336</v>
      </c>
      <c r="AJ23">
        <f t="shared" si="23"/>
        <v>69.833333333333329</v>
      </c>
      <c r="AK23">
        <f t="shared" si="24"/>
        <v>9.1666666666666661</v>
      </c>
      <c r="AL23">
        <f t="shared" si="25"/>
        <v>53.733333333333327</v>
      </c>
      <c r="AM23">
        <f t="shared" si="26"/>
        <v>75</v>
      </c>
    </row>
    <row r="24" spans="1:39" x14ac:dyDescent="0.25">
      <c r="A24">
        <v>21</v>
      </c>
      <c r="B24">
        <f>Learn1!H23</f>
        <v>0</v>
      </c>
      <c r="C24">
        <f>Learn2!H23</f>
        <v>2</v>
      </c>
      <c r="D24">
        <f>Learn3!H23</f>
        <v>1</v>
      </c>
      <c r="E24">
        <f>Learn4!H23</f>
        <v>0</v>
      </c>
      <c r="F24">
        <f>Learn5!H23</f>
        <v>0</v>
      </c>
      <c r="G24">
        <f t="shared" si="1"/>
        <v>0</v>
      </c>
      <c r="H24">
        <f t="shared" si="2"/>
        <v>0.6</v>
      </c>
      <c r="I24">
        <f t="shared" si="3"/>
        <v>1</v>
      </c>
      <c r="K24">
        <v>21</v>
      </c>
      <c r="L24">
        <f>Learn1!$G23</f>
        <v>23</v>
      </c>
      <c r="M24">
        <f>Learn2!$G23</f>
        <v>99</v>
      </c>
      <c r="N24">
        <f>Learn3!$G23</f>
        <v>97</v>
      </c>
      <c r="O24">
        <f>Learn4!$G23</f>
        <v>19</v>
      </c>
      <c r="P24">
        <f>Learn5!$G23</f>
        <v>26</v>
      </c>
      <c r="Q24">
        <f t="shared" si="4"/>
        <v>19</v>
      </c>
      <c r="R24">
        <f t="shared" si="5"/>
        <v>52.8</v>
      </c>
      <c r="S24">
        <f t="shared" si="6"/>
        <v>99</v>
      </c>
      <c r="U24">
        <v>21</v>
      </c>
      <c r="V24">
        <f>Learn1!D23</f>
        <v>4</v>
      </c>
      <c r="W24">
        <f>Learn2!D23</f>
        <v>5</v>
      </c>
      <c r="X24">
        <f>Learn3!D23</f>
        <v>2</v>
      </c>
      <c r="Y24">
        <f>Learn4!D23</f>
        <v>7</v>
      </c>
      <c r="Z24">
        <f>Learn5!D23</f>
        <v>4</v>
      </c>
      <c r="AA24">
        <f t="shared" si="7"/>
        <v>4</v>
      </c>
      <c r="AB24">
        <f t="shared" si="8"/>
        <v>4.4000000000000004</v>
      </c>
      <c r="AC24">
        <f t="shared" si="9"/>
        <v>5</v>
      </c>
      <c r="AE24">
        <v>21</v>
      </c>
      <c r="AF24">
        <f t="shared" si="19"/>
        <v>73.5</v>
      </c>
      <c r="AG24">
        <f t="shared" si="20"/>
        <v>74.833333333333329</v>
      </c>
      <c r="AH24">
        <f t="shared" si="21"/>
        <v>24</v>
      </c>
      <c r="AI24">
        <f t="shared" si="22"/>
        <v>41.166666666666664</v>
      </c>
      <c r="AJ24">
        <f t="shared" si="23"/>
        <v>71.833333333333329</v>
      </c>
      <c r="AK24">
        <f t="shared" si="24"/>
        <v>24</v>
      </c>
      <c r="AL24">
        <f t="shared" si="25"/>
        <v>57.066666666666663</v>
      </c>
      <c r="AM24">
        <f t="shared" si="26"/>
        <v>74.833333333333329</v>
      </c>
    </row>
    <row r="25" spans="1:39" x14ac:dyDescent="0.25">
      <c r="A25">
        <v>22</v>
      </c>
      <c r="B25">
        <f>Learn1!H24</f>
        <v>4</v>
      </c>
      <c r="C25">
        <f>Learn2!H24</f>
        <v>0</v>
      </c>
      <c r="D25">
        <f>Learn3!H24</f>
        <v>0</v>
      </c>
      <c r="E25">
        <f>Learn4!H24</f>
        <v>4</v>
      </c>
      <c r="F25">
        <f>Learn5!H24</f>
        <v>2</v>
      </c>
      <c r="G25">
        <f t="shared" si="1"/>
        <v>0</v>
      </c>
      <c r="H25">
        <f t="shared" si="2"/>
        <v>2</v>
      </c>
      <c r="I25">
        <f t="shared" si="3"/>
        <v>4</v>
      </c>
      <c r="K25">
        <v>22</v>
      </c>
      <c r="L25">
        <f>Learn1!$G24</f>
        <v>99</v>
      </c>
      <c r="M25">
        <f>Learn2!$G24</f>
        <v>13</v>
      </c>
      <c r="N25">
        <f>Learn3!$G24</f>
        <v>98</v>
      </c>
      <c r="O25">
        <f>Learn4!$G24</f>
        <v>95</v>
      </c>
      <c r="P25">
        <f>Learn5!$G24</f>
        <v>97</v>
      </c>
      <c r="Q25">
        <f t="shared" si="4"/>
        <v>13</v>
      </c>
      <c r="R25">
        <f t="shared" si="5"/>
        <v>80.400000000000006</v>
      </c>
      <c r="S25">
        <f t="shared" si="6"/>
        <v>99</v>
      </c>
      <c r="U25">
        <v>22</v>
      </c>
      <c r="V25">
        <f>Learn1!D24</f>
        <v>6</v>
      </c>
      <c r="W25">
        <f>Learn2!D24</f>
        <v>4</v>
      </c>
      <c r="X25">
        <f>Learn3!D24</f>
        <v>1</v>
      </c>
      <c r="Y25">
        <f>Learn4!D24</f>
        <v>7</v>
      </c>
      <c r="Z25">
        <f>Learn5!D24</f>
        <v>6</v>
      </c>
      <c r="AA25">
        <f t="shared" si="7"/>
        <v>4</v>
      </c>
      <c r="AB25">
        <f t="shared" si="8"/>
        <v>4.8</v>
      </c>
      <c r="AC25">
        <f t="shared" si="9"/>
        <v>6</v>
      </c>
      <c r="AE25">
        <v>22</v>
      </c>
      <c r="AF25">
        <f t="shared" si="19"/>
        <v>73.333333333333329</v>
      </c>
      <c r="AG25">
        <f t="shared" si="20"/>
        <v>60.333333333333336</v>
      </c>
      <c r="AH25">
        <f t="shared" si="21"/>
        <v>37.666666666666664</v>
      </c>
      <c r="AI25">
        <f t="shared" si="22"/>
        <v>41.333333333333336</v>
      </c>
      <c r="AJ25">
        <f t="shared" si="23"/>
        <v>85.333333333333329</v>
      </c>
      <c r="AK25">
        <f t="shared" si="24"/>
        <v>37.666666666666664</v>
      </c>
      <c r="AL25">
        <f t="shared" si="25"/>
        <v>59.6</v>
      </c>
      <c r="AM25">
        <f t="shared" si="26"/>
        <v>85.333333333333329</v>
      </c>
    </row>
    <row r="26" spans="1:39" x14ac:dyDescent="0.25">
      <c r="A26">
        <v>23</v>
      </c>
      <c r="B26">
        <f>Learn1!H25</f>
        <v>0</v>
      </c>
      <c r="C26">
        <f>Learn2!H25</f>
        <v>0</v>
      </c>
      <c r="D26">
        <f>Learn3!H25</f>
        <v>0</v>
      </c>
      <c r="E26">
        <f>Learn4!H25</f>
        <v>2</v>
      </c>
      <c r="F26">
        <f>Learn5!H25</f>
        <v>0</v>
      </c>
      <c r="G26">
        <f t="shared" si="1"/>
        <v>0</v>
      </c>
      <c r="H26">
        <f t="shared" si="2"/>
        <v>0.4</v>
      </c>
      <c r="I26">
        <f t="shared" si="3"/>
        <v>0</v>
      </c>
      <c r="K26">
        <v>23</v>
      </c>
      <c r="L26">
        <f>Learn1!$G25</f>
        <v>22</v>
      </c>
      <c r="M26">
        <f>Learn2!$G25</f>
        <v>98</v>
      </c>
      <c r="N26">
        <f>Learn3!$G25</f>
        <v>98</v>
      </c>
      <c r="O26">
        <f>Learn4!$G25</f>
        <v>98</v>
      </c>
      <c r="P26">
        <f>Learn5!$G25</f>
        <v>26</v>
      </c>
      <c r="Q26">
        <f t="shared" si="4"/>
        <v>22</v>
      </c>
      <c r="R26">
        <f t="shared" si="5"/>
        <v>68.400000000000006</v>
      </c>
      <c r="S26">
        <f t="shared" si="6"/>
        <v>98</v>
      </c>
      <c r="U26">
        <v>23</v>
      </c>
      <c r="V26">
        <f>Learn1!D25</f>
        <v>5</v>
      </c>
      <c r="W26">
        <f>Learn2!D25</f>
        <v>4</v>
      </c>
      <c r="X26">
        <f>Learn3!D25</f>
        <v>1</v>
      </c>
      <c r="Y26">
        <f>Learn4!D25</f>
        <v>6</v>
      </c>
      <c r="Z26">
        <f>Learn5!D25</f>
        <v>5</v>
      </c>
      <c r="AA26">
        <f t="shared" si="7"/>
        <v>4</v>
      </c>
      <c r="AB26">
        <f t="shared" si="8"/>
        <v>4.2</v>
      </c>
      <c r="AC26">
        <f t="shared" si="9"/>
        <v>5</v>
      </c>
      <c r="AE26">
        <v>23</v>
      </c>
      <c r="AF26">
        <f t="shared" si="19"/>
        <v>60.333333333333336</v>
      </c>
      <c r="AG26">
        <f t="shared" si="20"/>
        <v>60</v>
      </c>
      <c r="AH26">
        <f t="shared" si="21"/>
        <v>53.666666666666664</v>
      </c>
      <c r="AI26">
        <f t="shared" si="22"/>
        <v>41.166666666666664</v>
      </c>
      <c r="AJ26">
        <f t="shared" si="23"/>
        <v>73.833333333333329</v>
      </c>
      <c r="AK26">
        <f t="shared" si="24"/>
        <v>41.166666666666664</v>
      </c>
      <c r="AL26">
        <f t="shared" si="25"/>
        <v>57.8</v>
      </c>
      <c r="AM26">
        <f t="shared" si="26"/>
        <v>73.833333333333329</v>
      </c>
    </row>
    <row r="27" spans="1:39" x14ac:dyDescent="0.25">
      <c r="A27">
        <v>24</v>
      </c>
      <c r="B27">
        <f>Learn1!H26</f>
        <v>0</v>
      </c>
      <c r="C27">
        <f>Learn2!H26</f>
        <v>1</v>
      </c>
      <c r="D27">
        <f>Learn3!H26</f>
        <v>0</v>
      </c>
      <c r="E27">
        <f>Learn4!H26</f>
        <v>1</v>
      </c>
      <c r="F27">
        <f>Learn5!H26</f>
        <v>0</v>
      </c>
      <c r="G27">
        <f t="shared" si="1"/>
        <v>0</v>
      </c>
      <c r="H27">
        <f t="shared" si="2"/>
        <v>0.4</v>
      </c>
      <c r="I27">
        <f t="shared" si="3"/>
        <v>1</v>
      </c>
      <c r="K27">
        <v>24</v>
      </c>
      <c r="L27">
        <f>Learn1!$G26</f>
        <v>99</v>
      </c>
      <c r="M27">
        <f>Learn2!$G26</f>
        <v>100</v>
      </c>
      <c r="N27">
        <f>Learn3!$G26</f>
        <v>98</v>
      </c>
      <c r="O27">
        <f>Learn4!$G26</f>
        <v>98</v>
      </c>
      <c r="P27">
        <f>Learn5!$G26</f>
        <v>20</v>
      </c>
      <c r="Q27">
        <f t="shared" si="4"/>
        <v>20</v>
      </c>
      <c r="R27">
        <f t="shared" si="5"/>
        <v>83</v>
      </c>
      <c r="S27">
        <f t="shared" si="6"/>
        <v>100</v>
      </c>
      <c r="U27">
        <v>24</v>
      </c>
      <c r="V27">
        <f>Learn1!D26</f>
        <v>5</v>
      </c>
      <c r="W27">
        <f>Learn2!D26</f>
        <v>3</v>
      </c>
      <c r="X27">
        <f>Learn3!D26</f>
        <v>1</v>
      </c>
      <c r="Y27">
        <f>Learn4!D26</f>
        <v>7</v>
      </c>
      <c r="Z27">
        <f>Learn5!D26</f>
        <v>5</v>
      </c>
      <c r="AA27">
        <f t="shared" si="7"/>
        <v>3</v>
      </c>
      <c r="AB27">
        <f t="shared" si="8"/>
        <v>4.2</v>
      </c>
      <c r="AC27">
        <f t="shared" si="9"/>
        <v>5</v>
      </c>
      <c r="AE27">
        <v>24</v>
      </c>
      <c r="AF27">
        <f t="shared" si="19"/>
        <v>60.166666666666664</v>
      </c>
      <c r="AG27">
        <f t="shared" si="20"/>
        <v>60</v>
      </c>
      <c r="AH27">
        <f t="shared" si="21"/>
        <v>67.833333333333329</v>
      </c>
      <c r="AI27">
        <f t="shared" si="22"/>
        <v>55.666666666666664</v>
      </c>
      <c r="AJ27">
        <f t="shared" si="23"/>
        <v>60.833333333333336</v>
      </c>
      <c r="AK27">
        <f t="shared" si="24"/>
        <v>55.666666666666664</v>
      </c>
      <c r="AL27">
        <f t="shared" si="25"/>
        <v>60.9</v>
      </c>
      <c r="AM27">
        <f t="shared" si="26"/>
        <v>67.833333333333329</v>
      </c>
    </row>
    <row r="28" spans="1:39" x14ac:dyDescent="0.25">
      <c r="A28">
        <v>25</v>
      </c>
      <c r="B28">
        <f>Learn1!H27</f>
        <v>2</v>
      </c>
      <c r="C28">
        <f>Learn2!H27</f>
        <v>0</v>
      </c>
      <c r="D28">
        <f>Learn3!H27</f>
        <v>0</v>
      </c>
      <c r="E28">
        <f>Learn4!H27</f>
        <v>5</v>
      </c>
      <c r="F28">
        <f>Learn5!H27</f>
        <v>2</v>
      </c>
      <c r="G28">
        <f t="shared" si="1"/>
        <v>0</v>
      </c>
      <c r="H28">
        <f t="shared" si="2"/>
        <v>1.8</v>
      </c>
      <c r="I28">
        <f t="shared" si="3"/>
        <v>2</v>
      </c>
      <c r="K28">
        <v>25</v>
      </c>
      <c r="L28">
        <f>Learn1!$G27</f>
        <v>99</v>
      </c>
      <c r="M28">
        <f>Learn2!$G27</f>
        <v>10</v>
      </c>
      <c r="N28">
        <f>Learn3!$G27</f>
        <v>17</v>
      </c>
      <c r="O28">
        <f>Learn4!$G27</f>
        <v>98</v>
      </c>
      <c r="P28">
        <f>Learn5!$G27</f>
        <v>97</v>
      </c>
      <c r="Q28">
        <f t="shared" si="4"/>
        <v>10</v>
      </c>
      <c r="R28">
        <f t="shared" si="5"/>
        <v>64.2</v>
      </c>
      <c r="S28">
        <f t="shared" si="6"/>
        <v>99</v>
      </c>
      <c r="U28">
        <v>25</v>
      </c>
      <c r="V28">
        <f>Learn1!D27</f>
        <v>6</v>
      </c>
      <c r="W28">
        <f>Learn2!D27</f>
        <v>3</v>
      </c>
      <c r="X28">
        <f>Learn3!D27</f>
        <v>1</v>
      </c>
      <c r="Y28">
        <f>Learn4!D27</f>
        <v>12</v>
      </c>
      <c r="Z28">
        <f>Learn5!D27</f>
        <v>6</v>
      </c>
      <c r="AA28">
        <f t="shared" si="7"/>
        <v>3</v>
      </c>
      <c r="AB28">
        <f t="shared" si="8"/>
        <v>5.6</v>
      </c>
      <c r="AC28">
        <f t="shared" si="9"/>
        <v>6</v>
      </c>
      <c r="AE28">
        <v>25</v>
      </c>
      <c r="AF28">
        <f t="shared" si="19"/>
        <v>60</v>
      </c>
      <c r="AG28">
        <f t="shared" si="20"/>
        <v>58.333333333333336</v>
      </c>
      <c r="AH28">
        <f t="shared" si="21"/>
        <v>70.5</v>
      </c>
      <c r="AI28">
        <f t="shared" si="22"/>
        <v>70.333333333333329</v>
      </c>
      <c r="AJ28">
        <f t="shared" si="23"/>
        <v>60.666666666666664</v>
      </c>
      <c r="AK28">
        <f t="shared" si="24"/>
        <v>58.333333333333336</v>
      </c>
      <c r="AL28">
        <f t="shared" si="25"/>
        <v>63.966666666666676</v>
      </c>
      <c r="AM28">
        <f t="shared" si="26"/>
        <v>70.5</v>
      </c>
    </row>
    <row r="29" spans="1:39" x14ac:dyDescent="0.25">
      <c r="A29">
        <v>26</v>
      </c>
      <c r="B29">
        <f>Learn1!H28</f>
        <v>0</v>
      </c>
      <c r="C29">
        <f>Learn2!H28</f>
        <v>1</v>
      </c>
      <c r="D29">
        <f>Learn3!H28</f>
        <v>1</v>
      </c>
      <c r="E29">
        <f>Learn4!H28</f>
        <v>0</v>
      </c>
      <c r="F29">
        <f>Learn5!H28</f>
        <v>0</v>
      </c>
      <c r="G29">
        <f t="shared" si="1"/>
        <v>0</v>
      </c>
      <c r="H29">
        <f t="shared" si="2"/>
        <v>0.4</v>
      </c>
      <c r="I29">
        <f t="shared" si="3"/>
        <v>1</v>
      </c>
      <c r="K29">
        <v>26</v>
      </c>
      <c r="L29">
        <f>Learn1!$G28</f>
        <v>16</v>
      </c>
      <c r="M29">
        <f>Learn2!$G28</f>
        <v>98</v>
      </c>
      <c r="N29">
        <f>Learn3!$G28</f>
        <v>98</v>
      </c>
      <c r="O29">
        <f>Learn4!$G28</f>
        <v>15</v>
      </c>
      <c r="P29">
        <f>Learn5!$G28</f>
        <v>19</v>
      </c>
      <c r="Q29">
        <f t="shared" si="4"/>
        <v>15</v>
      </c>
      <c r="R29">
        <f t="shared" si="5"/>
        <v>49.2</v>
      </c>
      <c r="S29">
        <f t="shared" si="6"/>
        <v>98</v>
      </c>
      <c r="U29">
        <v>26</v>
      </c>
      <c r="V29">
        <f>Learn1!D28</f>
        <v>6</v>
      </c>
      <c r="W29">
        <f>Learn2!D28</f>
        <v>4</v>
      </c>
      <c r="X29">
        <f>Learn3!D28</f>
        <v>2</v>
      </c>
      <c r="Y29">
        <f>Learn4!D28</f>
        <v>12</v>
      </c>
      <c r="Z29">
        <f>Learn5!D28</f>
        <v>4</v>
      </c>
      <c r="AA29">
        <f t="shared" si="7"/>
        <v>4</v>
      </c>
      <c r="AB29">
        <f t="shared" si="8"/>
        <v>5.6</v>
      </c>
      <c r="AC29">
        <f t="shared" si="9"/>
        <v>6</v>
      </c>
      <c r="AE29">
        <v>26</v>
      </c>
      <c r="AF29">
        <f t="shared" si="19"/>
        <v>59.666666666666664</v>
      </c>
      <c r="AG29">
        <f t="shared" si="20"/>
        <v>69.666666666666671</v>
      </c>
      <c r="AH29">
        <f t="shared" si="21"/>
        <v>84.333333333333329</v>
      </c>
      <c r="AI29">
        <f t="shared" si="22"/>
        <v>70.5</v>
      </c>
      <c r="AJ29">
        <f t="shared" si="23"/>
        <v>47.5</v>
      </c>
      <c r="AK29">
        <f t="shared" si="24"/>
        <v>47.5</v>
      </c>
      <c r="AL29">
        <f t="shared" si="25"/>
        <v>66.333333333333343</v>
      </c>
      <c r="AM29">
        <f t="shared" si="26"/>
        <v>84.333333333333329</v>
      </c>
    </row>
    <row r="30" spans="1:39" x14ac:dyDescent="0.25">
      <c r="A30">
        <v>27</v>
      </c>
      <c r="B30">
        <f>Learn1!H29</f>
        <v>0</v>
      </c>
      <c r="C30">
        <f>Learn2!H29</f>
        <v>2</v>
      </c>
      <c r="D30">
        <f>Learn3!H29</f>
        <v>2</v>
      </c>
      <c r="E30">
        <f>Learn4!H29</f>
        <v>0</v>
      </c>
      <c r="F30">
        <f>Learn5!H29</f>
        <v>2</v>
      </c>
      <c r="G30">
        <f t="shared" si="1"/>
        <v>0</v>
      </c>
      <c r="H30">
        <f t="shared" si="2"/>
        <v>1.2</v>
      </c>
      <c r="I30">
        <f t="shared" si="3"/>
        <v>2</v>
      </c>
      <c r="K30">
        <v>27</v>
      </c>
      <c r="L30">
        <f>Learn1!$G29</f>
        <v>95</v>
      </c>
      <c r="M30">
        <f>Learn2!$G29</f>
        <v>100</v>
      </c>
      <c r="N30">
        <f>Learn3!$G29</f>
        <v>99</v>
      </c>
      <c r="O30">
        <f>Learn4!$G29</f>
        <v>14</v>
      </c>
      <c r="P30">
        <f>Learn5!$G29</f>
        <v>96</v>
      </c>
      <c r="Q30">
        <f t="shared" si="4"/>
        <v>14</v>
      </c>
      <c r="R30">
        <f t="shared" si="5"/>
        <v>80.8</v>
      </c>
      <c r="S30">
        <f t="shared" si="6"/>
        <v>100</v>
      </c>
      <c r="U30">
        <v>27</v>
      </c>
      <c r="V30">
        <f>Learn1!D29</f>
        <v>6</v>
      </c>
      <c r="W30">
        <f>Learn2!D29</f>
        <v>4</v>
      </c>
      <c r="X30">
        <f>Learn3!D29</f>
        <v>3</v>
      </c>
      <c r="Y30">
        <f>Learn4!D29</f>
        <v>12</v>
      </c>
      <c r="Z30">
        <f>Learn5!D29</f>
        <v>6</v>
      </c>
      <c r="AA30">
        <f t="shared" si="7"/>
        <v>4</v>
      </c>
      <c r="AB30">
        <f t="shared" si="8"/>
        <v>6.2</v>
      </c>
      <c r="AC30">
        <f t="shared" si="9"/>
        <v>6</v>
      </c>
      <c r="AE30">
        <v>27</v>
      </c>
      <c r="AF30">
        <f t="shared" si="19"/>
        <v>71.666666666666671</v>
      </c>
      <c r="AG30">
        <f t="shared" si="20"/>
        <v>69.833333333333329</v>
      </c>
      <c r="AH30">
        <f t="shared" si="21"/>
        <v>84.666666666666671</v>
      </c>
      <c r="AI30">
        <f t="shared" si="22"/>
        <v>69.666666666666671</v>
      </c>
      <c r="AJ30">
        <f t="shared" si="23"/>
        <v>59.166666666666664</v>
      </c>
      <c r="AK30">
        <f t="shared" si="24"/>
        <v>59.166666666666664</v>
      </c>
      <c r="AL30">
        <f t="shared" si="25"/>
        <v>71.000000000000014</v>
      </c>
      <c r="AM30">
        <f t="shared" si="26"/>
        <v>84.666666666666671</v>
      </c>
    </row>
    <row r="31" spans="1:39" x14ac:dyDescent="0.25">
      <c r="A31">
        <v>28</v>
      </c>
      <c r="B31">
        <f>Learn1!H30</f>
        <v>5</v>
      </c>
      <c r="C31">
        <f>Learn2!H30</f>
        <v>0</v>
      </c>
      <c r="D31">
        <f>Learn3!H30</f>
        <v>0</v>
      </c>
      <c r="E31">
        <f>Learn4!H30</f>
        <v>0</v>
      </c>
      <c r="F31">
        <f>Learn5!H30</f>
        <v>5</v>
      </c>
      <c r="G31">
        <f t="shared" si="1"/>
        <v>0</v>
      </c>
      <c r="H31">
        <f t="shared" si="2"/>
        <v>2</v>
      </c>
      <c r="I31">
        <f t="shared" si="3"/>
        <v>5</v>
      </c>
      <c r="K31">
        <v>28</v>
      </c>
      <c r="L31">
        <f>Learn1!$G30</f>
        <v>99</v>
      </c>
      <c r="M31">
        <f>Learn2!$G30</f>
        <v>32</v>
      </c>
      <c r="N31">
        <f>Learn3!$G30</f>
        <v>98</v>
      </c>
      <c r="O31">
        <f>Learn4!$G30</f>
        <v>20</v>
      </c>
      <c r="P31">
        <f>Learn5!$G30</f>
        <v>98</v>
      </c>
      <c r="Q31">
        <f t="shared" si="4"/>
        <v>20</v>
      </c>
      <c r="R31">
        <f t="shared" si="5"/>
        <v>69.400000000000006</v>
      </c>
      <c r="S31">
        <f t="shared" si="6"/>
        <v>99</v>
      </c>
      <c r="U31">
        <v>28</v>
      </c>
      <c r="V31">
        <f>Learn1!D30</f>
        <v>7</v>
      </c>
      <c r="W31">
        <f>Learn2!D30</f>
        <v>4</v>
      </c>
      <c r="X31">
        <f>Learn3!D30</f>
        <v>3</v>
      </c>
      <c r="Y31">
        <f>Learn4!D30</f>
        <v>8</v>
      </c>
      <c r="Z31">
        <f>Learn5!D30</f>
        <v>9</v>
      </c>
      <c r="AA31">
        <f t="shared" si="7"/>
        <v>4</v>
      </c>
      <c r="AB31">
        <f t="shared" si="8"/>
        <v>6.2</v>
      </c>
      <c r="AC31">
        <f t="shared" si="9"/>
        <v>8</v>
      </c>
      <c r="AE31">
        <v>28</v>
      </c>
      <c r="AF31">
        <f t="shared" si="19"/>
        <v>71.666666666666671</v>
      </c>
      <c r="AG31">
        <f t="shared" si="20"/>
        <v>73</v>
      </c>
      <c r="AH31">
        <f t="shared" si="21"/>
        <v>84.666666666666671</v>
      </c>
      <c r="AI31">
        <f t="shared" si="22"/>
        <v>57.166666666666664</v>
      </c>
      <c r="AJ31">
        <f t="shared" si="23"/>
        <v>59.333333333333336</v>
      </c>
      <c r="AK31">
        <f t="shared" si="24"/>
        <v>57.166666666666664</v>
      </c>
      <c r="AL31">
        <f t="shared" si="25"/>
        <v>69.166666666666671</v>
      </c>
      <c r="AM31">
        <f t="shared" si="26"/>
        <v>84.666666666666671</v>
      </c>
    </row>
    <row r="32" spans="1:39" x14ac:dyDescent="0.25">
      <c r="A32">
        <v>29</v>
      </c>
      <c r="B32">
        <f>Learn1!H31</f>
        <v>0</v>
      </c>
      <c r="C32">
        <f>Learn2!H31</f>
        <v>1</v>
      </c>
      <c r="D32">
        <f>Learn3!H31</f>
        <v>1</v>
      </c>
      <c r="E32">
        <f>Learn4!H31</f>
        <v>0</v>
      </c>
      <c r="F32">
        <f>Learn5!H31</f>
        <v>0</v>
      </c>
      <c r="G32">
        <f t="shared" si="1"/>
        <v>0</v>
      </c>
      <c r="H32">
        <f t="shared" si="2"/>
        <v>0.4</v>
      </c>
      <c r="I32">
        <f t="shared" si="3"/>
        <v>1</v>
      </c>
      <c r="K32">
        <v>29</v>
      </c>
      <c r="L32">
        <f>Learn1!$G31</f>
        <v>17</v>
      </c>
      <c r="M32">
        <f>Learn2!$G31</f>
        <v>100</v>
      </c>
      <c r="N32">
        <f>Learn3!$G31</f>
        <v>98</v>
      </c>
      <c r="O32">
        <f>Learn4!$G31</f>
        <v>8</v>
      </c>
      <c r="P32">
        <f>Learn5!$G31</f>
        <v>19</v>
      </c>
      <c r="Q32">
        <f t="shared" si="4"/>
        <v>8</v>
      </c>
      <c r="R32">
        <f t="shared" si="5"/>
        <v>48.4</v>
      </c>
      <c r="S32">
        <f t="shared" si="6"/>
        <v>100</v>
      </c>
      <c r="U32">
        <v>29</v>
      </c>
      <c r="V32">
        <f>Learn1!D31</f>
        <v>7</v>
      </c>
      <c r="W32">
        <f>Learn2!D31</f>
        <v>5</v>
      </c>
      <c r="X32">
        <f>Learn3!D31</f>
        <v>4</v>
      </c>
      <c r="Y32">
        <f>Learn4!D31</f>
        <v>6</v>
      </c>
      <c r="Z32">
        <f>Learn5!D31</f>
        <v>9</v>
      </c>
      <c r="AA32">
        <f t="shared" si="7"/>
        <v>5</v>
      </c>
      <c r="AB32">
        <f t="shared" si="8"/>
        <v>6.2</v>
      </c>
      <c r="AC32">
        <f t="shared" si="9"/>
        <v>7</v>
      </c>
      <c r="AE32">
        <v>29</v>
      </c>
      <c r="AF32">
        <f t="shared" si="19"/>
        <v>70.833333333333329</v>
      </c>
      <c r="AG32">
        <f t="shared" si="20"/>
        <v>73.333333333333329</v>
      </c>
      <c r="AH32">
        <f t="shared" si="21"/>
        <v>84.666666666666671</v>
      </c>
      <c r="AI32">
        <f t="shared" si="22"/>
        <v>42.166666666666664</v>
      </c>
      <c r="AJ32">
        <f t="shared" si="23"/>
        <v>58.166666666666664</v>
      </c>
      <c r="AK32">
        <f t="shared" si="24"/>
        <v>42.166666666666664</v>
      </c>
      <c r="AL32">
        <f t="shared" si="25"/>
        <v>65.833333333333343</v>
      </c>
      <c r="AM32">
        <f t="shared" si="26"/>
        <v>84.666666666666671</v>
      </c>
    </row>
    <row r="33" spans="1:39" x14ac:dyDescent="0.25">
      <c r="A33">
        <v>30</v>
      </c>
      <c r="B33">
        <f>Learn1!H32</f>
        <v>4</v>
      </c>
      <c r="C33">
        <f>Learn2!H32</f>
        <v>0</v>
      </c>
      <c r="D33">
        <f>Learn3!H32</f>
        <v>0</v>
      </c>
      <c r="E33">
        <f>Learn4!H32</f>
        <v>0</v>
      </c>
      <c r="F33">
        <f>Learn5!H32</f>
        <v>2</v>
      </c>
      <c r="G33">
        <f t="shared" si="1"/>
        <v>0</v>
      </c>
      <c r="H33">
        <f t="shared" si="2"/>
        <v>1.2</v>
      </c>
      <c r="I33">
        <f t="shared" si="3"/>
        <v>2</v>
      </c>
      <c r="K33">
        <v>30</v>
      </c>
      <c r="L33">
        <f>Learn1!$G32</f>
        <v>98</v>
      </c>
      <c r="M33">
        <f>Learn2!$G32</f>
        <v>32</v>
      </c>
      <c r="N33">
        <f>Learn3!$G32</f>
        <v>18</v>
      </c>
      <c r="O33">
        <f>Learn4!$G32</f>
        <v>94</v>
      </c>
      <c r="P33">
        <f>Learn5!$G32</f>
        <v>97</v>
      </c>
      <c r="Q33">
        <f t="shared" si="4"/>
        <v>18</v>
      </c>
      <c r="R33">
        <f t="shared" si="5"/>
        <v>67.8</v>
      </c>
      <c r="S33">
        <f t="shared" si="6"/>
        <v>98</v>
      </c>
      <c r="U33">
        <v>30</v>
      </c>
      <c r="V33">
        <f>Learn1!D32</f>
        <v>11</v>
      </c>
      <c r="W33">
        <f>Learn2!D32</f>
        <v>4</v>
      </c>
      <c r="X33">
        <f>Learn3!D32</f>
        <v>4</v>
      </c>
      <c r="Y33">
        <f>Learn4!D32</f>
        <v>5</v>
      </c>
      <c r="Z33">
        <f>Learn5!D32</f>
        <v>11</v>
      </c>
      <c r="AA33">
        <f t="shared" si="7"/>
        <v>4</v>
      </c>
      <c r="AB33">
        <f t="shared" si="8"/>
        <v>7</v>
      </c>
      <c r="AC33">
        <f t="shared" si="9"/>
        <v>11</v>
      </c>
      <c r="AE33">
        <v>30</v>
      </c>
      <c r="AF33">
        <f t="shared" si="19"/>
        <v>70.666666666666671</v>
      </c>
      <c r="AG33">
        <f t="shared" si="20"/>
        <v>62</v>
      </c>
      <c r="AH33">
        <f t="shared" si="21"/>
        <v>71.333333333333329</v>
      </c>
      <c r="AI33">
        <f t="shared" si="22"/>
        <v>41.5</v>
      </c>
      <c r="AJ33">
        <f t="shared" si="23"/>
        <v>71</v>
      </c>
      <c r="AK33">
        <f t="shared" si="24"/>
        <v>41.5</v>
      </c>
      <c r="AL33">
        <f t="shared" si="25"/>
        <v>63.3</v>
      </c>
      <c r="AM33">
        <f t="shared" si="26"/>
        <v>71.333333333333329</v>
      </c>
    </row>
    <row r="34" spans="1:39" x14ac:dyDescent="0.25">
      <c r="A34">
        <v>31</v>
      </c>
      <c r="B34">
        <f>Learn1!H33</f>
        <v>6</v>
      </c>
      <c r="C34">
        <f>Learn2!H33</f>
        <v>0</v>
      </c>
      <c r="D34">
        <f>Learn3!H33</f>
        <v>0</v>
      </c>
      <c r="E34">
        <f>Learn4!H33</f>
        <v>2</v>
      </c>
      <c r="F34">
        <f>Learn5!H33</f>
        <v>0</v>
      </c>
      <c r="G34">
        <f t="shared" si="1"/>
        <v>0</v>
      </c>
      <c r="H34">
        <f t="shared" si="2"/>
        <v>1.6</v>
      </c>
      <c r="I34">
        <f t="shared" si="3"/>
        <v>2</v>
      </c>
      <c r="K34">
        <v>31</v>
      </c>
      <c r="L34">
        <f>Learn1!$G33</f>
        <v>100</v>
      </c>
      <c r="M34">
        <f>Learn2!$G33</f>
        <v>13</v>
      </c>
      <c r="N34">
        <f>Learn3!$G33</f>
        <v>5</v>
      </c>
      <c r="O34">
        <f>Learn4!$G33</f>
        <v>98</v>
      </c>
      <c r="P34">
        <f>Learn5!$G33</f>
        <v>20</v>
      </c>
      <c r="Q34">
        <f t="shared" si="4"/>
        <v>5</v>
      </c>
      <c r="R34">
        <f t="shared" si="5"/>
        <v>47.2</v>
      </c>
      <c r="S34">
        <f t="shared" si="6"/>
        <v>100</v>
      </c>
      <c r="U34">
        <v>31</v>
      </c>
      <c r="V34">
        <f>Learn1!D33</f>
        <v>15</v>
      </c>
      <c r="W34">
        <f>Learn2!D33</f>
        <v>4</v>
      </c>
      <c r="X34">
        <f>Learn3!D33</f>
        <v>4</v>
      </c>
      <c r="Y34">
        <f>Learn4!D33</f>
        <v>2</v>
      </c>
      <c r="Z34">
        <f>Learn5!D33</f>
        <v>9</v>
      </c>
      <c r="AA34">
        <f t="shared" si="7"/>
        <v>4</v>
      </c>
      <c r="AB34">
        <f t="shared" si="8"/>
        <v>6.8</v>
      </c>
      <c r="AC34">
        <f t="shared" si="9"/>
        <v>9</v>
      </c>
      <c r="AE34">
        <v>31</v>
      </c>
      <c r="AF34">
        <f t="shared" si="19"/>
        <v>70.833333333333329</v>
      </c>
      <c r="AG34">
        <f t="shared" si="20"/>
        <v>62.5</v>
      </c>
      <c r="AH34">
        <f t="shared" si="21"/>
        <v>69.333333333333329</v>
      </c>
      <c r="AI34">
        <f t="shared" si="22"/>
        <v>41.5</v>
      </c>
      <c r="AJ34">
        <f t="shared" si="23"/>
        <v>58.166666666666664</v>
      </c>
      <c r="AK34">
        <f t="shared" si="24"/>
        <v>41.5</v>
      </c>
      <c r="AL34">
        <f t="shared" si="25"/>
        <v>60.466666666666661</v>
      </c>
      <c r="AM34">
        <f t="shared" si="26"/>
        <v>70.833333333333329</v>
      </c>
    </row>
    <row r="35" spans="1:39" x14ac:dyDescent="0.25">
      <c r="A35">
        <v>32</v>
      </c>
      <c r="B35">
        <f>Learn1!H34</f>
        <v>0</v>
      </c>
      <c r="C35">
        <f>Learn2!H34</f>
        <v>1</v>
      </c>
      <c r="D35">
        <f>Learn3!H34</f>
        <v>0</v>
      </c>
      <c r="E35">
        <f>Learn4!H34</f>
        <v>1</v>
      </c>
      <c r="F35">
        <f>Learn5!H34</f>
        <v>0</v>
      </c>
      <c r="G35">
        <f t="shared" si="1"/>
        <v>0</v>
      </c>
      <c r="H35">
        <f t="shared" si="2"/>
        <v>0.4</v>
      </c>
      <c r="I35">
        <f t="shared" si="3"/>
        <v>1</v>
      </c>
      <c r="K35">
        <v>32</v>
      </c>
      <c r="L35">
        <f>Learn1!$G34</f>
        <v>18</v>
      </c>
      <c r="M35">
        <f>Learn2!$G34</f>
        <v>98</v>
      </c>
      <c r="N35">
        <f>Learn3!$G34</f>
        <v>97</v>
      </c>
      <c r="O35">
        <f>Learn4!$G34</f>
        <v>98</v>
      </c>
      <c r="P35">
        <f>Learn5!$G34</f>
        <v>18</v>
      </c>
      <c r="Q35">
        <f t="shared" si="4"/>
        <v>18</v>
      </c>
      <c r="R35">
        <f t="shared" si="5"/>
        <v>65.8</v>
      </c>
      <c r="S35">
        <f t="shared" si="6"/>
        <v>98</v>
      </c>
      <c r="U35">
        <v>32</v>
      </c>
      <c r="V35">
        <f>Learn1!D34</f>
        <v>15</v>
      </c>
      <c r="W35">
        <f>Learn2!D34</f>
        <v>4</v>
      </c>
      <c r="X35">
        <f>Learn3!D34</f>
        <v>3</v>
      </c>
      <c r="Y35">
        <f>Learn4!D34</f>
        <v>3</v>
      </c>
      <c r="Z35">
        <f>Learn5!D34</f>
        <v>9</v>
      </c>
      <c r="AA35">
        <f t="shared" si="7"/>
        <v>3</v>
      </c>
      <c r="AB35">
        <f t="shared" si="8"/>
        <v>6.8</v>
      </c>
      <c r="AC35">
        <f t="shared" si="9"/>
        <v>9</v>
      </c>
      <c r="AE35">
        <v>32</v>
      </c>
      <c r="AF35">
        <f t="shared" si="19"/>
        <v>71.166666666666671</v>
      </c>
      <c r="AG35">
        <f t="shared" si="20"/>
        <v>62.5</v>
      </c>
      <c r="AH35">
        <f t="shared" si="21"/>
        <v>69.166666666666671</v>
      </c>
      <c r="AI35">
        <f t="shared" si="22"/>
        <v>55.333333333333336</v>
      </c>
      <c r="AJ35">
        <f t="shared" si="23"/>
        <v>58</v>
      </c>
      <c r="AK35">
        <f t="shared" si="24"/>
        <v>55.333333333333336</v>
      </c>
      <c r="AL35">
        <f t="shared" si="25"/>
        <v>63.233333333333334</v>
      </c>
      <c r="AM35">
        <f t="shared" si="26"/>
        <v>71.166666666666671</v>
      </c>
    </row>
    <row r="36" spans="1:39" x14ac:dyDescent="0.25">
      <c r="A36">
        <v>33</v>
      </c>
      <c r="B36">
        <f>Learn1!H35</f>
        <v>1</v>
      </c>
      <c r="C36">
        <f>Learn2!H35</f>
        <v>0</v>
      </c>
      <c r="D36">
        <f>Learn3!H35</f>
        <v>0</v>
      </c>
      <c r="E36">
        <f>Learn4!H35</f>
        <v>0</v>
      </c>
      <c r="F36">
        <f>Learn5!H35</f>
        <v>4</v>
      </c>
      <c r="G36">
        <f t="shared" si="1"/>
        <v>0</v>
      </c>
      <c r="H36">
        <f t="shared" si="2"/>
        <v>1</v>
      </c>
      <c r="I36">
        <f t="shared" si="3"/>
        <v>1</v>
      </c>
      <c r="K36">
        <v>33</v>
      </c>
      <c r="L36">
        <f>Learn1!$G35</f>
        <v>97</v>
      </c>
      <c r="M36">
        <f>Learn2!$G35</f>
        <v>28</v>
      </c>
      <c r="N36">
        <f>Learn3!$G35</f>
        <v>20</v>
      </c>
      <c r="O36">
        <f>Learn4!$G35</f>
        <v>98</v>
      </c>
      <c r="P36">
        <f>Learn5!$G35</f>
        <v>93</v>
      </c>
      <c r="Q36">
        <f t="shared" si="4"/>
        <v>20</v>
      </c>
      <c r="R36">
        <f t="shared" si="5"/>
        <v>67.2</v>
      </c>
      <c r="S36">
        <f t="shared" si="6"/>
        <v>98</v>
      </c>
      <c r="U36">
        <v>33</v>
      </c>
      <c r="V36">
        <f>Learn1!D35</f>
        <v>16</v>
      </c>
      <c r="W36">
        <f>Learn2!D35</f>
        <v>2</v>
      </c>
      <c r="X36">
        <f>Learn3!D35</f>
        <v>1</v>
      </c>
      <c r="Y36">
        <f>Learn4!D35</f>
        <v>3</v>
      </c>
      <c r="Z36">
        <f>Learn5!D35</f>
        <v>11</v>
      </c>
      <c r="AA36">
        <f t="shared" si="7"/>
        <v>2</v>
      </c>
      <c r="AB36">
        <f t="shared" si="8"/>
        <v>6.6</v>
      </c>
      <c r="AC36">
        <f t="shared" si="9"/>
        <v>11</v>
      </c>
      <c r="AE36">
        <v>33</v>
      </c>
      <c r="AF36">
        <f t="shared" si="19"/>
        <v>71.5</v>
      </c>
      <c r="AG36">
        <f t="shared" si="20"/>
        <v>50.5</v>
      </c>
      <c r="AH36">
        <f t="shared" si="21"/>
        <v>56</v>
      </c>
      <c r="AI36">
        <f t="shared" si="22"/>
        <v>69.333333333333329</v>
      </c>
      <c r="AJ36">
        <f t="shared" si="23"/>
        <v>57.5</v>
      </c>
      <c r="AK36">
        <f t="shared" si="24"/>
        <v>50.5</v>
      </c>
      <c r="AL36">
        <f t="shared" si="25"/>
        <v>60.966666666666661</v>
      </c>
      <c r="AM36">
        <f t="shared" si="26"/>
        <v>71.5</v>
      </c>
    </row>
    <row r="37" spans="1:39" x14ac:dyDescent="0.25">
      <c r="A37">
        <v>34</v>
      </c>
      <c r="B37">
        <f>Learn1!H36</f>
        <v>0</v>
      </c>
      <c r="C37">
        <f>Learn2!H36</f>
        <v>0</v>
      </c>
      <c r="D37">
        <f>Learn3!H36</f>
        <v>0</v>
      </c>
      <c r="E37">
        <f>Learn4!H36</f>
        <v>2</v>
      </c>
      <c r="F37">
        <f>Learn5!H36</f>
        <v>0</v>
      </c>
      <c r="G37">
        <f t="shared" si="1"/>
        <v>0</v>
      </c>
      <c r="H37">
        <f t="shared" si="2"/>
        <v>0.4</v>
      </c>
      <c r="I37">
        <f t="shared" si="3"/>
        <v>0</v>
      </c>
      <c r="K37">
        <v>34</v>
      </c>
      <c r="L37">
        <f>Learn1!$G36</f>
        <v>15</v>
      </c>
      <c r="M37">
        <f>Learn2!$G36</f>
        <v>99</v>
      </c>
      <c r="N37">
        <f>Learn3!$G36</f>
        <v>97</v>
      </c>
      <c r="O37">
        <f>Learn4!$G36</f>
        <v>98</v>
      </c>
      <c r="P37">
        <f>Learn5!$G36</f>
        <v>21</v>
      </c>
      <c r="Q37">
        <f t="shared" si="4"/>
        <v>15</v>
      </c>
      <c r="R37">
        <f t="shared" si="5"/>
        <v>66</v>
      </c>
      <c r="S37">
        <f t="shared" si="6"/>
        <v>99</v>
      </c>
      <c r="U37">
        <v>34</v>
      </c>
      <c r="V37">
        <f>Learn1!D36</f>
        <v>11</v>
      </c>
      <c r="W37">
        <f>Learn2!D36</f>
        <v>2</v>
      </c>
      <c r="X37">
        <f>Learn3!D36</f>
        <v>1</v>
      </c>
      <c r="Y37">
        <f>Learn4!D36</f>
        <v>5</v>
      </c>
      <c r="Z37">
        <f>Learn5!D36</f>
        <v>6</v>
      </c>
      <c r="AA37">
        <f t="shared" si="7"/>
        <v>2</v>
      </c>
      <c r="AB37">
        <f t="shared" si="8"/>
        <v>5</v>
      </c>
      <c r="AC37">
        <f t="shared" si="9"/>
        <v>6</v>
      </c>
      <c r="AE37">
        <v>34</v>
      </c>
      <c r="AF37">
        <f t="shared" si="19"/>
        <v>57.5</v>
      </c>
      <c r="AG37">
        <f t="shared" si="20"/>
        <v>61.666666666666664</v>
      </c>
      <c r="AH37">
        <f t="shared" si="21"/>
        <v>55.833333333333336</v>
      </c>
      <c r="AI37">
        <f t="shared" si="22"/>
        <v>82.333333333333329</v>
      </c>
      <c r="AJ37">
        <f t="shared" si="23"/>
        <v>44.666666666666664</v>
      </c>
      <c r="AK37">
        <f t="shared" si="24"/>
        <v>44.666666666666664</v>
      </c>
      <c r="AL37">
        <f t="shared" si="25"/>
        <v>60.4</v>
      </c>
      <c r="AM37">
        <f t="shared" si="26"/>
        <v>82.333333333333329</v>
      </c>
    </row>
    <row r="38" spans="1:39" x14ac:dyDescent="0.25">
      <c r="A38">
        <v>35</v>
      </c>
      <c r="B38">
        <f>Learn1!H37</f>
        <v>0</v>
      </c>
      <c r="C38">
        <f>Learn2!H37</f>
        <v>2</v>
      </c>
      <c r="D38">
        <f>Learn3!H37</f>
        <v>0</v>
      </c>
      <c r="E38">
        <f>Learn4!H37</f>
        <v>0</v>
      </c>
      <c r="F38">
        <f>Learn5!H37</f>
        <v>1</v>
      </c>
      <c r="G38">
        <f t="shared" si="1"/>
        <v>0</v>
      </c>
      <c r="H38">
        <f t="shared" si="2"/>
        <v>0.6</v>
      </c>
      <c r="I38">
        <f t="shared" si="3"/>
        <v>1</v>
      </c>
      <c r="K38">
        <v>35</v>
      </c>
      <c r="L38">
        <f>Learn1!$G37</f>
        <v>19</v>
      </c>
      <c r="M38">
        <f>Learn2!$G37</f>
        <v>100</v>
      </c>
      <c r="N38">
        <f>Learn3!$G37</f>
        <v>98</v>
      </c>
      <c r="O38">
        <f>Learn4!$G37</f>
        <v>14</v>
      </c>
      <c r="P38">
        <f>Learn5!$G37</f>
        <v>96</v>
      </c>
      <c r="Q38">
        <f t="shared" si="4"/>
        <v>14</v>
      </c>
      <c r="R38">
        <f t="shared" si="5"/>
        <v>65.400000000000006</v>
      </c>
      <c r="S38">
        <f t="shared" si="6"/>
        <v>100</v>
      </c>
      <c r="U38">
        <v>35</v>
      </c>
      <c r="V38">
        <f>Learn1!D37</f>
        <v>11</v>
      </c>
      <c r="W38">
        <f>Learn2!D37</f>
        <v>3</v>
      </c>
      <c r="X38">
        <f>Learn3!D37</f>
        <v>0</v>
      </c>
      <c r="Y38">
        <f>Learn4!D37</f>
        <v>5</v>
      </c>
      <c r="Z38">
        <f>Learn5!D37</f>
        <v>7</v>
      </c>
      <c r="AA38">
        <f t="shared" si="7"/>
        <v>3</v>
      </c>
      <c r="AB38">
        <f t="shared" si="8"/>
        <v>5.2</v>
      </c>
      <c r="AC38">
        <f t="shared" si="9"/>
        <v>7</v>
      </c>
      <c r="AE38">
        <v>35</v>
      </c>
      <c r="AF38">
        <f t="shared" si="19"/>
        <v>57.833333333333336</v>
      </c>
      <c r="AG38">
        <f t="shared" si="20"/>
        <v>61.666666666666664</v>
      </c>
      <c r="AH38">
        <f t="shared" si="21"/>
        <v>55.833333333333336</v>
      </c>
      <c r="AI38">
        <f t="shared" si="22"/>
        <v>83.333333333333329</v>
      </c>
      <c r="AJ38">
        <f t="shared" si="23"/>
        <v>57.5</v>
      </c>
      <c r="AK38">
        <f t="shared" si="24"/>
        <v>55.833333333333336</v>
      </c>
      <c r="AL38">
        <f t="shared" si="25"/>
        <v>63.233333333333334</v>
      </c>
      <c r="AM38">
        <f t="shared" si="26"/>
        <v>83.333333333333329</v>
      </c>
    </row>
    <row r="39" spans="1:39" x14ac:dyDescent="0.25">
      <c r="A39">
        <v>36</v>
      </c>
      <c r="B39">
        <f>Learn1!H38</f>
        <v>6</v>
      </c>
      <c r="C39">
        <f>Learn2!H38</f>
        <v>0</v>
      </c>
      <c r="D39" s="2">
        <f>Learn3!H38</f>
        <v>0</v>
      </c>
      <c r="E39">
        <f>Learn4!H38</f>
        <v>0</v>
      </c>
      <c r="F39">
        <f>Learn5!H38</f>
        <v>4</v>
      </c>
      <c r="G39">
        <f t="shared" si="1"/>
        <v>0</v>
      </c>
      <c r="H39">
        <f t="shared" si="2"/>
        <v>2</v>
      </c>
      <c r="I39">
        <f t="shared" si="3"/>
        <v>4</v>
      </c>
      <c r="K39">
        <v>36</v>
      </c>
      <c r="L39">
        <f>Learn1!$G38</f>
        <v>93</v>
      </c>
      <c r="M39">
        <f>Learn2!$G38</f>
        <v>30</v>
      </c>
      <c r="N39" s="2">
        <f>100</f>
        <v>100</v>
      </c>
      <c r="O39">
        <f>Learn4!$G38</f>
        <v>22</v>
      </c>
      <c r="P39">
        <f>Learn5!$G38</f>
        <v>98</v>
      </c>
      <c r="Q39">
        <f t="shared" si="4"/>
        <v>22</v>
      </c>
      <c r="R39">
        <f t="shared" si="5"/>
        <v>68.599999999999994</v>
      </c>
      <c r="S39">
        <f t="shared" si="6"/>
        <v>100</v>
      </c>
      <c r="U39">
        <v>36</v>
      </c>
      <c r="V39">
        <f>Learn1!D38</f>
        <v>13</v>
      </c>
      <c r="W39">
        <f>Learn2!D38</f>
        <v>3</v>
      </c>
      <c r="X39" s="2">
        <f>Learn3!D38</f>
        <v>0</v>
      </c>
      <c r="Y39">
        <f>Learn4!D38</f>
        <v>5</v>
      </c>
      <c r="Z39">
        <f>Learn5!D38</f>
        <v>9</v>
      </c>
      <c r="AA39">
        <f t="shared" si="7"/>
        <v>3</v>
      </c>
      <c r="AB39">
        <f t="shared" si="8"/>
        <v>6</v>
      </c>
      <c r="AC39">
        <f t="shared" si="9"/>
        <v>9</v>
      </c>
      <c r="AE39">
        <v>36</v>
      </c>
      <c r="AF39">
        <f t="shared" si="19"/>
        <v>57</v>
      </c>
      <c r="AG39">
        <f t="shared" si="20"/>
        <v>61.333333333333336</v>
      </c>
      <c r="AH39" s="2">
        <f t="shared" si="21"/>
        <v>69.5</v>
      </c>
      <c r="AI39">
        <f t="shared" si="22"/>
        <v>71.333333333333329</v>
      </c>
      <c r="AJ39">
        <f t="shared" si="23"/>
        <v>57.666666666666664</v>
      </c>
      <c r="AK39">
        <f t="shared" si="24"/>
        <v>57</v>
      </c>
      <c r="AL39">
        <f t="shared" si="25"/>
        <v>63.366666666666674</v>
      </c>
      <c r="AM39">
        <f t="shared" si="26"/>
        <v>71.333333333333329</v>
      </c>
    </row>
    <row r="40" spans="1:39" x14ac:dyDescent="0.25">
      <c r="A40">
        <v>37</v>
      </c>
      <c r="B40">
        <f>Learn1!H39</f>
        <v>0</v>
      </c>
      <c r="C40">
        <f>Learn2!H39</f>
        <v>0</v>
      </c>
      <c r="D40" s="2">
        <f>Learn3!H39</f>
        <v>0</v>
      </c>
      <c r="E40">
        <f>Learn4!H39</f>
        <v>0</v>
      </c>
      <c r="F40">
        <f>Learn5!H39</f>
        <v>0</v>
      </c>
      <c r="G40">
        <f t="shared" si="1"/>
        <v>0</v>
      </c>
      <c r="H40">
        <f t="shared" si="2"/>
        <v>0</v>
      </c>
      <c r="I40">
        <f t="shared" si="3"/>
        <v>0</v>
      </c>
      <c r="K40">
        <v>37</v>
      </c>
      <c r="L40">
        <f>Learn1!$G39</f>
        <v>26</v>
      </c>
      <c r="M40">
        <f>Learn2!$G39</f>
        <v>99</v>
      </c>
      <c r="N40" s="2">
        <f>100</f>
        <v>100</v>
      </c>
      <c r="O40">
        <f>Learn4!$G39</f>
        <v>98</v>
      </c>
      <c r="P40">
        <f>Learn5!$G39</f>
        <v>24</v>
      </c>
      <c r="Q40">
        <f t="shared" si="4"/>
        <v>24</v>
      </c>
      <c r="R40">
        <f t="shared" si="5"/>
        <v>69.400000000000006</v>
      </c>
      <c r="S40">
        <f t="shared" si="6"/>
        <v>100</v>
      </c>
      <c r="U40">
        <v>37</v>
      </c>
      <c r="V40">
        <f>Learn1!D39</f>
        <v>7</v>
      </c>
      <c r="W40">
        <f>Learn2!D39</f>
        <v>3</v>
      </c>
      <c r="X40" s="2">
        <f>Learn3!D39</f>
        <v>0</v>
      </c>
      <c r="Y40">
        <f>Learn4!D39</f>
        <v>3</v>
      </c>
      <c r="Z40">
        <f>Learn5!D39</f>
        <v>9</v>
      </c>
      <c r="AA40">
        <f t="shared" si="7"/>
        <v>3</v>
      </c>
      <c r="AB40">
        <f t="shared" si="8"/>
        <v>4.4000000000000004</v>
      </c>
      <c r="AC40">
        <f t="shared" si="9"/>
        <v>7</v>
      </c>
      <c r="AE40">
        <v>37</v>
      </c>
      <c r="AF40">
        <f t="shared" si="19"/>
        <v>44.666666666666664</v>
      </c>
      <c r="AG40">
        <f t="shared" si="20"/>
        <v>75.666666666666671</v>
      </c>
      <c r="AH40" s="2">
        <f t="shared" si="21"/>
        <v>85.333333333333329</v>
      </c>
      <c r="AI40">
        <f t="shared" si="22"/>
        <v>71.333333333333329</v>
      </c>
      <c r="AJ40">
        <f t="shared" si="23"/>
        <v>58.333333333333336</v>
      </c>
      <c r="AK40">
        <f t="shared" si="24"/>
        <v>44.666666666666664</v>
      </c>
      <c r="AL40">
        <f t="shared" si="25"/>
        <v>67.066666666666663</v>
      </c>
      <c r="AM40">
        <f t="shared" si="26"/>
        <v>85.333333333333329</v>
      </c>
    </row>
    <row r="41" spans="1:39" x14ac:dyDescent="0.25">
      <c r="A41">
        <v>38</v>
      </c>
      <c r="B41">
        <f>Learn1!H40</f>
        <v>2</v>
      </c>
      <c r="C41">
        <f>Learn2!H40</f>
        <v>1</v>
      </c>
      <c r="D41" s="2">
        <f>Learn3!H40</f>
        <v>0</v>
      </c>
      <c r="E41">
        <f>Learn4!H40</f>
        <v>0</v>
      </c>
      <c r="F41">
        <f>Learn5!H40</f>
        <v>4</v>
      </c>
      <c r="G41">
        <f t="shared" si="1"/>
        <v>0</v>
      </c>
      <c r="H41">
        <f t="shared" si="2"/>
        <v>1.4</v>
      </c>
      <c r="I41">
        <f t="shared" si="3"/>
        <v>2</v>
      </c>
      <c r="K41">
        <v>38</v>
      </c>
      <c r="L41">
        <f>Learn1!$G40</f>
        <v>99</v>
      </c>
      <c r="M41">
        <f>Learn2!$G40</f>
        <v>100</v>
      </c>
      <c r="N41" s="2">
        <f>100</f>
        <v>100</v>
      </c>
      <c r="O41">
        <f>Learn4!$G40</f>
        <v>15</v>
      </c>
      <c r="P41">
        <f>Learn5!$G40</f>
        <v>96</v>
      </c>
      <c r="Q41">
        <f t="shared" si="4"/>
        <v>15</v>
      </c>
      <c r="R41">
        <f t="shared" si="5"/>
        <v>82</v>
      </c>
      <c r="S41">
        <f t="shared" si="6"/>
        <v>100</v>
      </c>
      <c r="U41">
        <v>38</v>
      </c>
      <c r="V41">
        <f>Learn1!D40</f>
        <v>9</v>
      </c>
      <c r="W41">
        <f>Learn2!D40</f>
        <v>3</v>
      </c>
      <c r="X41" s="2">
        <f>Learn3!D40</f>
        <v>0</v>
      </c>
      <c r="Y41">
        <f>Learn4!D40</f>
        <v>2</v>
      </c>
      <c r="Z41">
        <f>Learn5!D40</f>
        <v>13</v>
      </c>
      <c r="AA41">
        <f t="shared" si="7"/>
        <v>2</v>
      </c>
      <c r="AB41">
        <f t="shared" si="8"/>
        <v>5.4</v>
      </c>
      <c r="AC41">
        <f t="shared" si="9"/>
        <v>9</v>
      </c>
      <c r="AE41">
        <v>38</v>
      </c>
      <c r="AF41">
        <f t="shared" si="19"/>
        <v>58.166666666666664</v>
      </c>
      <c r="AG41">
        <f t="shared" si="20"/>
        <v>76</v>
      </c>
      <c r="AH41" s="2">
        <f t="shared" si="21"/>
        <v>85.833333333333329</v>
      </c>
      <c r="AI41">
        <f t="shared" si="22"/>
        <v>57.5</v>
      </c>
      <c r="AJ41">
        <f t="shared" si="23"/>
        <v>71.333333333333329</v>
      </c>
      <c r="AK41">
        <f t="shared" si="24"/>
        <v>57.5</v>
      </c>
      <c r="AL41">
        <f t="shared" si="25"/>
        <v>69.766666666666666</v>
      </c>
      <c r="AM41">
        <f t="shared" si="26"/>
        <v>85.833333333333329</v>
      </c>
    </row>
    <row r="42" spans="1:39" x14ac:dyDescent="0.25">
      <c r="A42">
        <v>39</v>
      </c>
      <c r="B42">
        <f>Learn1!H41</f>
        <v>3</v>
      </c>
      <c r="C42">
        <f>Learn2!H41</f>
        <v>0</v>
      </c>
      <c r="D42" s="2">
        <f>Learn3!H41</f>
        <v>0</v>
      </c>
      <c r="E42">
        <f>Learn4!H41</f>
        <v>0</v>
      </c>
      <c r="F42">
        <f>Learn5!H41</f>
        <v>0</v>
      </c>
      <c r="G42">
        <f t="shared" si="1"/>
        <v>0</v>
      </c>
      <c r="H42">
        <f t="shared" si="2"/>
        <v>0.6</v>
      </c>
      <c r="I42">
        <f t="shared" si="3"/>
        <v>0</v>
      </c>
      <c r="K42">
        <v>39</v>
      </c>
      <c r="L42">
        <f>Learn1!$G41</f>
        <v>99</v>
      </c>
      <c r="M42">
        <f>Learn2!$G41</f>
        <v>11</v>
      </c>
      <c r="N42" s="2">
        <f>100</f>
        <v>100</v>
      </c>
      <c r="O42">
        <f>Learn4!$G41</f>
        <v>97</v>
      </c>
      <c r="P42">
        <f>Learn5!$G41</f>
        <v>23</v>
      </c>
      <c r="Q42">
        <f t="shared" si="4"/>
        <v>11</v>
      </c>
      <c r="R42">
        <f t="shared" si="5"/>
        <v>66</v>
      </c>
      <c r="S42">
        <f t="shared" si="6"/>
        <v>100</v>
      </c>
      <c r="U42">
        <v>39</v>
      </c>
      <c r="V42">
        <f>Learn1!D41</f>
        <v>11</v>
      </c>
      <c r="W42">
        <f>Learn2!D41</f>
        <v>3</v>
      </c>
      <c r="X42" s="2">
        <f>Learn3!D41</f>
        <v>0</v>
      </c>
      <c r="Y42">
        <f>Learn4!D41</f>
        <v>2</v>
      </c>
      <c r="Z42">
        <f>Learn5!D41</f>
        <v>9</v>
      </c>
      <c r="AA42">
        <f t="shared" si="7"/>
        <v>2</v>
      </c>
      <c r="AB42">
        <f t="shared" si="8"/>
        <v>5</v>
      </c>
      <c r="AC42">
        <f t="shared" si="9"/>
        <v>9</v>
      </c>
      <c r="AE42">
        <v>39</v>
      </c>
      <c r="AF42">
        <f t="shared" si="19"/>
        <v>58.5</v>
      </c>
      <c r="AG42">
        <f t="shared" si="20"/>
        <v>73.166666666666671</v>
      </c>
      <c r="AH42" s="2">
        <f t="shared" si="21"/>
        <v>99.166666666666671</v>
      </c>
      <c r="AI42">
        <f t="shared" si="22"/>
        <v>57.333333333333336</v>
      </c>
      <c r="AJ42">
        <f t="shared" si="23"/>
        <v>59.666666666666664</v>
      </c>
      <c r="AK42">
        <f t="shared" si="24"/>
        <v>57.333333333333336</v>
      </c>
      <c r="AL42">
        <f t="shared" si="25"/>
        <v>69.566666666666677</v>
      </c>
      <c r="AM42">
        <f t="shared" si="26"/>
        <v>99.166666666666671</v>
      </c>
    </row>
    <row r="43" spans="1:39" x14ac:dyDescent="0.25">
      <c r="A43">
        <v>40</v>
      </c>
      <c r="B43">
        <f>Learn1!H42</f>
        <v>0</v>
      </c>
      <c r="C43">
        <f>Learn2!H42</f>
        <v>2</v>
      </c>
      <c r="D43" s="2">
        <f>Learn3!H42</f>
        <v>0</v>
      </c>
      <c r="E43">
        <f>Learn4!H42</f>
        <v>0</v>
      </c>
      <c r="F43">
        <f>Learn5!H42</f>
        <v>0</v>
      </c>
      <c r="G43">
        <f t="shared" si="1"/>
        <v>0</v>
      </c>
      <c r="H43">
        <f t="shared" si="2"/>
        <v>0.4</v>
      </c>
      <c r="I43">
        <f t="shared" si="3"/>
        <v>0</v>
      </c>
      <c r="K43">
        <v>40</v>
      </c>
      <c r="L43">
        <f>Learn1!$G42</f>
        <v>17</v>
      </c>
      <c r="M43">
        <f>Learn2!$G42</f>
        <v>99</v>
      </c>
      <c r="N43" s="2">
        <f>100</f>
        <v>100</v>
      </c>
      <c r="O43">
        <f>Learn4!$G42</f>
        <v>99</v>
      </c>
      <c r="P43">
        <f>Learn5!$G42</f>
        <v>21</v>
      </c>
      <c r="Q43">
        <f t="shared" si="4"/>
        <v>17</v>
      </c>
      <c r="R43">
        <f t="shared" si="5"/>
        <v>67.2</v>
      </c>
      <c r="S43">
        <f t="shared" si="6"/>
        <v>100</v>
      </c>
      <c r="U43">
        <v>40</v>
      </c>
      <c r="V43">
        <f>Learn1!D42</f>
        <v>11</v>
      </c>
      <c r="W43">
        <f>Learn2!D42</f>
        <v>5</v>
      </c>
      <c r="X43" s="2">
        <f>Learn3!D42</f>
        <v>0</v>
      </c>
      <c r="Y43">
        <f>Learn4!D42</f>
        <v>0</v>
      </c>
      <c r="Z43">
        <f>Learn5!D42</f>
        <v>9</v>
      </c>
      <c r="AA43">
        <f t="shared" si="7"/>
        <v>0</v>
      </c>
      <c r="AB43">
        <f t="shared" si="8"/>
        <v>5</v>
      </c>
      <c r="AC43">
        <f t="shared" si="9"/>
        <v>9</v>
      </c>
      <c r="AE43">
        <v>40</v>
      </c>
      <c r="AF43">
        <f t="shared" si="19"/>
        <v>58.833333333333336</v>
      </c>
      <c r="AG43">
        <f t="shared" si="20"/>
        <v>73.166666666666671</v>
      </c>
      <c r="AH43" s="2">
        <f t="shared" si="21"/>
        <v>99.666666666666671</v>
      </c>
      <c r="AI43">
        <f t="shared" si="22"/>
        <v>57.5</v>
      </c>
      <c r="AJ43">
        <f t="shared" si="23"/>
        <v>59.666666666666664</v>
      </c>
      <c r="AK43">
        <f t="shared" si="24"/>
        <v>57.5</v>
      </c>
      <c r="AL43">
        <f t="shared" si="25"/>
        <v>69.76666666666668</v>
      </c>
      <c r="AM43">
        <f t="shared" si="26"/>
        <v>99.666666666666671</v>
      </c>
    </row>
    <row r="44" spans="1:39" x14ac:dyDescent="0.25">
      <c r="A44">
        <v>41</v>
      </c>
      <c r="B44">
        <f>Learn1!H43</f>
        <v>2</v>
      </c>
      <c r="C44">
        <f>Learn2!H43</f>
        <v>3</v>
      </c>
      <c r="D44" s="2">
        <f>Learn3!H43</f>
        <v>0</v>
      </c>
      <c r="E44" s="2">
        <f>Learn4!H43</f>
        <v>0</v>
      </c>
      <c r="F44">
        <f>Learn5!H43</f>
        <v>0</v>
      </c>
      <c r="G44">
        <f t="shared" si="1"/>
        <v>0</v>
      </c>
      <c r="H44">
        <f t="shared" si="2"/>
        <v>1</v>
      </c>
      <c r="I44">
        <f t="shared" si="3"/>
        <v>2</v>
      </c>
      <c r="K44">
        <v>41</v>
      </c>
      <c r="L44">
        <f>Learn1!$G43</f>
        <v>95</v>
      </c>
      <c r="M44">
        <f>Learn2!$G43</f>
        <v>100</v>
      </c>
      <c r="N44" s="2">
        <f>100</f>
        <v>100</v>
      </c>
      <c r="O44" s="2">
        <f>100</f>
        <v>100</v>
      </c>
      <c r="P44">
        <f>Learn5!$G43</f>
        <v>94</v>
      </c>
      <c r="Q44">
        <f t="shared" si="4"/>
        <v>94</v>
      </c>
      <c r="R44">
        <f t="shared" si="5"/>
        <v>97.8</v>
      </c>
      <c r="S44">
        <f t="shared" si="6"/>
        <v>100</v>
      </c>
      <c r="U44">
        <v>41</v>
      </c>
      <c r="V44">
        <f>Learn1!D43</f>
        <v>13</v>
      </c>
      <c r="W44">
        <f>Learn2!D43</f>
        <v>6</v>
      </c>
      <c r="X44" s="2">
        <f>Learn3!D43</f>
        <v>0</v>
      </c>
      <c r="Y44" s="2">
        <f>Learn4!D43</f>
        <v>0</v>
      </c>
      <c r="Z44">
        <f>Learn5!D43</f>
        <v>8</v>
      </c>
      <c r="AA44">
        <f t="shared" si="7"/>
        <v>0</v>
      </c>
      <c r="AB44">
        <f t="shared" si="8"/>
        <v>5.4</v>
      </c>
      <c r="AC44">
        <f t="shared" si="9"/>
        <v>8</v>
      </c>
      <c r="AE44">
        <v>41</v>
      </c>
      <c r="AF44">
        <f t="shared" si="19"/>
        <v>71.5</v>
      </c>
      <c r="AG44">
        <f t="shared" si="20"/>
        <v>73.166666666666671</v>
      </c>
      <c r="AH44" s="2">
        <f t="shared" si="21"/>
        <v>100</v>
      </c>
      <c r="AI44" s="2">
        <f t="shared" si="22"/>
        <v>71.833333333333329</v>
      </c>
      <c r="AJ44">
        <f t="shared" si="23"/>
        <v>59.333333333333336</v>
      </c>
      <c r="AK44">
        <f t="shared" si="24"/>
        <v>59.333333333333336</v>
      </c>
      <c r="AL44">
        <f t="shared" si="25"/>
        <v>75.166666666666657</v>
      </c>
      <c r="AM44">
        <f t="shared" si="26"/>
        <v>100</v>
      </c>
    </row>
    <row r="45" spans="1:39" x14ac:dyDescent="0.25">
      <c r="A45">
        <v>42</v>
      </c>
      <c r="B45">
        <f>Learn1!H44</f>
        <v>0</v>
      </c>
      <c r="C45">
        <f>Learn2!H44</f>
        <v>0</v>
      </c>
      <c r="D45" s="2">
        <f>Learn3!H44</f>
        <v>0</v>
      </c>
      <c r="E45" s="2">
        <f>Learn4!H44</f>
        <v>0</v>
      </c>
      <c r="F45">
        <f>Learn5!H44</f>
        <v>0</v>
      </c>
      <c r="G45">
        <f t="shared" si="1"/>
        <v>0</v>
      </c>
      <c r="H45">
        <f t="shared" si="2"/>
        <v>0</v>
      </c>
      <c r="I45">
        <f t="shared" si="3"/>
        <v>0</v>
      </c>
      <c r="K45">
        <v>42</v>
      </c>
      <c r="L45">
        <f>Learn1!$G44</f>
        <v>17</v>
      </c>
      <c r="M45">
        <f>Learn2!$G44</f>
        <v>28</v>
      </c>
      <c r="N45" s="2">
        <f>100</f>
        <v>100</v>
      </c>
      <c r="O45" s="2">
        <f>100</f>
        <v>100</v>
      </c>
      <c r="P45">
        <f>Learn5!$G44</f>
        <v>22</v>
      </c>
      <c r="Q45">
        <f t="shared" si="4"/>
        <v>17</v>
      </c>
      <c r="R45">
        <f t="shared" si="5"/>
        <v>53.4</v>
      </c>
      <c r="S45">
        <f t="shared" si="6"/>
        <v>100</v>
      </c>
      <c r="U45">
        <v>42</v>
      </c>
      <c r="V45">
        <f>Learn1!D44</f>
        <v>7</v>
      </c>
      <c r="W45">
        <f>Learn2!D44</f>
        <v>6</v>
      </c>
      <c r="X45" s="2">
        <f>Learn3!D44</f>
        <v>0</v>
      </c>
      <c r="Y45" s="2">
        <f>Learn4!D44</f>
        <v>0</v>
      </c>
      <c r="Z45">
        <f>Learn5!D44</f>
        <v>4</v>
      </c>
      <c r="AA45">
        <f t="shared" si="7"/>
        <v>0</v>
      </c>
      <c r="AB45">
        <f t="shared" si="8"/>
        <v>3.4</v>
      </c>
      <c r="AC45">
        <f t="shared" si="9"/>
        <v>6</v>
      </c>
      <c r="AE45">
        <v>42</v>
      </c>
      <c r="AF45">
        <f t="shared" si="19"/>
        <v>58.833333333333336</v>
      </c>
      <c r="AG45">
        <f t="shared" si="20"/>
        <v>72.833333333333329</v>
      </c>
      <c r="AH45" s="2">
        <f t="shared" si="21"/>
        <v>100</v>
      </c>
      <c r="AI45" s="2">
        <f t="shared" si="22"/>
        <v>84.833333333333329</v>
      </c>
      <c r="AJ45">
        <f t="shared" si="23"/>
        <v>46.666666666666664</v>
      </c>
      <c r="AK45">
        <f t="shared" si="24"/>
        <v>46.666666666666664</v>
      </c>
      <c r="AL45">
        <f t="shared" si="25"/>
        <v>72.63333333333334</v>
      </c>
      <c r="AM45">
        <f t="shared" si="26"/>
        <v>100</v>
      </c>
    </row>
    <row r="46" spans="1:39" x14ac:dyDescent="0.25">
      <c r="A46">
        <v>43</v>
      </c>
      <c r="B46">
        <f>Learn1!H45</f>
        <v>0</v>
      </c>
      <c r="C46">
        <f>Learn2!H45</f>
        <v>1</v>
      </c>
      <c r="D46" s="2">
        <f>Learn3!H45</f>
        <v>0</v>
      </c>
      <c r="E46" s="2">
        <f>Learn4!H45</f>
        <v>0</v>
      </c>
      <c r="F46">
        <f>Learn5!H45</f>
        <v>0</v>
      </c>
      <c r="G46">
        <f t="shared" si="1"/>
        <v>0</v>
      </c>
      <c r="H46">
        <f t="shared" si="2"/>
        <v>0.2</v>
      </c>
      <c r="I46">
        <f t="shared" si="3"/>
        <v>0</v>
      </c>
      <c r="K46">
        <v>43</v>
      </c>
      <c r="L46">
        <f>Learn1!$G45</f>
        <v>17</v>
      </c>
      <c r="M46">
        <f>Learn2!$G45</f>
        <v>99</v>
      </c>
      <c r="N46" s="2">
        <f>100</f>
        <v>100</v>
      </c>
      <c r="O46" s="2">
        <f>100</f>
        <v>100</v>
      </c>
      <c r="P46">
        <f>Learn5!$G45</f>
        <v>94</v>
      </c>
      <c r="Q46">
        <f t="shared" si="4"/>
        <v>17</v>
      </c>
      <c r="R46">
        <f t="shared" si="5"/>
        <v>82</v>
      </c>
      <c r="S46">
        <f t="shared" si="6"/>
        <v>100</v>
      </c>
      <c r="U46">
        <v>43</v>
      </c>
      <c r="V46">
        <f>Learn1!D45</f>
        <v>7</v>
      </c>
      <c r="W46">
        <f>Learn2!D45</f>
        <v>7</v>
      </c>
      <c r="X46" s="2">
        <f>Learn3!D45</f>
        <v>0</v>
      </c>
      <c r="Y46" s="2">
        <f>Learn4!D45</f>
        <v>0</v>
      </c>
      <c r="Z46">
        <f>Learn5!D45</f>
        <v>4</v>
      </c>
      <c r="AA46">
        <f t="shared" si="7"/>
        <v>0</v>
      </c>
      <c r="AB46">
        <f t="shared" si="8"/>
        <v>3.6</v>
      </c>
      <c r="AC46">
        <f t="shared" si="9"/>
        <v>7</v>
      </c>
      <c r="AE46">
        <v>43</v>
      </c>
      <c r="AF46">
        <f t="shared" si="19"/>
        <v>57.333333333333336</v>
      </c>
      <c r="AG46">
        <f t="shared" si="20"/>
        <v>72.833333333333329</v>
      </c>
      <c r="AH46" s="2">
        <f t="shared" si="21"/>
        <v>100</v>
      </c>
      <c r="AI46" s="2">
        <f t="shared" si="22"/>
        <v>85.166666666666671</v>
      </c>
      <c r="AJ46">
        <f t="shared" si="23"/>
        <v>58.333333333333336</v>
      </c>
      <c r="AK46">
        <f t="shared" si="24"/>
        <v>57.333333333333336</v>
      </c>
      <c r="AL46">
        <f t="shared" si="25"/>
        <v>74.73333333333332</v>
      </c>
      <c r="AM46">
        <f t="shared" si="26"/>
        <v>100</v>
      </c>
    </row>
    <row r="47" spans="1:39" x14ac:dyDescent="0.25">
      <c r="A47">
        <v>44</v>
      </c>
      <c r="B47">
        <f>Learn1!H46</f>
        <v>1</v>
      </c>
      <c r="C47">
        <f>Learn2!H46</f>
        <v>0</v>
      </c>
      <c r="D47" s="2">
        <f>Learn3!H46</f>
        <v>0</v>
      </c>
      <c r="E47" s="2">
        <f>Learn4!H46</f>
        <v>0</v>
      </c>
      <c r="F47">
        <f>Learn5!H46</f>
        <v>0</v>
      </c>
      <c r="G47">
        <f t="shared" si="1"/>
        <v>0</v>
      </c>
      <c r="H47">
        <f t="shared" si="2"/>
        <v>0.2</v>
      </c>
      <c r="I47">
        <f t="shared" si="3"/>
        <v>0</v>
      </c>
      <c r="K47">
        <v>44</v>
      </c>
      <c r="L47">
        <f>Learn1!$G46</f>
        <v>98</v>
      </c>
      <c r="M47">
        <f>Learn2!$G46</f>
        <v>12</v>
      </c>
      <c r="N47" s="2">
        <f>100</f>
        <v>100</v>
      </c>
      <c r="O47" s="2">
        <f>100</f>
        <v>100</v>
      </c>
      <c r="P47">
        <f>Learn5!$G46</f>
        <v>98</v>
      </c>
      <c r="Q47">
        <f t="shared" si="4"/>
        <v>12</v>
      </c>
      <c r="R47">
        <f t="shared" si="5"/>
        <v>81.599999999999994</v>
      </c>
      <c r="S47">
        <f t="shared" si="6"/>
        <v>100</v>
      </c>
      <c r="U47">
        <v>44</v>
      </c>
      <c r="V47">
        <f>Learn1!D46</f>
        <v>6</v>
      </c>
      <c r="W47">
        <f>Learn2!D46</f>
        <v>6</v>
      </c>
      <c r="X47" s="2">
        <f>Learn3!D46</f>
        <v>0</v>
      </c>
      <c r="Y47" s="2">
        <f>Learn4!D46</f>
        <v>0</v>
      </c>
      <c r="Z47">
        <f>Learn5!D46</f>
        <v>0</v>
      </c>
      <c r="AA47">
        <f t="shared" si="7"/>
        <v>0</v>
      </c>
      <c r="AB47">
        <f t="shared" si="8"/>
        <v>2.4</v>
      </c>
      <c r="AC47">
        <f t="shared" si="9"/>
        <v>6</v>
      </c>
      <c r="AE47">
        <v>44</v>
      </c>
      <c r="AF47">
        <f t="shared" si="19"/>
        <v>57.166666666666664</v>
      </c>
      <c r="AG47">
        <f t="shared" si="20"/>
        <v>58.166666666666664</v>
      </c>
      <c r="AH47" s="2">
        <f t="shared" si="21"/>
        <v>100</v>
      </c>
      <c r="AI47" s="2">
        <f t="shared" si="22"/>
        <v>99.333333333333329</v>
      </c>
      <c r="AJ47">
        <f t="shared" si="23"/>
        <v>58.666666666666664</v>
      </c>
      <c r="AK47">
        <f t="shared" si="24"/>
        <v>57.166666666666664</v>
      </c>
      <c r="AL47">
        <f t="shared" si="25"/>
        <v>74.666666666666657</v>
      </c>
      <c r="AM47">
        <f t="shared" si="26"/>
        <v>100</v>
      </c>
    </row>
    <row r="48" spans="1:39" x14ac:dyDescent="0.25">
      <c r="A48">
        <v>45</v>
      </c>
      <c r="B48">
        <f>Learn1!H47</f>
        <v>0</v>
      </c>
      <c r="C48">
        <f>Learn2!H47</f>
        <v>0</v>
      </c>
      <c r="D48" s="2">
        <f>Learn3!H47</f>
        <v>0</v>
      </c>
      <c r="E48" s="2">
        <f>Learn4!H47</f>
        <v>0</v>
      </c>
      <c r="F48" s="2">
        <f>Learn5!H47</f>
        <v>0</v>
      </c>
      <c r="G48">
        <f t="shared" si="1"/>
        <v>0</v>
      </c>
      <c r="H48">
        <f t="shared" si="2"/>
        <v>0</v>
      </c>
      <c r="I48">
        <f t="shared" si="3"/>
        <v>0</v>
      </c>
      <c r="K48">
        <v>45</v>
      </c>
      <c r="L48">
        <f>Learn1!$G47</f>
        <v>17</v>
      </c>
      <c r="M48">
        <f>Learn2!$G47</f>
        <v>18</v>
      </c>
      <c r="N48" s="2">
        <f>100</f>
        <v>100</v>
      </c>
      <c r="O48" s="2">
        <f>100</f>
        <v>100</v>
      </c>
      <c r="P48" s="2">
        <f>100</f>
        <v>100</v>
      </c>
      <c r="Q48">
        <f t="shared" si="4"/>
        <v>17</v>
      </c>
      <c r="R48">
        <f t="shared" si="5"/>
        <v>67</v>
      </c>
      <c r="S48">
        <f t="shared" si="6"/>
        <v>100</v>
      </c>
      <c r="U48">
        <v>45</v>
      </c>
      <c r="V48">
        <f>Learn1!D47</f>
        <v>3</v>
      </c>
      <c r="W48">
        <f>Learn2!D47</f>
        <v>6</v>
      </c>
      <c r="X48" s="2">
        <f>Learn3!D47</f>
        <v>0</v>
      </c>
      <c r="Y48" s="2">
        <f>Learn4!D47</f>
        <v>0</v>
      </c>
      <c r="Z48" s="2">
        <f>Learn5!D47</f>
        <v>0</v>
      </c>
      <c r="AA48">
        <f t="shared" si="7"/>
        <v>0</v>
      </c>
      <c r="AB48">
        <f t="shared" si="8"/>
        <v>1.8</v>
      </c>
      <c r="AC48">
        <f t="shared" si="9"/>
        <v>3</v>
      </c>
      <c r="AE48">
        <v>45</v>
      </c>
      <c r="AF48">
        <f t="shared" si="19"/>
        <v>43.5</v>
      </c>
      <c r="AG48">
        <f t="shared" si="20"/>
        <v>59.333333333333336</v>
      </c>
      <c r="AH48" s="2">
        <f t="shared" si="21"/>
        <v>100</v>
      </c>
      <c r="AI48" s="2">
        <f t="shared" si="22"/>
        <v>99.833333333333329</v>
      </c>
      <c r="AJ48" s="2">
        <f t="shared" si="23"/>
        <v>71.5</v>
      </c>
      <c r="AK48">
        <f t="shared" si="24"/>
        <v>43.5</v>
      </c>
      <c r="AL48">
        <f t="shared" si="25"/>
        <v>74.833333333333343</v>
      </c>
      <c r="AM48">
        <f t="shared" si="26"/>
        <v>100</v>
      </c>
    </row>
    <row r="49" spans="1:39" x14ac:dyDescent="0.25">
      <c r="A49">
        <v>46</v>
      </c>
      <c r="B49">
        <f>Learn1!H48</f>
        <v>1</v>
      </c>
      <c r="C49">
        <f>Learn2!H48</f>
        <v>2</v>
      </c>
      <c r="D49" s="2">
        <f>Learn3!H48</f>
        <v>0</v>
      </c>
      <c r="E49" s="2">
        <f>Learn4!H48</f>
        <v>0</v>
      </c>
      <c r="F49" s="2">
        <f>Learn5!H48</f>
        <v>0</v>
      </c>
      <c r="G49">
        <f t="shared" si="1"/>
        <v>0</v>
      </c>
      <c r="H49">
        <f t="shared" si="2"/>
        <v>0.6</v>
      </c>
      <c r="I49">
        <f t="shared" si="3"/>
        <v>1</v>
      </c>
      <c r="K49">
        <v>46</v>
      </c>
      <c r="L49">
        <f>Learn1!$G48</f>
        <v>99</v>
      </c>
      <c r="M49">
        <f>Learn2!$G48</f>
        <v>99</v>
      </c>
      <c r="N49" s="2">
        <f>100</f>
        <v>100</v>
      </c>
      <c r="O49" s="2">
        <f>100</f>
        <v>100</v>
      </c>
      <c r="P49" s="2">
        <f>100</f>
        <v>100</v>
      </c>
      <c r="Q49">
        <f t="shared" si="4"/>
        <v>99</v>
      </c>
      <c r="R49">
        <f t="shared" si="5"/>
        <v>99.6</v>
      </c>
      <c r="S49">
        <f t="shared" si="6"/>
        <v>100</v>
      </c>
      <c r="U49">
        <v>46</v>
      </c>
      <c r="V49">
        <f>Learn1!D48</f>
        <v>4</v>
      </c>
      <c r="W49">
        <f>Learn2!D48</f>
        <v>6</v>
      </c>
      <c r="X49" s="2">
        <f>Learn3!D48</f>
        <v>0</v>
      </c>
      <c r="Y49" s="2">
        <f>Learn4!D48</f>
        <v>0</v>
      </c>
      <c r="Z49" s="2">
        <f>Learn5!D48</f>
        <v>0</v>
      </c>
      <c r="AA49">
        <f t="shared" si="7"/>
        <v>0</v>
      </c>
      <c r="AB49">
        <f t="shared" si="8"/>
        <v>2</v>
      </c>
      <c r="AC49">
        <f t="shared" si="9"/>
        <v>4</v>
      </c>
      <c r="AE49">
        <v>46</v>
      </c>
      <c r="AF49">
        <f t="shared" si="19"/>
        <v>57.166666666666664</v>
      </c>
      <c r="AG49">
        <f t="shared" si="20"/>
        <v>59.333333333333336</v>
      </c>
      <c r="AH49" s="2">
        <f t="shared" si="21"/>
        <v>100</v>
      </c>
      <c r="AI49" s="2">
        <f t="shared" si="22"/>
        <v>100</v>
      </c>
      <c r="AJ49" s="2">
        <f t="shared" si="23"/>
        <v>84.666666666666671</v>
      </c>
      <c r="AK49">
        <f t="shared" si="24"/>
        <v>57.166666666666664</v>
      </c>
      <c r="AL49">
        <f t="shared" si="25"/>
        <v>80.233333333333334</v>
      </c>
      <c r="AM49">
        <f t="shared" si="26"/>
        <v>100</v>
      </c>
    </row>
    <row r="50" spans="1:39" x14ac:dyDescent="0.25">
      <c r="A50">
        <v>47</v>
      </c>
      <c r="B50">
        <f>Learn1!H49</f>
        <v>2</v>
      </c>
      <c r="C50">
        <f>Learn2!H49</f>
        <v>0</v>
      </c>
      <c r="D50" s="2">
        <f>Learn3!H49</f>
        <v>0</v>
      </c>
      <c r="E50" s="2">
        <f>Learn4!H49</f>
        <v>0</v>
      </c>
      <c r="F50" s="2">
        <f>Learn5!H49</f>
        <v>0</v>
      </c>
      <c r="G50">
        <f t="shared" si="1"/>
        <v>0</v>
      </c>
      <c r="H50">
        <f t="shared" si="2"/>
        <v>0.4</v>
      </c>
      <c r="I50">
        <f t="shared" si="3"/>
        <v>0</v>
      </c>
      <c r="K50">
        <v>47</v>
      </c>
      <c r="L50">
        <f>Learn1!$G49</f>
        <v>100</v>
      </c>
      <c r="M50">
        <f>Learn2!$G49</f>
        <v>28</v>
      </c>
      <c r="N50" s="2">
        <f>100</f>
        <v>100</v>
      </c>
      <c r="O50" s="2">
        <f>100</f>
        <v>100</v>
      </c>
      <c r="P50" s="2">
        <f>100</f>
        <v>100</v>
      </c>
      <c r="Q50">
        <f t="shared" si="4"/>
        <v>28</v>
      </c>
      <c r="R50">
        <f t="shared" si="5"/>
        <v>85.6</v>
      </c>
      <c r="S50">
        <f t="shared" si="6"/>
        <v>100</v>
      </c>
      <c r="U50">
        <v>47</v>
      </c>
      <c r="V50">
        <f>Learn1!D49</f>
        <v>4</v>
      </c>
      <c r="W50">
        <f>Learn2!D49</f>
        <v>3</v>
      </c>
      <c r="X50" s="2">
        <f>Learn3!D49</f>
        <v>0</v>
      </c>
      <c r="Y50" s="2">
        <f>Learn4!D49</f>
        <v>0</v>
      </c>
      <c r="Z50" s="2">
        <f>Learn5!D49</f>
        <v>0</v>
      </c>
      <c r="AA50">
        <f t="shared" si="7"/>
        <v>0</v>
      </c>
      <c r="AB50">
        <f t="shared" si="8"/>
        <v>1.4</v>
      </c>
      <c r="AC50">
        <f t="shared" si="9"/>
        <v>3</v>
      </c>
      <c r="AE50">
        <v>47</v>
      </c>
      <c r="AF50">
        <f t="shared" si="19"/>
        <v>58</v>
      </c>
      <c r="AG50">
        <f t="shared" si="20"/>
        <v>47.333333333333336</v>
      </c>
      <c r="AH50" s="2">
        <f t="shared" si="21"/>
        <v>100</v>
      </c>
      <c r="AI50" s="2">
        <f t="shared" si="22"/>
        <v>100</v>
      </c>
      <c r="AJ50" s="2">
        <f t="shared" si="23"/>
        <v>85.666666666666671</v>
      </c>
      <c r="AK50">
        <f t="shared" si="24"/>
        <v>47.333333333333336</v>
      </c>
      <c r="AL50">
        <f t="shared" si="25"/>
        <v>78.200000000000017</v>
      </c>
      <c r="AM50">
        <f t="shared" si="26"/>
        <v>100</v>
      </c>
    </row>
    <row r="51" spans="1:39" x14ac:dyDescent="0.25">
      <c r="A51">
        <v>48</v>
      </c>
      <c r="B51">
        <f>Learn1!H50</f>
        <v>0</v>
      </c>
      <c r="C51">
        <f>Learn2!H50</f>
        <v>4</v>
      </c>
      <c r="D51" s="2">
        <f>Learn3!H50</f>
        <v>0</v>
      </c>
      <c r="E51" s="2">
        <f>Learn4!H50</f>
        <v>0</v>
      </c>
      <c r="F51" s="2">
        <f>Learn5!H50</f>
        <v>0</v>
      </c>
      <c r="G51">
        <f t="shared" si="1"/>
        <v>0</v>
      </c>
      <c r="H51">
        <f t="shared" si="2"/>
        <v>0.8</v>
      </c>
      <c r="I51">
        <f t="shared" si="3"/>
        <v>0</v>
      </c>
      <c r="K51">
        <v>48</v>
      </c>
      <c r="L51">
        <f>Learn1!$G50</f>
        <v>23</v>
      </c>
      <c r="M51">
        <f>Learn2!$G50</f>
        <v>100</v>
      </c>
      <c r="N51" s="2">
        <f>100</f>
        <v>100</v>
      </c>
      <c r="O51" s="2">
        <f>100</f>
        <v>100</v>
      </c>
      <c r="P51" s="2">
        <f>100</f>
        <v>100</v>
      </c>
      <c r="Q51">
        <f t="shared" si="4"/>
        <v>23</v>
      </c>
      <c r="R51">
        <f t="shared" si="5"/>
        <v>84.6</v>
      </c>
      <c r="S51">
        <f t="shared" si="6"/>
        <v>100</v>
      </c>
      <c r="U51">
        <v>48</v>
      </c>
      <c r="V51">
        <f>Learn1!D50</f>
        <v>4</v>
      </c>
      <c r="W51">
        <f>Learn2!D50</f>
        <v>7</v>
      </c>
      <c r="X51" s="2">
        <f>Learn3!D50</f>
        <v>0</v>
      </c>
      <c r="Y51" s="2">
        <f>Learn4!D50</f>
        <v>0</v>
      </c>
      <c r="Z51" s="2">
        <f>Learn5!D50</f>
        <v>0</v>
      </c>
      <c r="AA51">
        <f t="shared" si="7"/>
        <v>0</v>
      </c>
      <c r="AB51">
        <f t="shared" si="8"/>
        <v>2.2000000000000002</v>
      </c>
      <c r="AC51">
        <f t="shared" si="9"/>
        <v>4</v>
      </c>
      <c r="AE51">
        <v>48</v>
      </c>
      <c r="AF51">
        <f t="shared" si="19"/>
        <v>59</v>
      </c>
      <c r="AG51">
        <f t="shared" si="20"/>
        <v>59.333333333333336</v>
      </c>
      <c r="AH51" s="2">
        <f t="shared" si="21"/>
        <v>100</v>
      </c>
      <c r="AI51" s="2">
        <f t="shared" si="22"/>
        <v>100</v>
      </c>
      <c r="AJ51" s="2">
        <f t="shared" si="23"/>
        <v>98.666666666666671</v>
      </c>
      <c r="AK51">
        <f t="shared" si="24"/>
        <v>59</v>
      </c>
      <c r="AL51">
        <f t="shared" si="25"/>
        <v>83.4</v>
      </c>
      <c r="AM51">
        <f t="shared" si="26"/>
        <v>100</v>
      </c>
    </row>
    <row r="52" spans="1:39" x14ac:dyDescent="0.25">
      <c r="A52">
        <v>49</v>
      </c>
      <c r="B52">
        <f>Learn1!H51</f>
        <v>0</v>
      </c>
      <c r="C52">
        <f>Learn2!H51</f>
        <v>2</v>
      </c>
      <c r="D52" s="2">
        <f>Learn3!H51</f>
        <v>0</v>
      </c>
      <c r="E52" s="2">
        <f>Learn4!H51</f>
        <v>0</v>
      </c>
      <c r="F52" s="2">
        <f>Learn5!H51</f>
        <v>0</v>
      </c>
      <c r="G52">
        <f t="shared" si="1"/>
        <v>0</v>
      </c>
      <c r="H52">
        <f t="shared" si="2"/>
        <v>0.4</v>
      </c>
      <c r="I52">
        <f t="shared" si="3"/>
        <v>0</v>
      </c>
      <c r="K52">
        <v>49</v>
      </c>
      <c r="L52">
        <f>Learn1!$G51</f>
        <v>100</v>
      </c>
      <c r="M52">
        <f>Learn2!$G51</f>
        <v>100</v>
      </c>
      <c r="N52" s="2">
        <f>100</f>
        <v>100</v>
      </c>
      <c r="O52" s="2">
        <f>100</f>
        <v>100</v>
      </c>
      <c r="P52" s="2">
        <f>100</f>
        <v>100</v>
      </c>
      <c r="Q52">
        <f t="shared" si="4"/>
        <v>100</v>
      </c>
      <c r="R52">
        <f t="shared" si="5"/>
        <v>100</v>
      </c>
      <c r="S52">
        <f t="shared" si="6"/>
        <v>100</v>
      </c>
      <c r="U52">
        <v>49</v>
      </c>
      <c r="V52">
        <f>Learn1!D51</f>
        <v>4</v>
      </c>
      <c r="W52">
        <f>Learn2!D51</f>
        <v>8</v>
      </c>
      <c r="X52" s="2">
        <f>Learn3!D51</f>
        <v>0</v>
      </c>
      <c r="Y52" s="2">
        <f>Learn4!D51</f>
        <v>0</v>
      </c>
      <c r="Z52" s="2">
        <f>Learn5!D51</f>
        <v>0</v>
      </c>
      <c r="AA52">
        <f t="shared" si="7"/>
        <v>0</v>
      </c>
      <c r="AB52">
        <f t="shared" si="8"/>
        <v>2.4</v>
      </c>
      <c r="AC52">
        <f t="shared" si="9"/>
        <v>4</v>
      </c>
      <c r="AE52">
        <v>49</v>
      </c>
      <c r="AF52">
        <f t="shared" si="19"/>
        <v>72.833333333333329</v>
      </c>
      <c r="AG52">
        <f t="shared" si="20"/>
        <v>59.5</v>
      </c>
      <c r="AH52" s="2">
        <f t="shared" si="21"/>
        <v>100</v>
      </c>
      <c r="AI52" s="2">
        <f t="shared" si="22"/>
        <v>100</v>
      </c>
      <c r="AJ52" s="2">
        <f t="shared" si="23"/>
        <v>99.666666666666671</v>
      </c>
      <c r="AK52">
        <f t="shared" si="24"/>
        <v>59.5</v>
      </c>
      <c r="AL52">
        <f t="shared" si="25"/>
        <v>86.4</v>
      </c>
      <c r="AM52">
        <f t="shared" si="26"/>
        <v>100</v>
      </c>
    </row>
    <row r="53" spans="1:39" x14ac:dyDescent="0.25">
      <c r="A53" t="s">
        <v>14</v>
      </c>
      <c r="B53">
        <f t="shared" ref="B53:F53" si="27">SUM(B3:B52)</f>
        <v>78</v>
      </c>
      <c r="C53">
        <f t="shared" si="27"/>
        <v>70</v>
      </c>
      <c r="D53">
        <f t="shared" si="27"/>
        <v>52</v>
      </c>
      <c r="E53">
        <f t="shared" si="27"/>
        <v>71</v>
      </c>
      <c r="F53">
        <f t="shared" si="27"/>
        <v>67</v>
      </c>
      <c r="G53">
        <f t="shared" si="1"/>
        <v>67</v>
      </c>
      <c r="H53">
        <f t="shared" si="2"/>
        <v>67.599999999999994</v>
      </c>
      <c r="I53">
        <f t="shared" si="3"/>
        <v>71</v>
      </c>
      <c r="K53" t="s">
        <v>14</v>
      </c>
      <c r="L53">
        <f>SUM(L3:L52)</f>
        <v>2911</v>
      </c>
      <c r="M53">
        <f t="shared" ref="M53:Q53" si="28">SUM(M3:M52)</f>
        <v>3041</v>
      </c>
      <c r="N53">
        <f t="shared" si="28"/>
        <v>3459</v>
      </c>
      <c r="O53">
        <f t="shared" si="28"/>
        <v>3229</v>
      </c>
      <c r="P53">
        <f t="shared" si="28"/>
        <v>2905</v>
      </c>
      <c r="Q53">
        <f t="shared" si="28"/>
        <v>1288</v>
      </c>
      <c r="R53">
        <f t="shared" si="5"/>
        <v>3109</v>
      </c>
      <c r="S53">
        <f t="shared" si="6"/>
        <v>3459</v>
      </c>
      <c r="U53" t="s">
        <v>14</v>
      </c>
      <c r="V53">
        <f>SUM(V3:V52)</f>
        <v>460</v>
      </c>
      <c r="W53">
        <f t="shared" ref="W53:AA53" si="29">SUM(W3:W52)</f>
        <v>390</v>
      </c>
      <c r="X53">
        <f t="shared" si="29"/>
        <v>312</v>
      </c>
      <c r="Y53">
        <f t="shared" si="29"/>
        <v>426</v>
      </c>
      <c r="Z53">
        <f t="shared" si="29"/>
        <v>402</v>
      </c>
      <c r="AA53">
        <f t="shared" si="29"/>
        <v>246</v>
      </c>
      <c r="AB53">
        <f t="shared" si="8"/>
        <v>398</v>
      </c>
      <c r="AC53">
        <f t="shared" ref="AC53" si="30">MAX(V53:Z53)</f>
        <v>460</v>
      </c>
      <c r="AE53" t="s">
        <v>14</v>
      </c>
      <c r="AF53">
        <f>SUM(AF3:AF52)</f>
        <v>2973.5166666666669</v>
      </c>
      <c r="AG53">
        <f t="shared" ref="AG53:AK53" si="31">SUM(AG3:AG52)</f>
        <v>3088.0333333333333</v>
      </c>
      <c r="AH53">
        <f t="shared" si="31"/>
        <v>3453.8000000000006</v>
      </c>
      <c r="AI53">
        <f t="shared" si="31"/>
        <v>3223.9833333333345</v>
      </c>
      <c r="AJ53">
        <f t="shared" si="31"/>
        <v>2900.2999999999993</v>
      </c>
      <c r="AK53">
        <f t="shared" si="31"/>
        <v>2304.8833333333332</v>
      </c>
      <c r="AL53">
        <f t="shared" si="25"/>
        <v>3127.9266666666672</v>
      </c>
      <c r="AM53">
        <f t="shared" si="26"/>
        <v>3453.8000000000006</v>
      </c>
    </row>
    <row r="55" spans="1:39" x14ac:dyDescent="0.25">
      <c r="A55" t="s">
        <v>42</v>
      </c>
      <c r="B55">
        <f>AVERAGE(B3:B52)</f>
        <v>1.56</v>
      </c>
      <c r="C55">
        <f>AVERAGE(C3:C52)</f>
        <v>1.4</v>
      </c>
      <c r="D55">
        <f>AVERAGE(D3:D38)</f>
        <v>1.4444444444444444</v>
      </c>
      <c r="E55">
        <f>AVERAGE(E3:E43)</f>
        <v>1.7317073170731707</v>
      </c>
      <c r="F55">
        <f>AVERAGE(F3:F47)</f>
        <v>1.4888888888888889</v>
      </c>
      <c r="G55">
        <f>MIN(B55:F55)</f>
        <v>1.4</v>
      </c>
      <c r="H55">
        <f>AVERAGE(B55:G55)</f>
        <v>1.5041734417344175</v>
      </c>
      <c r="I55">
        <f>MAX(B55:G55)</f>
        <v>1.7317073170731707</v>
      </c>
      <c r="K55" t="s">
        <v>42</v>
      </c>
      <c r="L55">
        <f>AVERAGE(L3:L52)</f>
        <v>58.22</v>
      </c>
      <c r="M55">
        <f>AVERAGE(M3:M52)</f>
        <v>60.82</v>
      </c>
      <c r="N55">
        <f>AVERAGE(N3:N38)</f>
        <v>57.194444444444443</v>
      </c>
      <c r="O55">
        <f>AVERAGE(O3:O43)</f>
        <v>56.804878048780488</v>
      </c>
      <c r="P55">
        <f>AVERAGE(P3:P47)</f>
        <v>53.444444444444443</v>
      </c>
      <c r="Q55">
        <f>MIN(L55:P55)</f>
        <v>53.444444444444443</v>
      </c>
      <c r="R55">
        <f>AVERAGE(L55:Q55)</f>
        <v>56.654701897018974</v>
      </c>
      <c r="S55">
        <f>MAX(L55:Q55)</f>
        <v>60.82</v>
      </c>
      <c r="U55" t="s">
        <v>42</v>
      </c>
      <c r="V55">
        <f>AVERAGE(V3:V52)</f>
        <v>9.1999999999999993</v>
      </c>
      <c r="W55">
        <f>AVERAGE(W3:W52)</f>
        <v>7.8</v>
      </c>
      <c r="X55">
        <f>AVERAGE(X3:X38)</f>
        <v>8.6666666666666661</v>
      </c>
      <c r="Y55">
        <f>AVERAGE(Y3:Y43)</f>
        <v>10.390243902439025</v>
      </c>
      <c r="Z55">
        <f>AVERAGE(Z3:Z47)</f>
        <v>8.9333333333333336</v>
      </c>
      <c r="AA55">
        <f>MIN(V55:Z55)</f>
        <v>7.8</v>
      </c>
      <c r="AB55">
        <f>AVERAGE(V55:AA55)</f>
        <v>8.798373983739836</v>
      </c>
      <c r="AC55">
        <f>MAX(V55:AA55)</f>
        <v>10.390243902439025</v>
      </c>
      <c r="AE55" t="s">
        <v>42</v>
      </c>
      <c r="AF55">
        <f>AVERAGE(AF3:AF52)</f>
        <v>59.470333333333336</v>
      </c>
      <c r="AG55">
        <f>AVERAGE(AG3:AG52)</f>
        <v>61.760666666666665</v>
      </c>
      <c r="AH55">
        <f>AVERAGE(AH3:AH38)</f>
        <v>58.730555555555576</v>
      </c>
      <c r="AI55">
        <f>AVERAGE(AI3:AI43)</f>
        <v>58.121544715447172</v>
      </c>
      <c r="AJ55">
        <f>AVERAGE(AJ3:AJ47)</f>
        <v>54.669629629629625</v>
      </c>
      <c r="AK55">
        <f>MIN(AF55:AJ55)</f>
        <v>54.669629629629625</v>
      </c>
      <c r="AL55">
        <f>AVERAGE(AF55:AK55)</f>
        <v>57.903726588377005</v>
      </c>
      <c r="AM55">
        <f>MAX(AF55:AK55)</f>
        <v>61.760666666666665</v>
      </c>
    </row>
  </sheetData>
  <mergeCells count="4">
    <mergeCell ref="B1:F1"/>
    <mergeCell ref="L1:P1"/>
    <mergeCell ref="V1:Z1"/>
    <mergeCell ref="AF1:AJ1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A9D1-E234-4D97-890C-AE40506A6BCF}">
  <dimension ref="A1:AP55"/>
  <sheetViews>
    <sheetView topLeftCell="M1" zoomScale="85" zoomScaleNormal="85" workbookViewId="0">
      <selection activeCell="AP3" sqref="AP3:AP52"/>
    </sheetView>
  </sheetViews>
  <sheetFormatPr defaultRowHeight="15" x14ac:dyDescent="0.25"/>
  <sheetData>
    <row r="1" spans="1:42" x14ac:dyDescent="0.25">
      <c r="B1" s="7" t="s">
        <v>11</v>
      </c>
      <c r="C1" s="7"/>
      <c r="D1" s="7"/>
      <c r="E1" s="7"/>
      <c r="F1" s="7"/>
      <c r="L1" s="7" t="s">
        <v>15</v>
      </c>
      <c r="M1" s="7"/>
      <c r="N1" s="7"/>
      <c r="O1" s="7"/>
      <c r="P1" s="7"/>
      <c r="V1" s="7" t="s">
        <v>2</v>
      </c>
      <c r="W1" s="7"/>
      <c r="X1" s="7"/>
      <c r="Y1" s="7"/>
      <c r="Z1" s="7"/>
      <c r="AF1" s="7" t="s">
        <v>70</v>
      </c>
      <c r="AG1" s="7"/>
      <c r="AH1" s="7"/>
      <c r="AI1" s="7"/>
      <c r="AJ1" s="7"/>
      <c r="AO1" t="s">
        <v>125</v>
      </c>
    </row>
    <row r="2" spans="1:42" x14ac:dyDescent="0.25">
      <c r="A2" t="s">
        <v>10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21</v>
      </c>
      <c r="H2" t="s">
        <v>22</v>
      </c>
      <c r="I2" t="s">
        <v>23</v>
      </c>
      <c r="K2" t="s">
        <v>10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29</v>
      </c>
      <c r="R2" t="s">
        <v>30</v>
      </c>
      <c r="S2" t="s">
        <v>31</v>
      </c>
      <c r="U2" t="s">
        <v>10</v>
      </c>
      <c r="V2" t="s">
        <v>111</v>
      </c>
      <c r="W2" t="s">
        <v>112</v>
      </c>
      <c r="X2" t="s">
        <v>113</v>
      </c>
      <c r="Y2" t="s">
        <v>114</v>
      </c>
      <c r="Z2" t="s">
        <v>115</v>
      </c>
      <c r="AA2" t="s">
        <v>90</v>
      </c>
      <c r="AB2" t="s">
        <v>91</v>
      </c>
      <c r="AC2" t="s">
        <v>92</v>
      </c>
      <c r="AE2" t="s">
        <v>10</v>
      </c>
      <c r="AF2" t="s">
        <v>116</v>
      </c>
      <c r="AG2" t="s">
        <v>117</v>
      </c>
      <c r="AH2" t="s">
        <v>118</v>
      </c>
      <c r="AI2" t="s">
        <v>119</v>
      </c>
      <c r="AJ2" t="s">
        <v>120</v>
      </c>
      <c r="AK2" t="s">
        <v>98</v>
      </c>
      <c r="AL2" t="s">
        <v>99</v>
      </c>
      <c r="AM2" t="s">
        <v>100</v>
      </c>
      <c r="AO2" t="s">
        <v>127</v>
      </c>
      <c r="AP2" t="s">
        <v>126</v>
      </c>
    </row>
    <row r="3" spans="1:42" x14ac:dyDescent="0.25">
      <c r="A3">
        <v>0</v>
      </c>
      <c r="B3">
        <f>Rich1!H2</f>
        <v>2</v>
      </c>
      <c r="C3">
        <f>Rich2!H2</f>
        <v>2</v>
      </c>
      <c r="D3">
        <f>Rich3!H2</f>
        <v>2</v>
      </c>
      <c r="E3">
        <f>Rich4!H2</f>
        <v>2</v>
      </c>
      <c r="F3">
        <f>Rich5!H2</f>
        <v>2</v>
      </c>
      <c r="G3">
        <f>MIN(B3:F3)</f>
        <v>2</v>
      </c>
      <c r="H3">
        <f>AVERAGE(B3:F3)</f>
        <v>2</v>
      </c>
      <c r="I3">
        <f>MAX(B3:F3)</f>
        <v>2</v>
      </c>
      <c r="K3">
        <v>0</v>
      </c>
      <c r="L3">
        <f>Rich1!$G2</f>
        <v>100</v>
      </c>
      <c r="M3">
        <f>Rich2!$G2</f>
        <v>100</v>
      </c>
      <c r="N3">
        <f>Rich3!$G2</f>
        <v>100</v>
      </c>
      <c r="O3">
        <f>Rich4!$G2</f>
        <v>100</v>
      </c>
      <c r="P3">
        <f>Rich5!$G2</f>
        <v>100</v>
      </c>
      <c r="Q3">
        <f>MIN(L3:P3)</f>
        <v>100</v>
      </c>
      <c r="R3">
        <f>AVERAGE(L3:P3)</f>
        <v>100</v>
      </c>
      <c r="S3">
        <f>MAX(L3:P3)</f>
        <v>100</v>
      </c>
      <c r="U3">
        <v>0</v>
      </c>
      <c r="V3">
        <f>Rich1!$D2</f>
        <v>2</v>
      </c>
      <c r="W3">
        <f>Rich2!$D2</f>
        <v>2</v>
      </c>
      <c r="X3">
        <f>Rich3!$D2</f>
        <v>2</v>
      </c>
      <c r="Y3">
        <f>Rich4!$D2</f>
        <v>2</v>
      </c>
      <c r="Z3">
        <f>Rich5!$D2</f>
        <v>2</v>
      </c>
      <c r="AA3">
        <f>MIN(V3:Z3)</f>
        <v>2</v>
      </c>
      <c r="AB3">
        <f>AVERAGE(V3:Z3)</f>
        <v>2</v>
      </c>
      <c r="AC3">
        <f>MAX(V3:Z3)</f>
        <v>2</v>
      </c>
      <c r="AE3">
        <v>0</v>
      </c>
      <c r="AF3">
        <f>L3</f>
        <v>100</v>
      </c>
      <c r="AG3">
        <f t="shared" ref="AG3:AJ3" si="0">M3</f>
        <v>100</v>
      </c>
      <c r="AH3">
        <f t="shared" si="0"/>
        <v>100</v>
      </c>
      <c r="AI3">
        <f t="shared" si="0"/>
        <v>100</v>
      </c>
      <c r="AJ3">
        <f t="shared" si="0"/>
        <v>100</v>
      </c>
      <c r="AK3">
        <f>MIN(AF3:AJ3)</f>
        <v>100</v>
      </c>
      <c r="AL3">
        <f>AVERAGE(AF3:AJ3)</f>
        <v>100</v>
      </c>
      <c r="AM3">
        <f>MAX(AF3:AJ3)</f>
        <v>100</v>
      </c>
      <c r="AO3">
        <f>PERCENTILE(V3:Z3,0.5)</f>
        <v>2</v>
      </c>
      <c r="AP3">
        <f>PERCENTILE(AF3:AK3,0.5)/100</f>
        <v>1</v>
      </c>
    </row>
    <row r="4" spans="1:42" x14ac:dyDescent="0.25">
      <c r="A4">
        <v>1</v>
      </c>
      <c r="B4">
        <f>Rich1!H3</f>
        <v>3</v>
      </c>
      <c r="C4">
        <f>Rich2!H3</f>
        <v>1</v>
      </c>
      <c r="D4">
        <f>Rich3!H3</f>
        <v>2</v>
      </c>
      <c r="E4">
        <f>Rich4!H3</f>
        <v>3</v>
      </c>
      <c r="F4">
        <f>Rich5!H3</f>
        <v>5</v>
      </c>
      <c r="G4">
        <f t="shared" ref="G4:G52" si="1">MIN(B4:F4)</f>
        <v>1</v>
      </c>
      <c r="H4">
        <f t="shared" ref="H4:H52" si="2">AVERAGE(B4:F4)</f>
        <v>2.8</v>
      </c>
      <c r="I4">
        <f t="shared" ref="I4:I52" si="3">MAX(B4:F4)</f>
        <v>5</v>
      </c>
      <c r="K4">
        <v>1</v>
      </c>
      <c r="L4">
        <f>Rich1!$G3</f>
        <v>99</v>
      </c>
      <c r="M4">
        <f>Rich2!$G3</f>
        <v>98</v>
      </c>
      <c r="N4">
        <f>Rich3!$G3</f>
        <v>95</v>
      </c>
      <c r="O4">
        <f>Rich4!$G3</f>
        <v>98</v>
      </c>
      <c r="P4">
        <f>Rich5!$G3</f>
        <v>98</v>
      </c>
      <c r="Q4">
        <f t="shared" ref="Q4:Q52" si="4">MIN(L4:P4)</f>
        <v>95</v>
      </c>
      <c r="R4">
        <f t="shared" ref="R4:R53" si="5">AVERAGE(L4:P4)</f>
        <v>97.6</v>
      </c>
      <c r="S4">
        <f t="shared" ref="S4:S53" si="6">MAX(L4:P4)</f>
        <v>99</v>
      </c>
      <c r="U4">
        <v>1</v>
      </c>
      <c r="V4">
        <f>Rich1!$D3</f>
        <v>5</v>
      </c>
      <c r="W4">
        <f>Rich2!$D3</f>
        <v>3</v>
      </c>
      <c r="X4">
        <f>Rich3!$D3</f>
        <v>4</v>
      </c>
      <c r="Y4">
        <f>Rich4!$D3</f>
        <v>5</v>
      </c>
      <c r="Z4">
        <f>Rich5!$D3</f>
        <v>7</v>
      </c>
      <c r="AA4">
        <f t="shared" ref="AA4:AA52" si="7">MIN(V4:Z4)</f>
        <v>3</v>
      </c>
      <c r="AB4">
        <f t="shared" ref="AB4:AB53" si="8">AVERAGE(V4:Z4)</f>
        <v>4.8</v>
      </c>
      <c r="AC4">
        <f t="shared" ref="AC4:AC53" si="9">MAX(V4:Z4)</f>
        <v>7</v>
      </c>
      <c r="AE4">
        <v>1</v>
      </c>
      <c r="AF4">
        <f>AVERAGE(L3:L4)</f>
        <v>99.5</v>
      </c>
      <c r="AG4">
        <f t="shared" ref="AG4:AJ4" si="10">AVERAGE(M3:M4)</f>
        <v>99</v>
      </c>
      <c r="AH4">
        <f t="shared" si="10"/>
        <v>97.5</v>
      </c>
      <c r="AI4">
        <f t="shared" si="10"/>
        <v>99</v>
      </c>
      <c r="AJ4">
        <f t="shared" si="10"/>
        <v>99</v>
      </c>
      <c r="AK4">
        <f t="shared" ref="AK4:AK52" si="11">MIN(AF4:AJ4)</f>
        <v>97.5</v>
      </c>
      <c r="AL4">
        <f t="shared" ref="AL4:AL53" si="12">AVERAGE(AF4:AJ4)</f>
        <v>98.8</v>
      </c>
      <c r="AM4">
        <f t="shared" ref="AM4:AM53" si="13">MAX(AF4:AJ4)</f>
        <v>99.5</v>
      </c>
      <c r="AO4">
        <f t="shared" ref="AO4:AO52" si="14">PERCENTILE(V4:Z4,0.5)</f>
        <v>5</v>
      </c>
      <c r="AP4">
        <f t="shared" ref="AP4:AP52" si="15">PERCENTILE(AF4:AK4,0.5)/100</f>
        <v>0.99</v>
      </c>
    </row>
    <row r="5" spans="1:42" x14ac:dyDescent="0.25">
      <c r="A5">
        <v>2</v>
      </c>
      <c r="B5">
        <f>Rich1!H4</f>
        <v>4</v>
      </c>
      <c r="C5">
        <f>Rich2!H4</f>
        <v>2</v>
      </c>
      <c r="D5">
        <f>Rich3!H4</f>
        <v>0</v>
      </c>
      <c r="E5">
        <f>Rich4!H4</f>
        <v>5</v>
      </c>
      <c r="F5">
        <f>Rich5!H4</f>
        <v>5</v>
      </c>
      <c r="G5">
        <f t="shared" si="1"/>
        <v>0</v>
      </c>
      <c r="H5">
        <f t="shared" si="2"/>
        <v>3.2</v>
      </c>
      <c r="I5">
        <f t="shared" si="3"/>
        <v>5</v>
      </c>
      <c r="K5">
        <v>2</v>
      </c>
      <c r="L5">
        <f>Rich1!$G4</f>
        <v>99</v>
      </c>
      <c r="M5">
        <f>Rich2!$G4</f>
        <v>97</v>
      </c>
      <c r="N5">
        <f>Rich3!$G4</f>
        <v>95</v>
      </c>
      <c r="O5">
        <f>Rich4!$G4</f>
        <v>95</v>
      </c>
      <c r="P5">
        <f>Rich5!$G4</f>
        <v>98</v>
      </c>
      <c r="Q5">
        <f t="shared" si="4"/>
        <v>95</v>
      </c>
      <c r="R5">
        <f t="shared" si="5"/>
        <v>96.8</v>
      </c>
      <c r="S5">
        <f t="shared" si="6"/>
        <v>99</v>
      </c>
      <c r="U5">
        <v>2</v>
      </c>
      <c r="V5">
        <f>Rich1!$D4</f>
        <v>9</v>
      </c>
      <c r="W5">
        <f>Rich2!$D4</f>
        <v>5</v>
      </c>
      <c r="X5">
        <f>Rich3!$D4</f>
        <v>4</v>
      </c>
      <c r="Y5">
        <f>Rich4!$D4</f>
        <v>10</v>
      </c>
      <c r="Z5">
        <f>Rich5!$D4</f>
        <v>12</v>
      </c>
      <c r="AA5">
        <f t="shared" si="7"/>
        <v>4</v>
      </c>
      <c r="AB5">
        <f t="shared" si="8"/>
        <v>8</v>
      </c>
      <c r="AC5">
        <f t="shared" si="9"/>
        <v>12</v>
      </c>
      <c r="AE5">
        <v>2</v>
      </c>
      <c r="AF5">
        <f>AVERAGE(L3:L5)</f>
        <v>99.333333333333329</v>
      </c>
      <c r="AG5">
        <f t="shared" ref="AG5:AJ5" si="16">AVERAGE(M3:M5)</f>
        <v>98.333333333333329</v>
      </c>
      <c r="AH5">
        <f t="shared" si="16"/>
        <v>96.666666666666671</v>
      </c>
      <c r="AI5">
        <f t="shared" si="16"/>
        <v>97.666666666666671</v>
      </c>
      <c r="AJ5">
        <f t="shared" si="16"/>
        <v>98.666666666666671</v>
      </c>
      <c r="AK5">
        <f t="shared" si="11"/>
        <v>96.666666666666671</v>
      </c>
      <c r="AL5">
        <f t="shared" si="12"/>
        <v>98.13333333333334</v>
      </c>
      <c r="AM5">
        <f t="shared" si="13"/>
        <v>99.333333333333329</v>
      </c>
      <c r="AO5">
        <f t="shared" si="14"/>
        <v>9</v>
      </c>
      <c r="AP5">
        <f t="shared" si="15"/>
        <v>0.98</v>
      </c>
    </row>
    <row r="6" spans="1:42" x14ac:dyDescent="0.25">
      <c r="A6">
        <v>3</v>
      </c>
      <c r="B6">
        <f>Rich1!H5</f>
        <v>4</v>
      </c>
      <c r="C6">
        <f>Rich2!H5</f>
        <v>4</v>
      </c>
      <c r="D6">
        <f>Rich3!H5</f>
        <v>0</v>
      </c>
      <c r="E6">
        <f>Rich4!H5</f>
        <v>6</v>
      </c>
      <c r="F6">
        <f>Rich5!H5</f>
        <v>6</v>
      </c>
      <c r="G6">
        <f t="shared" si="1"/>
        <v>0</v>
      </c>
      <c r="H6">
        <f t="shared" si="2"/>
        <v>4</v>
      </c>
      <c r="I6">
        <f t="shared" si="3"/>
        <v>6</v>
      </c>
      <c r="K6">
        <v>3</v>
      </c>
      <c r="L6">
        <f>Rich1!$G5</f>
        <v>97</v>
      </c>
      <c r="M6">
        <f>Rich2!$G5</f>
        <v>97</v>
      </c>
      <c r="N6">
        <f>Rich3!$G5</f>
        <v>95</v>
      </c>
      <c r="O6">
        <f>Rich4!$G5</f>
        <v>98</v>
      </c>
      <c r="P6">
        <f>Rich5!$G5</f>
        <v>96</v>
      </c>
      <c r="Q6">
        <f t="shared" si="4"/>
        <v>95</v>
      </c>
      <c r="R6">
        <f t="shared" si="5"/>
        <v>96.6</v>
      </c>
      <c r="S6">
        <f t="shared" si="6"/>
        <v>98</v>
      </c>
      <c r="U6">
        <v>3</v>
      </c>
      <c r="V6">
        <f>Rich1!$D5</f>
        <v>13</v>
      </c>
      <c r="W6">
        <f>Rich2!$D5</f>
        <v>9</v>
      </c>
      <c r="X6">
        <f>Rich3!$D5</f>
        <v>4</v>
      </c>
      <c r="Y6">
        <f>Rich4!$D5</f>
        <v>16</v>
      </c>
      <c r="Z6">
        <f>Rich5!$D5</f>
        <v>18</v>
      </c>
      <c r="AA6">
        <f t="shared" si="7"/>
        <v>4</v>
      </c>
      <c r="AB6">
        <f t="shared" si="8"/>
        <v>12</v>
      </c>
      <c r="AC6">
        <f t="shared" si="9"/>
        <v>18</v>
      </c>
      <c r="AE6">
        <v>3</v>
      </c>
      <c r="AF6">
        <f>AVERAGE(L3:L6)</f>
        <v>98.75</v>
      </c>
      <c r="AG6">
        <f t="shared" ref="AG6:AJ6" si="17">AVERAGE(M3:M6)</f>
        <v>98</v>
      </c>
      <c r="AH6">
        <f t="shared" si="17"/>
        <v>96.25</v>
      </c>
      <c r="AI6">
        <f t="shared" si="17"/>
        <v>97.75</v>
      </c>
      <c r="AJ6">
        <f t="shared" si="17"/>
        <v>98</v>
      </c>
      <c r="AK6">
        <f t="shared" si="11"/>
        <v>96.25</v>
      </c>
      <c r="AL6">
        <f t="shared" si="12"/>
        <v>97.75</v>
      </c>
      <c r="AM6">
        <f t="shared" si="13"/>
        <v>98.75</v>
      </c>
      <c r="AO6">
        <f t="shared" si="14"/>
        <v>13</v>
      </c>
      <c r="AP6">
        <f t="shared" si="15"/>
        <v>0.97875000000000001</v>
      </c>
    </row>
    <row r="7" spans="1:42" x14ac:dyDescent="0.25">
      <c r="A7">
        <v>4</v>
      </c>
      <c r="B7">
        <f>Rich1!H6</f>
        <v>5</v>
      </c>
      <c r="C7">
        <f>Rich2!H6</f>
        <v>5</v>
      </c>
      <c r="D7">
        <f>Rich3!H6</f>
        <v>3</v>
      </c>
      <c r="E7">
        <f>Rich4!H6</f>
        <v>7</v>
      </c>
      <c r="F7">
        <f>Rich5!H6</f>
        <v>2</v>
      </c>
      <c r="G7">
        <f t="shared" si="1"/>
        <v>2</v>
      </c>
      <c r="H7">
        <f t="shared" si="2"/>
        <v>4.4000000000000004</v>
      </c>
      <c r="I7">
        <f t="shared" si="3"/>
        <v>7</v>
      </c>
      <c r="K7">
        <v>4</v>
      </c>
      <c r="L7">
        <f>Rich1!$G6</f>
        <v>50</v>
      </c>
      <c r="M7">
        <f>Rich2!$G6</f>
        <v>54</v>
      </c>
      <c r="N7">
        <f>Rich3!$G6</f>
        <v>54</v>
      </c>
      <c r="O7">
        <f>Rich4!$G6</f>
        <v>48</v>
      </c>
      <c r="P7">
        <f>Rich5!$G6</f>
        <v>41</v>
      </c>
      <c r="Q7">
        <f t="shared" si="4"/>
        <v>41</v>
      </c>
      <c r="R7">
        <f t="shared" si="5"/>
        <v>49.4</v>
      </c>
      <c r="S7">
        <f t="shared" si="6"/>
        <v>54</v>
      </c>
      <c r="U7">
        <v>4</v>
      </c>
      <c r="V7">
        <f>Rich1!$D6</f>
        <v>18</v>
      </c>
      <c r="W7">
        <f>Rich2!$D6</f>
        <v>14</v>
      </c>
      <c r="X7">
        <f>Rich3!$D6</f>
        <v>7</v>
      </c>
      <c r="Y7">
        <f>Rich4!$D6</f>
        <v>23</v>
      </c>
      <c r="Z7">
        <f>Rich5!$D6</f>
        <v>20</v>
      </c>
      <c r="AA7">
        <f t="shared" si="7"/>
        <v>7</v>
      </c>
      <c r="AB7">
        <f t="shared" si="8"/>
        <v>16.399999999999999</v>
      </c>
      <c r="AC7">
        <f t="shared" si="9"/>
        <v>23</v>
      </c>
      <c r="AE7">
        <v>4</v>
      </c>
      <c r="AF7">
        <f>AVERAGE(L3:L7)</f>
        <v>89</v>
      </c>
      <c r="AG7">
        <f t="shared" ref="AG7:AJ7" si="18">AVERAGE(M3:M7)</f>
        <v>89.2</v>
      </c>
      <c r="AH7">
        <f t="shared" si="18"/>
        <v>87.8</v>
      </c>
      <c r="AI7">
        <f t="shared" si="18"/>
        <v>87.8</v>
      </c>
      <c r="AJ7">
        <f t="shared" si="18"/>
        <v>86.6</v>
      </c>
      <c r="AK7">
        <f t="shared" si="11"/>
        <v>86.6</v>
      </c>
      <c r="AL7">
        <f t="shared" si="12"/>
        <v>88.08</v>
      </c>
      <c r="AM7">
        <f t="shared" si="13"/>
        <v>89.2</v>
      </c>
      <c r="AO7">
        <f t="shared" si="14"/>
        <v>18</v>
      </c>
      <c r="AP7">
        <f t="shared" si="15"/>
        <v>0.878</v>
      </c>
    </row>
    <row r="8" spans="1:42" x14ac:dyDescent="0.25">
      <c r="A8">
        <v>5</v>
      </c>
      <c r="B8">
        <f>Rich1!H7</f>
        <v>6</v>
      </c>
      <c r="C8">
        <f>Rich2!H7</f>
        <v>7</v>
      </c>
      <c r="D8">
        <f>Rich3!H7</f>
        <v>3</v>
      </c>
      <c r="E8">
        <f>Rich4!H7</f>
        <v>7</v>
      </c>
      <c r="F8">
        <f>Rich5!H7</f>
        <v>5</v>
      </c>
      <c r="G8">
        <f t="shared" si="1"/>
        <v>3</v>
      </c>
      <c r="H8">
        <f t="shared" si="2"/>
        <v>5.6</v>
      </c>
      <c r="I8">
        <f t="shared" si="3"/>
        <v>7</v>
      </c>
      <c r="K8">
        <v>5</v>
      </c>
      <c r="L8">
        <f>Rich1!$G7</f>
        <v>45</v>
      </c>
      <c r="M8">
        <f>Rich2!$G7</f>
        <v>79</v>
      </c>
      <c r="N8">
        <f>Rich3!$G7</f>
        <v>49</v>
      </c>
      <c r="O8">
        <f>Rich4!$G7</f>
        <v>42</v>
      </c>
      <c r="P8">
        <f>Rich5!$G7</f>
        <v>41</v>
      </c>
      <c r="Q8">
        <f t="shared" si="4"/>
        <v>41</v>
      </c>
      <c r="R8">
        <f t="shared" si="5"/>
        <v>51.2</v>
      </c>
      <c r="S8">
        <f t="shared" si="6"/>
        <v>79</v>
      </c>
      <c r="U8">
        <v>5</v>
      </c>
      <c r="V8">
        <f>Rich1!$D7</f>
        <v>24</v>
      </c>
      <c r="W8">
        <f>Rich2!$D7</f>
        <v>21</v>
      </c>
      <c r="X8">
        <f>Rich3!$D7</f>
        <v>10</v>
      </c>
      <c r="Y8">
        <f>Rich4!$D7</f>
        <v>30</v>
      </c>
      <c r="Z8">
        <f>Rich5!$D7</f>
        <v>25</v>
      </c>
      <c r="AA8">
        <f t="shared" si="7"/>
        <v>10</v>
      </c>
      <c r="AB8">
        <f t="shared" si="8"/>
        <v>22</v>
      </c>
      <c r="AC8">
        <f t="shared" si="9"/>
        <v>30</v>
      </c>
      <c r="AE8">
        <v>5</v>
      </c>
      <c r="AF8">
        <f>AVERAGE(L3:L8)</f>
        <v>81.666666666666671</v>
      </c>
      <c r="AG8">
        <f t="shared" ref="AG8:AJ8" si="19">AVERAGE(M3:M8)</f>
        <v>87.5</v>
      </c>
      <c r="AH8">
        <f t="shared" si="19"/>
        <v>81.333333333333329</v>
      </c>
      <c r="AI8">
        <f t="shared" si="19"/>
        <v>80.166666666666671</v>
      </c>
      <c r="AJ8">
        <f t="shared" si="19"/>
        <v>79</v>
      </c>
      <c r="AK8">
        <f t="shared" si="11"/>
        <v>79</v>
      </c>
      <c r="AL8">
        <f t="shared" si="12"/>
        <v>81.933333333333337</v>
      </c>
      <c r="AM8">
        <f t="shared" si="13"/>
        <v>87.5</v>
      </c>
      <c r="AO8">
        <f t="shared" si="14"/>
        <v>24</v>
      </c>
      <c r="AP8">
        <f t="shared" si="15"/>
        <v>0.8075</v>
      </c>
    </row>
    <row r="9" spans="1:42" x14ac:dyDescent="0.25">
      <c r="A9">
        <v>6</v>
      </c>
      <c r="B9">
        <f>Rich1!H8</f>
        <v>10</v>
      </c>
      <c r="C9">
        <f>Rich2!H8</f>
        <v>8</v>
      </c>
      <c r="D9">
        <f>Rich3!H8</f>
        <v>7</v>
      </c>
      <c r="E9">
        <f>Rich4!H8</f>
        <v>6</v>
      </c>
      <c r="F9">
        <f>Rich5!H8</f>
        <v>9</v>
      </c>
      <c r="G9">
        <f t="shared" si="1"/>
        <v>6</v>
      </c>
      <c r="H9">
        <f t="shared" si="2"/>
        <v>8</v>
      </c>
      <c r="I9">
        <f t="shared" si="3"/>
        <v>10</v>
      </c>
      <c r="K9">
        <v>6</v>
      </c>
      <c r="L9">
        <f>Rich1!$G8</f>
        <v>47</v>
      </c>
      <c r="M9">
        <f>Rich2!$G8</f>
        <v>51</v>
      </c>
      <c r="N9">
        <f>Rich3!$G8</f>
        <v>93</v>
      </c>
      <c r="O9">
        <f>Rich4!$G8</f>
        <v>40</v>
      </c>
      <c r="P9">
        <f>Rich5!$G8</f>
        <v>45</v>
      </c>
      <c r="Q9">
        <f t="shared" si="4"/>
        <v>40</v>
      </c>
      <c r="R9">
        <f t="shared" si="5"/>
        <v>55.2</v>
      </c>
      <c r="S9">
        <f t="shared" si="6"/>
        <v>93</v>
      </c>
      <c r="U9">
        <v>6</v>
      </c>
      <c r="V9">
        <f>Rich1!$D8</f>
        <v>32</v>
      </c>
      <c r="W9">
        <f>Rich2!$D8</f>
        <v>27</v>
      </c>
      <c r="X9">
        <f>Rich3!$D8</f>
        <v>15</v>
      </c>
      <c r="Y9">
        <f>Rich4!$D8</f>
        <v>34</v>
      </c>
      <c r="Z9">
        <f>Rich5!$D8</f>
        <v>32</v>
      </c>
      <c r="AA9">
        <f t="shared" si="7"/>
        <v>15</v>
      </c>
      <c r="AB9">
        <f t="shared" si="8"/>
        <v>28</v>
      </c>
      <c r="AC9">
        <f t="shared" si="9"/>
        <v>34</v>
      </c>
      <c r="AE9">
        <v>6</v>
      </c>
      <c r="AF9">
        <f>AVERAGE(L4:L9)</f>
        <v>72.833333333333329</v>
      </c>
      <c r="AG9">
        <f t="shared" ref="AG9:AJ9" si="20">AVERAGE(M4:M9)</f>
        <v>79.333333333333329</v>
      </c>
      <c r="AH9">
        <f t="shared" si="20"/>
        <v>80.166666666666671</v>
      </c>
      <c r="AI9">
        <f t="shared" si="20"/>
        <v>70.166666666666671</v>
      </c>
      <c r="AJ9">
        <f t="shared" si="20"/>
        <v>69.833333333333329</v>
      </c>
      <c r="AK9">
        <f t="shared" si="11"/>
        <v>69.833333333333329</v>
      </c>
      <c r="AL9">
        <f t="shared" si="12"/>
        <v>74.466666666666669</v>
      </c>
      <c r="AM9">
        <f t="shared" si="13"/>
        <v>80.166666666666671</v>
      </c>
      <c r="AO9">
        <f t="shared" si="14"/>
        <v>32</v>
      </c>
      <c r="AP9">
        <f t="shared" si="15"/>
        <v>0.71499999999999997</v>
      </c>
    </row>
    <row r="10" spans="1:42" x14ac:dyDescent="0.25">
      <c r="A10">
        <v>7</v>
      </c>
      <c r="B10">
        <f>Rich1!H9</f>
        <v>4</v>
      </c>
      <c r="C10">
        <f>Rich2!H9</f>
        <v>6</v>
      </c>
      <c r="D10">
        <f>Rich3!H9</f>
        <v>10</v>
      </c>
      <c r="E10">
        <f>Rich4!H9</f>
        <v>6</v>
      </c>
      <c r="F10">
        <f>Rich5!H9</f>
        <v>12</v>
      </c>
      <c r="G10">
        <f t="shared" si="1"/>
        <v>4</v>
      </c>
      <c r="H10">
        <f t="shared" si="2"/>
        <v>7.6</v>
      </c>
      <c r="I10">
        <f t="shared" si="3"/>
        <v>12</v>
      </c>
      <c r="K10">
        <v>7</v>
      </c>
      <c r="L10">
        <f>Rich1!$G9</f>
        <v>49</v>
      </c>
      <c r="M10">
        <f>Rich2!$G9</f>
        <v>49</v>
      </c>
      <c r="N10">
        <f>Rich3!$G9</f>
        <v>93</v>
      </c>
      <c r="O10">
        <f>Rich4!$G9</f>
        <v>36</v>
      </c>
      <c r="P10">
        <f>Rich5!$G9</f>
        <v>54</v>
      </c>
      <c r="Q10">
        <f t="shared" si="4"/>
        <v>36</v>
      </c>
      <c r="R10">
        <f t="shared" si="5"/>
        <v>56.2</v>
      </c>
      <c r="S10">
        <f t="shared" si="6"/>
        <v>93</v>
      </c>
      <c r="U10">
        <v>7</v>
      </c>
      <c r="V10">
        <f>Rich1!$D9</f>
        <v>33</v>
      </c>
      <c r="W10">
        <f>Rich2!$D9</f>
        <v>32</v>
      </c>
      <c r="X10">
        <f>Rich3!$D9</f>
        <v>23</v>
      </c>
      <c r="Y10">
        <f>Rich4!$D9</f>
        <v>37</v>
      </c>
      <c r="Z10">
        <f>Rich5!$D9</f>
        <v>39</v>
      </c>
      <c r="AA10">
        <f t="shared" si="7"/>
        <v>23</v>
      </c>
      <c r="AB10">
        <f t="shared" si="8"/>
        <v>32.799999999999997</v>
      </c>
      <c r="AC10">
        <f t="shared" si="9"/>
        <v>39</v>
      </c>
      <c r="AE10">
        <v>7</v>
      </c>
      <c r="AF10">
        <f t="shared" ref="AF10:AF52" si="21">AVERAGE(L5:L10)</f>
        <v>64.5</v>
      </c>
      <c r="AG10">
        <f t="shared" ref="AG10:AG52" si="22">AVERAGE(M5:M10)</f>
        <v>71.166666666666671</v>
      </c>
      <c r="AH10">
        <f t="shared" ref="AH10:AH52" si="23">AVERAGE(N5:N10)</f>
        <v>79.833333333333329</v>
      </c>
      <c r="AI10">
        <f t="shared" ref="AI10:AI52" si="24">AVERAGE(O5:O10)</f>
        <v>59.833333333333336</v>
      </c>
      <c r="AJ10">
        <f t="shared" ref="AJ10:AJ52" si="25">AVERAGE(P5:P10)</f>
        <v>62.5</v>
      </c>
      <c r="AK10">
        <f t="shared" si="11"/>
        <v>59.833333333333336</v>
      </c>
      <c r="AL10">
        <f t="shared" si="12"/>
        <v>67.566666666666663</v>
      </c>
      <c r="AM10">
        <f t="shared" si="13"/>
        <v>79.833333333333329</v>
      </c>
      <c r="AO10">
        <f t="shared" si="14"/>
        <v>33</v>
      </c>
      <c r="AP10">
        <f t="shared" si="15"/>
        <v>0.63500000000000001</v>
      </c>
    </row>
    <row r="11" spans="1:42" x14ac:dyDescent="0.25">
      <c r="A11">
        <v>8</v>
      </c>
      <c r="B11">
        <f>Rich1!H10</f>
        <v>5</v>
      </c>
      <c r="C11">
        <f>Rich2!H10</f>
        <v>11</v>
      </c>
      <c r="D11">
        <f>Rich3!H10</f>
        <v>8</v>
      </c>
      <c r="E11">
        <f>Rich4!H10</f>
        <v>7</v>
      </c>
      <c r="F11">
        <f>Rich5!H10</f>
        <v>5</v>
      </c>
      <c r="G11">
        <f t="shared" si="1"/>
        <v>5</v>
      </c>
      <c r="H11">
        <f t="shared" si="2"/>
        <v>7.2</v>
      </c>
      <c r="I11">
        <f t="shared" si="3"/>
        <v>11</v>
      </c>
      <c r="K11">
        <v>8</v>
      </c>
      <c r="L11">
        <f>Rich1!$G10</f>
        <v>39</v>
      </c>
      <c r="M11">
        <f>Rich2!$G10</f>
        <v>51</v>
      </c>
      <c r="N11">
        <f>Rich3!$G10</f>
        <v>43</v>
      </c>
      <c r="O11">
        <f>Rich4!$G10</f>
        <v>34</v>
      </c>
      <c r="P11">
        <f>Rich5!$G10</f>
        <v>46</v>
      </c>
      <c r="Q11">
        <f t="shared" si="4"/>
        <v>34</v>
      </c>
      <c r="R11">
        <f t="shared" si="5"/>
        <v>42.6</v>
      </c>
      <c r="S11">
        <f t="shared" si="6"/>
        <v>51</v>
      </c>
      <c r="U11">
        <v>8</v>
      </c>
      <c r="V11">
        <f>Rich1!$D10</f>
        <v>34</v>
      </c>
      <c r="W11">
        <f>Rich2!$D10</f>
        <v>41</v>
      </c>
      <c r="X11">
        <f>Rich3!$D10</f>
        <v>31</v>
      </c>
      <c r="Y11">
        <f>Rich4!$D10</f>
        <v>39</v>
      </c>
      <c r="Z11">
        <f>Rich5!$D10</f>
        <v>39</v>
      </c>
      <c r="AA11">
        <f t="shared" si="7"/>
        <v>31</v>
      </c>
      <c r="AB11">
        <f t="shared" si="8"/>
        <v>36.799999999999997</v>
      </c>
      <c r="AC11">
        <f t="shared" si="9"/>
        <v>41</v>
      </c>
      <c r="AE11">
        <v>8</v>
      </c>
      <c r="AF11">
        <f t="shared" si="21"/>
        <v>54.5</v>
      </c>
      <c r="AG11">
        <f t="shared" si="22"/>
        <v>63.5</v>
      </c>
      <c r="AH11">
        <f t="shared" si="23"/>
        <v>71.166666666666671</v>
      </c>
      <c r="AI11">
        <f t="shared" si="24"/>
        <v>49.666666666666664</v>
      </c>
      <c r="AJ11">
        <f t="shared" si="25"/>
        <v>53.833333333333336</v>
      </c>
      <c r="AK11">
        <f t="shared" si="11"/>
        <v>49.666666666666664</v>
      </c>
      <c r="AL11">
        <f t="shared" si="12"/>
        <v>58.533333333333339</v>
      </c>
      <c r="AM11">
        <f t="shared" si="13"/>
        <v>71.166666666666671</v>
      </c>
      <c r="AO11">
        <f t="shared" si="14"/>
        <v>39</v>
      </c>
      <c r="AP11">
        <f t="shared" si="15"/>
        <v>0.54166666666666674</v>
      </c>
    </row>
    <row r="12" spans="1:42" x14ac:dyDescent="0.25">
      <c r="A12">
        <v>9</v>
      </c>
      <c r="B12">
        <f>Rich1!H11</f>
        <v>9</v>
      </c>
      <c r="C12">
        <f>Rich2!H11</f>
        <v>4</v>
      </c>
      <c r="D12">
        <f>Rich3!H11</f>
        <v>10</v>
      </c>
      <c r="E12">
        <f>Rich4!H11</f>
        <v>4</v>
      </c>
      <c r="F12">
        <f>Rich5!H11</f>
        <v>4</v>
      </c>
      <c r="G12">
        <f t="shared" si="1"/>
        <v>4</v>
      </c>
      <c r="H12">
        <f t="shared" si="2"/>
        <v>6.2</v>
      </c>
      <c r="I12">
        <f t="shared" si="3"/>
        <v>10</v>
      </c>
      <c r="K12">
        <v>9</v>
      </c>
      <c r="L12">
        <f>Rich1!$G11</f>
        <v>41</v>
      </c>
      <c r="M12">
        <f>Rich2!$G11</f>
        <v>35</v>
      </c>
      <c r="N12">
        <f>Rich3!$G11</f>
        <v>46</v>
      </c>
      <c r="O12">
        <f>Rich4!$G11</f>
        <v>33</v>
      </c>
      <c r="P12">
        <f>Rich5!$G11</f>
        <v>37</v>
      </c>
      <c r="Q12">
        <f t="shared" si="4"/>
        <v>33</v>
      </c>
      <c r="R12">
        <f t="shared" si="5"/>
        <v>38.4</v>
      </c>
      <c r="S12">
        <f t="shared" si="6"/>
        <v>46</v>
      </c>
      <c r="U12">
        <v>9</v>
      </c>
      <c r="V12">
        <f>Rich1!$D11</f>
        <v>39</v>
      </c>
      <c r="W12">
        <f>Rich2!$D11</f>
        <v>41</v>
      </c>
      <c r="X12">
        <f>Rich3!$D11</f>
        <v>41</v>
      </c>
      <c r="Y12">
        <f>Rich4!$D11</f>
        <v>37</v>
      </c>
      <c r="Z12">
        <f>Rich5!$D11</f>
        <v>37</v>
      </c>
      <c r="AA12">
        <f t="shared" si="7"/>
        <v>37</v>
      </c>
      <c r="AB12">
        <f t="shared" si="8"/>
        <v>39</v>
      </c>
      <c r="AC12">
        <f t="shared" si="9"/>
        <v>41</v>
      </c>
      <c r="AE12">
        <v>9</v>
      </c>
      <c r="AF12">
        <f t="shared" si="21"/>
        <v>45.166666666666664</v>
      </c>
      <c r="AG12">
        <f t="shared" si="22"/>
        <v>53.166666666666664</v>
      </c>
      <c r="AH12">
        <f t="shared" si="23"/>
        <v>63</v>
      </c>
      <c r="AI12">
        <f t="shared" si="24"/>
        <v>38.833333333333336</v>
      </c>
      <c r="AJ12">
        <f t="shared" si="25"/>
        <v>44</v>
      </c>
      <c r="AK12">
        <f t="shared" si="11"/>
        <v>38.833333333333336</v>
      </c>
      <c r="AL12">
        <f t="shared" si="12"/>
        <v>48.833333333333329</v>
      </c>
      <c r="AM12">
        <f t="shared" si="13"/>
        <v>63</v>
      </c>
      <c r="AO12">
        <f t="shared" si="14"/>
        <v>39</v>
      </c>
      <c r="AP12">
        <f t="shared" si="15"/>
        <v>0.4458333333333333</v>
      </c>
    </row>
    <row r="13" spans="1:42" x14ac:dyDescent="0.25">
      <c r="A13">
        <v>10</v>
      </c>
      <c r="B13">
        <f>Rich1!H12</f>
        <v>7</v>
      </c>
      <c r="C13">
        <f>Rich2!H12</f>
        <v>8</v>
      </c>
      <c r="D13">
        <f>Rich3!H12</f>
        <v>7</v>
      </c>
      <c r="E13">
        <f>Rich4!H12</f>
        <v>3</v>
      </c>
      <c r="F13">
        <f>Rich5!H12</f>
        <v>7</v>
      </c>
      <c r="G13">
        <f t="shared" si="1"/>
        <v>3</v>
      </c>
      <c r="H13">
        <f t="shared" si="2"/>
        <v>6.4</v>
      </c>
      <c r="I13">
        <f t="shared" si="3"/>
        <v>8</v>
      </c>
      <c r="K13">
        <v>10</v>
      </c>
      <c r="L13">
        <f>Rich1!$G12</f>
        <v>46</v>
      </c>
      <c r="M13">
        <f>Rich2!$G12</f>
        <v>39</v>
      </c>
      <c r="N13">
        <f>Rich3!$G12</f>
        <v>35</v>
      </c>
      <c r="O13">
        <f>Rich4!$G12</f>
        <v>26</v>
      </c>
      <c r="P13">
        <f>Rich5!$G12</f>
        <v>40</v>
      </c>
      <c r="Q13">
        <f t="shared" si="4"/>
        <v>26</v>
      </c>
      <c r="R13">
        <f t="shared" si="5"/>
        <v>37.200000000000003</v>
      </c>
      <c r="S13">
        <f t="shared" si="6"/>
        <v>46</v>
      </c>
      <c r="U13">
        <v>10</v>
      </c>
      <c r="V13">
        <f>Rich1!$D12</f>
        <v>41</v>
      </c>
      <c r="W13">
        <f>Rich2!$D12</f>
        <v>44</v>
      </c>
      <c r="X13">
        <f>Rich3!$D12</f>
        <v>45</v>
      </c>
      <c r="Y13">
        <f>Rich4!$D12</f>
        <v>33</v>
      </c>
      <c r="Z13">
        <f>Rich5!$D12</f>
        <v>42</v>
      </c>
      <c r="AA13">
        <f t="shared" si="7"/>
        <v>33</v>
      </c>
      <c r="AB13">
        <f t="shared" si="8"/>
        <v>41</v>
      </c>
      <c r="AC13">
        <f t="shared" si="9"/>
        <v>45</v>
      </c>
      <c r="AE13">
        <v>10</v>
      </c>
      <c r="AF13">
        <f t="shared" si="21"/>
        <v>44.5</v>
      </c>
      <c r="AG13">
        <f t="shared" si="22"/>
        <v>50.666666666666664</v>
      </c>
      <c r="AH13">
        <f t="shared" si="23"/>
        <v>59.833333333333336</v>
      </c>
      <c r="AI13">
        <f t="shared" si="24"/>
        <v>35.166666666666664</v>
      </c>
      <c r="AJ13">
        <f t="shared" si="25"/>
        <v>43.833333333333336</v>
      </c>
      <c r="AK13">
        <f t="shared" si="11"/>
        <v>35.166666666666664</v>
      </c>
      <c r="AL13">
        <f t="shared" si="12"/>
        <v>46.8</v>
      </c>
      <c r="AM13">
        <f t="shared" si="13"/>
        <v>59.833333333333336</v>
      </c>
      <c r="AO13">
        <f t="shared" si="14"/>
        <v>42</v>
      </c>
      <c r="AP13">
        <f t="shared" si="15"/>
        <v>0.44166666666666671</v>
      </c>
    </row>
    <row r="14" spans="1:42" x14ac:dyDescent="0.25">
      <c r="A14">
        <v>11</v>
      </c>
      <c r="B14">
        <f>Rich1!H13</f>
        <v>6</v>
      </c>
      <c r="C14">
        <f>Rich2!H13</f>
        <v>6</v>
      </c>
      <c r="D14">
        <f>Rich3!H13</f>
        <v>8</v>
      </c>
      <c r="E14">
        <f>Rich4!H13</f>
        <v>3</v>
      </c>
      <c r="F14">
        <f>Rich5!H13</f>
        <v>5</v>
      </c>
      <c r="G14">
        <f t="shared" si="1"/>
        <v>3</v>
      </c>
      <c r="H14">
        <f t="shared" si="2"/>
        <v>5.6</v>
      </c>
      <c r="I14">
        <f t="shared" si="3"/>
        <v>8</v>
      </c>
      <c r="K14">
        <v>11</v>
      </c>
      <c r="L14">
        <f>Rich1!$G13</f>
        <v>42</v>
      </c>
      <c r="M14">
        <f>Rich2!$G13</f>
        <v>36</v>
      </c>
      <c r="N14">
        <f>Rich3!$G13</f>
        <v>41</v>
      </c>
      <c r="O14">
        <f>Rich4!$G13</f>
        <v>30</v>
      </c>
      <c r="P14">
        <f>Rich5!$G13</f>
        <v>45</v>
      </c>
      <c r="Q14">
        <f t="shared" si="4"/>
        <v>30</v>
      </c>
      <c r="R14">
        <f t="shared" si="5"/>
        <v>38.799999999999997</v>
      </c>
      <c r="S14">
        <f t="shared" si="6"/>
        <v>45</v>
      </c>
      <c r="U14">
        <v>11</v>
      </c>
      <c r="V14">
        <f>Rich1!$D13</f>
        <v>41</v>
      </c>
      <c r="W14">
        <f>Rich2!$D13</f>
        <v>43</v>
      </c>
      <c r="X14">
        <f>Rich3!$D13</f>
        <v>50</v>
      </c>
      <c r="Y14">
        <f>Rich4!$D13</f>
        <v>29</v>
      </c>
      <c r="Z14">
        <f>Rich5!$D13</f>
        <v>42</v>
      </c>
      <c r="AA14">
        <f t="shared" si="7"/>
        <v>29</v>
      </c>
      <c r="AB14">
        <f t="shared" si="8"/>
        <v>41</v>
      </c>
      <c r="AC14">
        <f t="shared" si="9"/>
        <v>50</v>
      </c>
      <c r="AE14">
        <v>11</v>
      </c>
      <c r="AF14">
        <f t="shared" si="21"/>
        <v>44</v>
      </c>
      <c r="AG14">
        <f t="shared" si="22"/>
        <v>43.5</v>
      </c>
      <c r="AH14">
        <f t="shared" si="23"/>
        <v>58.5</v>
      </c>
      <c r="AI14">
        <f t="shared" si="24"/>
        <v>33.166666666666664</v>
      </c>
      <c r="AJ14">
        <f t="shared" si="25"/>
        <v>44.5</v>
      </c>
      <c r="AK14">
        <f t="shared" si="11"/>
        <v>33.166666666666664</v>
      </c>
      <c r="AL14">
        <f t="shared" si="12"/>
        <v>44.733333333333334</v>
      </c>
      <c r="AM14">
        <f t="shared" si="13"/>
        <v>58.5</v>
      </c>
      <c r="AO14">
        <f t="shared" si="14"/>
        <v>42</v>
      </c>
      <c r="AP14">
        <f t="shared" si="15"/>
        <v>0.4375</v>
      </c>
    </row>
    <row r="15" spans="1:42" x14ac:dyDescent="0.25">
      <c r="A15">
        <v>12</v>
      </c>
      <c r="B15">
        <f>Rich1!H14</f>
        <v>2</v>
      </c>
      <c r="C15">
        <f>Rich2!H14</f>
        <v>1</v>
      </c>
      <c r="D15">
        <f>Rich3!H14</f>
        <v>4</v>
      </c>
      <c r="E15">
        <f>Rich4!H14</f>
        <v>1</v>
      </c>
      <c r="F15">
        <f>Rich5!H14</f>
        <v>2</v>
      </c>
      <c r="G15">
        <f t="shared" si="1"/>
        <v>1</v>
      </c>
      <c r="H15">
        <f t="shared" si="2"/>
        <v>2</v>
      </c>
      <c r="I15">
        <f t="shared" si="3"/>
        <v>4</v>
      </c>
      <c r="K15">
        <v>12</v>
      </c>
      <c r="L15">
        <f>Rich1!$G14</f>
        <v>38</v>
      </c>
      <c r="M15">
        <f>Rich2!$G14</f>
        <v>36</v>
      </c>
      <c r="N15">
        <f>Rich3!$G14</f>
        <v>39</v>
      </c>
      <c r="O15">
        <f>Rich4!$G14</f>
        <v>24</v>
      </c>
      <c r="P15">
        <f>Rich5!$G14</f>
        <v>39</v>
      </c>
      <c r="Q15">
        <f t="shared" si="4"/>
        <v>24</v>
      </c>
      <c r="R15">
        <f t="shared" si="5"/>
        <v>35.200000000000003</v>
      </c>
      <c r="S15">
        <f t="shared" si="6"/>
        <v>39</v>
      </c>
      <c r="U15">
        <v>12</v>
      </c>
      <c r="V15">
        <f>Rich1!$D14</f>
        <v>33</v>
      </c>
      <c r="W15">
        <f>Rich2!$D14</f>
        <v>36</v>
      </c>
      <c r="X15">
        <f>Rich3!$D14</f>
        <v>47</v>
      </c>
      <c r="Y15">
        <f>Rich4!$D14</f>
        <v>24</v>
      </c>
      <c r="Z15">
        <f>Rich5!$D14</f>
        <v>35</v>
      </c>
      <c r="AA15">
        <f t="shared" si="7"/>
        <v>24</v>
      </c>
      <c r="AB15">
        <f t="shared" si="8"/>
        <v>35</v>
      </c>
      <c r="AC15">
        <f t="shared" si="9"/>
        <v>47</v>
      </c>
      <c r="AE15">
        <v>12</v>
      </c>
      <c r="AF15">
        <f t="shared" si="21"/>
        <v>42.5</v>
      </c>
      <c r="AG15">
        <f t="shared" si="22"/>
        <v>41</v>
      </c>
      <c r="AH15">
        <f t="shared" si="23"/>
        <v>49.5</v>
      </c>
      <c r="AI15">
        <f t="shared" si="24"/>
        <v>30.5</v>
      </c>
      <c r="AJ15">
        <f t="shared" si="25"/>
        <v>43.5</v>
      </c>
      <c r="AK15">
        <f t="shared" si="11"/>
        <v>30.5</v>
      </c>
      <c r="AL15">
        <f t="shared" si="12"/>
        <v>41.4</v>
      </c>
      <c r="AM15">
        <f t="shared" si="13"/>
        <v>49.5</v>
      </c>
      <c r="AO15">
        <f t="shared" si="14"/>
        <v>35</v>
      </c>
      <c r="AP15">
        <f t="shared" si="15"/>
        <v>0.41749999999999998</v>
      </c>
    </row>
    <row r="16" spans="1:42" x14ac:dyDescent="0.25">
      <c r="A16">
        <v>13</v>
      </c>
      <c r="B16">
        <f>Rich1!H15</f>
        <v>3</v>
      </c>
      <c r="C16">
        <f>Rich2!H15</f>
        <v>4</v>
      </c>
      <c r="D16">
        <f>Rich3!H15</f>
        <v>1</v>
      </c>
      <c r="E16">
        <f>Rich4!H15</f>
        <v>1</v>
      </c>
      <c r="F16">
        <f>Rich5!H15</f>
        <v>3</v>
      </c>
      <c r="G16">
        <f t="shared" si="1"/>
        <v>1</v>
      </c>
      <c r="H16">
        <f t="shared" si="2"/>
        <v>2.4</v>
      </c>
      <c r="I16">
        <f t="shared" si="3"/>
        <v>4</v>
      </c>
      <c r="K16">
        <v>13</v>
      </c>
      <c r="L16">
        <f>Rich1!$G15</f>
        <v>35</v>
      </c>
      <c r="M16">
        <f>Rich2!$G15</f>
        <v>47</v>
      </c>
      <c r="N16">
        <f>Rich3!$G15</f>
        <v>41</v>
      </c>
      <c r="O16">
        <f>Rich4!$G15</f>
        <v>43</v>
      </c>
      <c r="P16">
        <f>Rich5!$G15</f>
        <v>37</v>
      </c>
      <c r="Q16">
        <f t="shared" si="4"/>
        <v>35</v>
      </c>
      <c r="R16">
        <f t="shared" si="5"/>
        <v>40.6</v>
      </c>
      <c r="S16">
        <f t="shared" si="6"/>
        <v>47</v>
      </c>
      <c r="U16">
        <v>13</v>
      </c>
      <c r="V16">
        <f>Rich1!$D15</f>
        <v>32</v>
      </c>
      <c r="W16">
        <f>Rich2!$D15</f>
        <v>34</v>
      </c>
      <c r="X16">
        <f>Rich3!$D15</f>
        <v>38</v>
      </c>
      <c r="Y16">
        <f>Rich4!$D15</f>
        <v>19</v>
      </c>
      <c r="Z16">
        <f>Rich5!$D15</f>
        <v>26</v>
      </c>
      <c r="AA16">
        <f t="shared" si="7"/>
        <v>19</v>
      </c>
      <c r="AB16">
        <f t="shared" si="8"/>
        <v>29.8</v>
      </c>
      <c r="AC16">
        <f t="shared" si="9"/>
        <v>38</v>
      </c>
      <c r="AE16">
        <v>13</v>
      </c>
      <c r="AF16">
        <f t="shared" si="21"/>
        <v>40.166666666666664</v>
      </c>
      <c r="AG16">
        <f t="shared" si="22"/>
        <v>40.666666666666664</v>
      </c>
      <c r="AH16">
        <f t="shared" si="23"/>
        <v>40.833333333333336</v>
      </c>
      <c r="AI16">
        <f t="shared" si="24"/>
        <v>31.666666666666668</v>
      </c>
      <c r="AJ16">
        <f t="shared" si="25"/>
        <v>40.666666666666664</v>
      </c>
      <c r="AK16">
        <f t="shared" si="11"/>
        <v>31.666666666666668</v>
      </c>
      <c r="AL16">
        <f t="shared" si="12"/>
        <v>38.799999999999997</v>
      </c>
      <c r="AM16">
        <f t="shared" si="13"/>
        <v>40.833333333333336</v>
      </c>
      <c r="AO16">
        <f t="shared" si="14"/>
        <v>32</v>
      </c>
      <c r="AP16">
        <f t="shared" si="15"/>
        <v>0.40416666666666662</v>
      </c>
    </row>
    <row r="17" spans="1:42" x14ac:dyDescent="0.25">
      <c r="A17">
        <v>14</v>
      </c>
      <c r="B17">
        <f>Rich1!H16</f>
        <v>2</v>
      </c>
      <c r="C17">
        <f>Rich2!H16</f>
        <v>1</v>
      </c>
      <c r="D17">
        <f>Rich3!H16</f>
        <v>2</v>
      </c>
      <c r="E17">
        <f>Rich4!H16</f>
        <v>0</v>
      </c>
      <c r="F17">
        <f>Rich5!H16</f>
        <v>0</v>
      </c>
      <c r="G17">
        <f t="shared" si="1"/>
        <v>0</v>
      </c>
      <c r="H17">
        <f t="shared" si="2"/>
        <v>1</v>
      </c>
      <c r="I17">
        <f t="shared" si="3"/>
        <v>2</v>
      </c>
      <c r="K17">
        <v>14</v>
      </c>
      <c r="L17">
        <f>Rich1!$G16</f>
        <v>39</v>
      </c>
      <c r="M17">
        <f>Rich2!$G16</f>
        <v>45</v>
      </c>
      <c r="N17">
        <f>Rich3!$G16</f>
        <v>37</v>
      </c>
      <c r="O17">
        <f>Rich4!$G16</f>
        <v>40</v>
      </c>
      <c r="P17">
        <f>Rich5!$G16</f>
        <v>38</v>
      </c>
      <c r="Q17">
        <f t="shared" si="4"/>
        <v>37</v>
      </c>
      <c r="R17">
        <f t="shared" si="5"/>
        <v>39.799999999999997</v>
      </c>
      <c r="S17">
        <f t="shared" si="6"/>
        <v>45</v>
      </c>
      <c r="U17">
        <v>14</v>
      </c>
      <c r="V17">
        <f>Rich1!$D16</f>
        <v>29</v>
      </c>
      <c r="W17">
        <f>Rich2!$D16</f>
        <v>24</v>
      </c>
      <c r="X17">
        <f>Rich3!$D16</f>
        <v>32</v>
      </c>
      <c r="Y17">
        <f>Rich4!$D16</f>
        <v>12</v>
      </c>
      <c r="Z17">
        <f>Rich5!$D16</f>
        <v>21</v>
      </c>
      <c r="AA17">
        <f t="shared" si="7"/>
        <v>12</v>
      </c>
      <c r="AB17">
        <f t="shared" si="8"/>
        <v>23.6</v>
      </c>
      <c r="AC17">
        <f t="shared" si="9"/>
        <v>32</v>
      </c>
      <c r="AE17">
        <v>14</v>
      </c>
      <c r="AF17">
        <f t="shared" si="21"/>
        <v>40.166666666666664</v>
      </c>
      <c r="AG17">
        <f t="shared" si="22"/>
        <v>39.666666666666664</v>
      </c>
      <c r="AH17">
        <f t="shared" si="23"/>
        <v>39.833333333333336</v>
      </c>
      <c r="AI17">
        <f t="shared" si="24"/>
        <v>32.666666666666664</v>
      </c>
      <c r="AJ17">
        <f t="shared" si="25"/>
        <v>39.333333333333336</v>
      </c>
      <c r="AK17">
        <f t="shared" si="11"/>
        <v>32.666666666666664</v>
      </c>
      <c r="AL17">
        <f t="shared" si="12"/>
        <v>38.333333333333329</v>
      </c>
      <c r="AM17">
        <f t="shared" si="13"/>
        <v>40.166666666666664</v>
      </c>
      <c r="AO17">
        <f t="shared" si="14"/>
        <v>24</v>
      </c>
      <c r="AP17">
        <f t="shared" si="15"/>
        <v>0.39500000000000002</v>
      </c>
    </row>
    <row r="18" spans="1:42" x14ac:dyDescent="0.25">
      <c r="A18">
        <v>15</v>
      </c>
      <c r="B18">
        <f>Rich1!H17</f>
        <v>0</v>
      </c>
      <c r="C18">
        <f>Rich2!H17</f>
        <v>0</v>
      </c>
      <c r="D18">
        <f>Rich3!H17</f>
        <v>0</v>
      </c>
      <c r="E18">
        <f>Rich4!H17</f>
        <v>1</v>
      </c>
      <c r="F18">
        <f>Rich5!H17</f>
        <v>1</v>
      </c>
      <c r="G18">
        <f t="shared" si="1"/>
        <v>0</v>
      </c>
      <c r="H18">
        <f t="shared" si="2"/>
        <v>0.4</v>
      </c>
      <c r="I18">
        <f t="shared" si="3"/>
        <v>1</v>
      </c>
      <c r="K18">
        <v>15</v>
      </c>
      <c r="L18">
        <f>Rich1!$G17</f>
        <v>46</v>
      </c>
      <c r="M18">
        <f>Rich2!$G17</f>
        <v>46</v>
      </c>
      <c r="N18">
        <f>Rich3!$G17</f>
        <v>35</v>
      </c>
      <c r="O18">
        <f>Rich4!$G17</f>
        <v>45</v>
      </c>
      <c r="P18">
        <f>Rich5!$G17</f>
        <v>44</v>
      </c>
      <c r="Q18">
        <f t="shared" si="4"/>
        <v>35</v>
      </c>
      <c r="R18">
        <f t="shared" si="5"/>
        <v>43.2</v>
      </c>
      <c r="S18">
        <f t="shared" si="6"/>
        <v>46</v>
      </c>
      <c r="U18">
        <v>15</v>
      </c>
      <c r="V18">
        <f>Rich1!$D17</f>
        <v>20</v>
      </c>
      <c r="W18">
        <f>Rich2!$D17</f>
        <v>20</v>
      </c>
      <c r="X18">
        <f>Rich3!$D17</f>
        <v>22</v>
      </c>
      <c r="Y18">
        <f>Rich4!$D17</f>
        <v>9</v>
      </c>
      <c r="Z18">
        <f>Rich5!$D17</f>
        <v>18</v>
      </c>
      <c r="AA18">
        <f t="shared" si="7"/>
        <v>9</v>
      </c>
      <c r="AB18">
        <f t="shared" si="8"/>
        <v>17.8</v>
      </c>
      <c r="AC18">
        <f t="shared" si="9"/>
        <v>22</v>
      </c>
      <c r="AE18">
        <v>15</v>
      </c>
      <c r="AF18">
        <f t="shared" si="21"/>
        <v>41</v>
      </c>
      <c r="AG18">
        <f t="shared" si="22"/>
        <v>41.5</v>
      </c>
      <c r="AH18">
        <f t="shared" si="23"/>
        <v>38</v>
      </c>
      <c r="AI18">
        <f t="shared" si="24"/>
        <v>34.666666666666664</v>
      </c>
      <c r="AJ18">
        <f t="shared" si="25"/>
        <v>40.5</v>
      </c>
      <c r="AK18">
        <f t="shared" si="11"/>
        <v>34.666666666666664</v>
      </c>
      <c r="AL18">
        <f t="shared" si="12"/>
        <v>39.133333333333333</v>
      </c>
      <c r="AM18">
        <f t="shared" si="13"/>
        <v>41.5</v>
      </c>
      <c r="AO18">
        <f t="shared" si="14"/>
        <v>20</v>
      </c>
      <c r="AP18">
        <f t="shared" si="15"/>
        <v>0.39250000000000002</v>
      </c>
    </row>
    <row r="19" spans="1:42" x14ac:dyDescent="0.25">
      <c r="A19">
        <v>16</v>
      </c>
      <c r="B19">
        <f>Rich1!H18</f>
        <v>4</v>
      </c>
      <c r="C19">
        <f>Rich2!H18</f>
        <v>3</v>
      </c>
      <c r="D19">
        <f>Rich3!H18</f>
        <v>1</v>
      </c>
      <c r="E19">
        <f>Rich4!H18</f>
        <v>1</v>
      </c>
      <c r="F19">
        <f>Rich5!H18</f>
        <v>2</v>
      </c>
      <c r="G19">
        <f t="shared" si="1"/>
        <v>1</v>
      </c>
      <c r="H19">
        <f t="shared" si="2"/>
        <v>2.2000000000000002</v>
      </c>
      <c r="I19">
        <f t="shared" si="3"/>
        <v>4</v>
      </c>
      <c r="K19">
        <v>16</v>
      </c>
      <c r="L19">
        <f>Rich1!$G18</f>
        <v>53</v>
      </c>
      <c r="M19">
        <f>Rich2!$G18</f>
        <v>70</v>
      </c>
      <c r="N19">
        <f>Rich3!$G18</f>
        <v>43</v>
      </c>
      <c r="O19">
        <f>Rich4!$G18</f>
        <v>64</v>
      </c>
      <c r="P19">
        <f>Rich5!$G18</f>
        <v>43</v>
      </c>
      <c r="Q19">
        <f t="shared" si="4"/>
        <v>43</v>
      </c>
      <c r="R19">
        <f t="shared" si="5"/>
        <v>54.6</v>
      </c>
      <c r="S19">
        <f t="shared" si="6"/>
        <v>70</v>
      </c>
      <c r="U19">
        <v>16</v>
      </c>
      <c r="V19">
        <f>Rich1!$D18</f>
        <v>17</v>
      </c>
      <c r="W19">
        <f>Rich2!$D18</f>
        <v>15</v>
      </c>
      <c r="X19">
        <f>Rich3!$D18</f>
        <v>16</v>
      </c>
      <c r="Y19">
        <f>Rich4!$D18</f>
        <v>7</v>
      </c>
      <c r="Z19">
        <f>Rich5!$D18</f>
        <v>13</v>
      </c>
      <c r="AA19">
        <f t="shared" si="7"/>
        <v>7</v>
      </c>
      <c r="AB19">
        <f t="shared" si="8"/>
        <v>13.6</v>
      </c>
      <c r="AC19">
        <f t="shared" si="9"/>
        <v>17</v>
      </c>
      <c r="AE19">
        <v>16</v>
      </c>
      <c r="AF19">
        <f t="shared" si="21"/>
        <v>42.166666666666664</v>
      </c>
      <c r="AG19">
        <f t="shared" si="22"/>
        <v>46.666666666666664</v>
      </c>
      <c r="AH19">
        <f t="shared" si="23"/>
        <v>39.333333333333336</v>
      </c>
      <c r="AI19">
        <f t="shared" si="24"/>
        <v>41</v>
      </c>
      <c r="AJ19">
        <f t="shared" si="25"/>
        <v>41</v>
      </c>
      <c r="AK19">
        <f t="shared" si="11"/>
        <v>39.333333333333336</v>
      </c>
      <c r="AL19">
        <f t="shared" si="12"/>
        <v>42.033333333333331</v>
      </c>
      <c r="AM19">
        <f t="shared" si="13"/>
        <v>46.666666666666664</v>
      </c>
      <c r="AO19">
        <f t="shared" si="14"/>
        <v>15</v>
      </c>
      <c r="AP19">
        <f t="shared" si="15"/>
        <v>0.41</v>
      </c>
    </row>
    <row r="20" spans="1:42" x14ac:dyDescent="0.25">
      <c r="A20">
        <v>17</v>
      </c>
      <c r="B20">
        <f>Rich1!H19</f>
        <v>0</v>
      </c>
      <c r="C20">
        <f>Rich2!H19</f>
        <v>0</v>
      </c>
      <c r="D20">
        <f>Rich3!H19</f>
        <v>2</v>
      </c>
      <c r="E20">
        <f>Rich4!H19</f>
        <v>1</v>
      </c>
      <c r="F20">
        <f>Rich5!H19</f>
        <v>0</v>
      </c>
      <c r="G20">
        <f t="shared" si="1"/>
        <v>0</v>
      </c>
      <c r="H20">
        <f t="shared" si="2"/>
        <v>0.6</v>
      </c>
      <c r="I20">
        <f t="shared" si="3"/>
        <v>2</v>
      </c>
      <c r="K20">
        <v>17</v>
      </c>
      <c r="L20">
        <f>Rich1!$G19</f>
        <v>46</v>
      </c>
      <c r="M20">
        <f>Rich2!$G19</f>
        <v>44</v>
      </c>
      <c r="N20">
        <f>Rich3!$G19</f>
        <v>64</v>
      </c>
      <c r="O20">
        <f>Rich4!$G19</f>
        <v>65</v>
      </c>
      <c r="P20">
        <f>Rich5!$G19</f>
        <v>49</v>
      </c>
      <c r="Q20">
        <f t="shared" si="4"/>
        <v>44</v>
      </c>
      <c r="R20">
        <f t="shared" si="5"/>
        <v>53.6</v>
      </c>
      <c r="S20">
        <f t="shared" si="6"/>
        <v>65</v>
      </c>
      <c r="U20">
        <v>17</v>
      </c>
      <c r="V20">
        <f>Rich1!$D19</f>
        <v>11</v>
      </c>
      <c r="W20">
        <f>Rich2!$D19</f>
        <v>9</v>
      </c>
      <c r="X20">
        <f>Rich3!$D19</f>
        <v>10</v>
      </c>
      <c r="Y20">
        <f>Rich4!$D19</f>
        <v>5</v>
      </c>
      <c r="Z20">
        <f>Rich5!$D19</f>
        <v>8</v>
      </c>
      <c r="AA20">
        <f t="shared" si="7"/>
        <v>5</v>
      </c>
      <c r="AB20">
        <f t="shared" si="8"/>
        <v>8.6</v>
      </c>
      <c r="AC20">
        <f t="shared" si="9"/>
        <v>11</v>
      </c>
      <c r="AE20">
        <v>17</v>
      </c>
      <c r="AF20">
        <f t="shared" si="21"/>
        <v>42.833333333333336</v>
      </c>
      <c r="AG20">
        <f t="shared" si="22"/>
        <v>48</v>
      </c>
      <c r="AH20">
        <f t="shared" si="23"/>
        <v>43.166666666666664</v>
      </c>
      <c r="AI20">
        <f t="shared" si="24"/>
        <v>46.833333333333336</v>
      </c>
      <c r="AJ20">
        <f t="shared" si="25"/>
        <v>41.666666666666664</v>
      </c>
      <c r="AK20">
        <f t="shared" si="11"/>
        <v>41.666666666666664</v>
      </c>
      <c r="AL20">
        <f t="shared" si="12"/>
        <v>44.5</v>
      </c>
      <c r="AM20">
        <f t="shared" si="13"/>
        <v>48</v>
      </c>
      <c r="AO20">
        <f t="shared" si="14"/>
        <v>9</v>
      </c>
      <c r="AP20">
        <f t="shared" si="15"/>
        <v>0.43</v>
      </c>
    </row>
    <row r="21" spans="1:42" x14ac:dyDescent="0.25">
      <c r="A21">
        <v>18</v>
      </c>
      <c r="B21">
        <f>Rich1!H20</f>
        <v>0</v>
      </c>
      <c r="C21">
        <f>Rich2!H20</f>
        <v>1</v>
      </c>
      <c r="D21">
        <f>Rich3!H20</f>
        <v>1</v>
      </c>
      <c r="E21">
        <f>Rich4!H20</f>
        <v>2</v>
      </c>
      <c r="F21">
        <f>Rich5!H20</f>
        <v>2</v>
      </c>
      <c r="G21">
        <f t="shared" si="1"/>
        <v>0</v>
      </c>
      <c r="H21">
        <f t="shared" si="2"/>
        <v>1.2</v>
      </c>
      <c r="I21">
        <f t="shared" si="3"/>
        <v>2</v>
      </c>
      <c r="K21">
        <v>18</v>
      </c>
      <c r="L21">
        <f>Rich1!$G20</f>
        <v>49</v>
      </c>
      <c r="M21">
        <f>Rich2!$G20</f>
        <v>72</v>
      </c>
      <c r="N21">
        <f>Rich3!$G20</f>
        <v>53</v>
      </c>
      <c r="O21">
        <f>Rich4!$G20</f>
        <v>97</v>
      </c>
      <c r="P21">
        <f>Rich5!$G20</f>
        <v>93</v>
      </c>
      <c r="Q21">
        <f t="shared" si="4"/>
        <v>49</v>
      </c>
      <c r="R21">
        <f t="shared" si="5"/>
        <v>72.8</v>
      </c>
      <c r="S21">
        <f t="shared" si="6"/>
        <v>97</v>
      </c>
      <c r="U21">
        <v>18</v>
      </c>
      <c r="V21">
        <f>Rich1!$D20</f>
        <v>9</v>
      </c>
      <c r="W21">
        <f>Rich2!$D20</f>
        <v>9</v>
      </c>
      <c r="X21">
        <f>Rich3!$D20</f>
        <v>7</v>
      </c>
      <c r="Y21">
        <f>Rich4!$D20</f>
        <v>6</v>
      </c>
      <c r="Z21">
        <f>Rich5!$D20</f>
        <v>8</v>
      </c>
      <c r="AA21">
        <f t="shared" si="7"/>
        <v>6</v>
      </c>
      <c r="AB21">
        <f t="shared" si="8"/>
        <v>7.8</v>
      </c>
      <c r="AC21">
        <f t="shared" si="9"/>
        <v>9</v>
      </c>
      <c r="AE21">
        <v>18</v>
      </c>
      <c r="AF21">
        <f t="shared" si="21"/>
        <v>44.666666666666664</v>
      </c>
      <c r="AG21">
        <f t="shared" si="22"/>
        <v>54</v>
      </c>
      <c r="AH21">
        <f t="shared" si="23"/>
        <v>45.5</v>
      </c>
      <c r="AI21">
        <f t="shared" si="24"/>
        <v>59</v>
      </c>
      <c r="AJ21">
        <f t="shared" si="25"/>
        <v>50.666666666666664</v>
      </c>
      <c r="AK21">
        <f t="shared" si="11"/>
        <v>44.666666666666664</v>
      </c>
      <c r="AL21">
        <f t="shared" si="12"/>
        <v>50.766666666666666</v>
      </c>
      <c r="AM21">
        <f t="shared" si="13"/>
        <v>59</v>
      </c>
      <c r="AO21">
        <f t="shared" si="14"/>
        <v>8</v>
      </c>
      <c r="AP21">
        <f t="shared" si="15"/>
        <v>0.48083333333333328</v>
      </c>
    </row>
    <row r="22" spans="1:42" x14ac:dyDescent="0.25">
      <c r="A22">
        <v>19</v>
      </c>
      <c r="B22">
        <f>Rich1!H21</f>
        <v>0</v>
      </c>
      <c r="C22">
        <f>Rich2!H21</f>
        <v>1</v>
      </c>
      <c r="D22">
        <f>Rich3!H21</f>
        <v>1</v>
      </c>
      <c r="E22">
        <f>Rich4!H21</f>
        <v>1</v>
      </c>
      <c r="F22">
        <f>Rich5!H21</f>
        <v>1</v>
      </c>
      <c r="G22">
        <f t="shared" si="1"/>
        <v>0</v>
      </c>
      <c r="H22">
        <f t="shared" si="2"/>
        <v>0.8</v>
      </c>
      <c r="I22">
        <f t="shared" si="3"/>
        <v>1</v>
      </c>
      <c r="K22">
        <v>19</v>
      </c>
      <c r="L22">
        <f>Rich1!$G21</f>
        <v>91</v>
      </c>
      <c r="M22">
        <f>Rich2!$G21</f>
        <v>97</v>
      </c>
      <c r="N22">
        <f>Rich3!$G21</f>
        <v>96</v>
      </c>
      <c r="O22">
        <f>Rich4!$G21</f>
        <v>64</v>
      </c>
      <c r="P22">
        <f>Rich5!$G21</f>
        <v>67</v>
      </c>
      <c r="Q22">
        <f t="shared" si="4"/>
        <v>64</v>
      </c>
      <c r="R22">
        <f t="shared" si="5"/>
        <v>83</v>
      </c>
      <c r="S22">
        <f t="shared" si="6"/>
        <v>97</v>
      </c>
      <c r="U22">
        <v>19</v>
      </c>
      <c r="V22">
        <f>Rich1!$D21</f>
        <v>6</v>
      </c>
      <c r="W22">
        <f>Rich2!$D21</f>
        <v>6</v>
      </c>
      <c r="X22">
        <f>Rich3!$D21</f>
        <v>7</v>
      </c>
      <c r="Y22">
        <f>Rich4!$D21</f>
        <v>6</v>
      </c>
      <c r="Z22">
        <f>Rich5!$D21</f>
        <v>6</v>
      </c>
      <c r="AA22">
        <f t="shared" si="7"/>
        <v>6</v>
      </c>
      <c r="AB22">
        <f t="shared" si="8"/>
        <v>6.2</v>
      </c>
      <c r="AC22">
        <f t="shared" si="9"/>
        <v>7</v>
      </c>
      <c r="AE22">
        <v>19</v>
      </c>
      <c r="AF22">
        <f t="shared" si="21"/>
        <v>54</v>
      </c>
      <c r="AG22">
        <f t="shared" si="22"/>
        <v>62.333333333333336</v>
      </c>
      <c r="AH22">
        <f t="shared" si="23"/>
        <v>54.666666666666664</v>
      </c>
      <c r="AI22">
        <f t="shared" si="24"/>
        <v>62.5</v>
      </c>
      <c r="AJ22">
        <f t="shared" si="25"/>
        <v>55.666666666666664</v>
      </c>
      <c r="AK22">
        <f t="shared" si="11"/>
        <v>54</v>
      </c>
      <c r="AL22">
        <f t="shared" si="12"/>
        <v>57.833333333333336</v>
      </c>
      <c r="AM22">
        <f t="shared" si="13"/>
        <v>62.5</v>
      </c>
      <c r="AO22">
        <f t="shared" si="14"/>
        <v>6</v>
      </c>
      <c r="AP22">
        <f t="shared" si="15"/>
        <v>0.55166666666666664</v>
      </c>
    </row>
    <row r="23" spans="1:42" x14ac:dyDescent="0.25">
      <c r="A23">
        <v>20</v>
      </c>
      <c r="B23">
        <f>Rich1!H22</f>
        <v>0</v>
      </c>
      <c r="C23">
        <f>Rich2!H22</f>
        <v>0</v>
      </c>
      <c r="D23">
        <f>Rich3!H22</f>
        <v>0</v>
      </c>
      <c r="E23">
        <f>Rich4!H22</f>
        <v>1</v>
      </c>
      <c r="F23">
        <f>Rich5!H22</f>
        <v>0</v>
      </c>
      <c r="G23">
        <f t="shared" si="1"/>
        <v>0</v>
      </c>
      <c r="H23">
        <f t="shared" si="2"/>
        <v>0.2</v>
      </c>
      <c r="I23">
        <f t="shared" si="3"/>
        <v>1</v>
      </c>
      <c r="K23">
        <v>20</v>
      </c>
      <c r="L23">
        <f>Rich1!$G22</f>
        <v>52</v>
      </c>
      <c r="M23">
        <f>Rich2!$G22</f>
        <v>50</v>
      </c>
      <c r="N23">
        <f>Rich3!$G22</f>
        <v>65</v>
      </c>
      <c r="O23">
        <f>Rich4!$G22</f>
        <v>64</v>
      </c>
      <c r="P23">
        <f>Rich5!$G22</f>
        <v>44</v>
      </c>
      <c r="Q23">
        <f t="shared" si="4"/>
        <v>44</v>
      </c>
      <c r="R23">
        <f t="shared" si="5"/>
        <v>55</v>
      </c>
      <c r="S23">
        <f t="shared" si="6"/>
        <v>65</v>
      </c>
      <c r="U23">
        <v>20</v>
      </c>
      <c r="V23">
        <f>Rich1!$D22</f>
        <v>4</v>
      </c>
      <c r="W23">
        <f>Rich2!$D22</f>
        <v>5</v>
      </c>
      <c r="X23">
        <f>Rich3!$D22</f>
        <v>5</v>
      </c>
      <c r="Y23">
        <f>Rich4!$D22</f>
        <v>7</v>
      </c>
      <c r="Z23">
        <f>Rich5!$D22</f>
        <v>6</v>
      </c>
      <c r="AA23">
        <f t="shared" si="7"/>
        <v>4</v>
      </c>
      <c r="AB23">
        <f t="shared" si="8"/>
        <v>5.4</v>
      </c>
      <c r="AC23">
        <f t="shared" si="9"/>
        <v>7</v>
      </c>
      <c r="AE23">
        <v>20</v>
      </c>
      <c r="AF23">
        <f t="shared" si="21"/>
        <v>56.166666666666664</v>
      </c>
      <c r="AG23">
        <f t="shared" si="22"/>
        <v>63.166666666666664</v>
      </c>
      <c r="AH23">
        <f t="shared" si="23"/>
        <v>59.333333333333336</v>
      </c>
      <c r="AI23">
        <f t="shared" si="24"/>
        <v>66.5</v>
      </c>
      <c r="AJ23">
        <f t="shared" si="25"/>
        <v>56.666666666666664</v>
      </c>
      <c r="AK23">
        <f t="shared" si="11"/>
        <v>56.166666666666664</v>
      </c>
      <c r="AL23">
        <f t="shared" si="12"/>
        <v>60.36666666666666</v>
      </c>
      <c r="AM23">
        <f t="shared" si="13"/>
        <v>66.5</v>
      </c>
      <c r="AO23">
        <f t="shared" si="14"/>
        <v>5</v>
      </c>
      <c r="AP23">
        <f t="shared" si="15"/>
        <v>0.57999999999999996</v>
      </c>
    </row>
    <row r="24" spans="1:42" x14ac:dyDescent="0.25">
      <c r="A24">
        <v>21</v>
      </c>
      <c r="B24">
        <f>Rich1!H23</f>
        <v>0</v>
      </c>
      <c r="C24">
        <f>Rich2!H23</f>
        <v>2</v>
      </c>
      <c r="D24">
        <f>Rich3!H23</f>
        <v>1</v>
      </c>
      <c r="E24">
        <f>Rich4!H23</f>
        <v>0</v>
      </c>
      <c r="F24">
        <f>Rich5!H23</f>
        <v>1</v>
      </c>
      <c r="G24">
        <f t="shared" si="1"/>
        <v>0</v>
      </c>
      <c r="H24">
        <f t="shared" si="2"/>
        <v>0.8</v>
      </c>
      <c r="I24">
        <f t="shared" si="3"/>
        <v>2</v>
      </c>
      <c r="K24">
        <v>21</v>
      </c>
      <c r="L24">
        <f>Rich1!$G23</f>
        <v>98</v>
      </c>
      <c r="M24">
        <f>Rich2!$G23</f>
        <v>96</v>
      </c>
      <c r="N24">
        <f>Rich3!$G23</f>
        <v>52</v>
      </c>
      <c r="O24">
        <f>Rich4!$G23</f>
        <v>64</v>
      </c>
      <c r="P24">
        <f>Rich5!$G23</f>
        <v>96</v>
      </c>
      <c r="Q24">
        <f t="shared" si="4"/>
        <v>52</v>
      </c>
      <c r="R24">
        <f t="shared" si="5"/>
        <v>81.2</v>
      </c>
      <c r="S24">
        <f t="shared" si="6"/>
        <v>98</v>
      </c>
      <c r="U24">
        <v>21</v>
      </c>
      <c r="V24">
        <f>Rich1!$D23</f>
        <v>4</v>
      </c>
      <c r="W24">
        <f>Rich2!$D23</f>
        <v>7</v>
      </c>
      <c r="X24">
        <f>Rich3!$D23</f>
        <v>6</v>
      </c>
      <c r="Y24">
        <f>Rich4!$D23</f>
        <v>6</v>
      </c>
      <c r="Z24">
        <f>Rich5!$D23</f>
        <v>6</v>
      </c>
      <c r="AA24">
        <f t="shared" si="7"/>
        <v>4</v>
      </c>
      <c r="AB24">
        <f t="shared" si="8"/>
        <v>5.8</v>
      </c>
      <c r="AC24">
        <f t="shared" si="9"/>
        <v>7</v>
      </c>
      <c r="AE24">
        <v>21</v>
      </c>
      <c r="AF24">
        <f t="shared" si="21"/>
        <v>64.833333333333329</v>
      </c>
      <c r="AG24">
        <f t="shared" si="22"/>
        <v>71.5</v>
      </c>
      <c r="AH24">
        <f t="shared" si="23"/>
        <v>62.166666666666664</v>
      </c>
      <c r="AI24">
        <f t="shared" si="24"/>
        <v>69.666666666666671</v>
      </c>
      <c r="AJ24">
        <f t="shared" si="25"/>
        <v>65.333333333333329</v>
      </c>
      <c r="AK24">
        <f t="shared" si="11"/>
        <v>62.166666666666664</v>
      </c>
      <c r="AL24">
        <f t="shared" si="12"/>
        <v>66.699999999999989</v>
      </c>
      <c r="AM24">
        <f t="shared" si="13"/>
        <v>71.5</v>
      </c>
      <c r="AO24">
        <f t="shared" si="14"/>
        <v>6</v>
      </c>
      <c r="AP24">
        <f t="shared" si="15"/>
        <v>0.65083333333333326</v>
      </c>
    </row>
    <row r="25" spans="1:42" x14ac:dyDescent="0.25">
      <c r="A25">
        <v>22</v>
      </c>
      <c r="B25">
        <f>Rich1!H24</f>
        <v>0</v>
      </c>
      <c r="C25">
        <f>Rich2!H24</f>
        <v>0</v>
      </c>
      <c r="D25">
        <f>Rich3!H24</f>
        <v>3</v>
      </c>
      <c r="E25">
        <f>Rich4!H24</f>
        <v>2</v>
      </c>
      <c r="F25">
        <f>Rich5!H24</f>
        <v>0</v>
      </c>
      <c r="G25">
        <f t="shared" si="1"/>
        <v>0</v>
      </c>
      <c r="H25">
        <f t="shared" si="2"/>
        <v>1</v>
      </c>
      <c r="I25">
        <f t="shared" si="3"/>
        <v>3</v>
      </c>
      <c r="K25">
        <v>22</v>
      </c>
      <c r="L25">
        <f>Rich1!$G24</f>
        <v>95</v>
      </c>
      <c r="M25">
        <f>Rich2!$G24</f>
        <v>72</v>
      </c>
      <c r="N25">
        <f>Rich3!$G24</f>
        <v>69</v>
      </c>
      <c r="O25">
        <f>Rich4!$G24</f>
        <v>49</v>
      </c>
      <c r="P25">
        <f>Rich5!$G24</f>
        <v>43</v>
      </c>
      <c r="Q25">
        <f t="shared" si="4"/>
        <v>43</v>
      </c>
      <c r="R25">
        <f t="shared" si="5"/>
        <v>65.599999999999994</v>
      </c>
      <c r="S25">
        <f t="shared" si="6"/>
        <v>95</v>
      </c>
      <c r="U25">
        <v>22</v>
      </c>
      <c r="V25">
        <f>Rich1!$D24</f>
        <v>0</v>
      </c>
      <c r="W25">
        <f>Rich2!$D24</f>
        <v>4</v>
      </c>
      <c r="X25">
        <f>Rich3!$D24</f>
        <v>8</v>
      </c>
      <c r="Y25">
        <f>Rich4!$D24</f>
        <v>7</v>
      </c>
      <c r="Z25">
        <f>Rich5!$D24</f>
        <v>4</v>
      </c>
      <c r="AA25">
        <f t="shared" si="7"/>
        <v>0</v>
      </c>
      <c r="AB25">
        <f t="shared" si="8"/>
        <v>4.5999999999999996</v>
      </c>
      <c r="AC25">
        <f t="shared" si="9"/>
        <v>8</v>
      </c>
      <c r="AE25">
        <v>22</v>
      </c>
      <c r="AF25">
        <f t="shared" si="21"/>
        <v>71.833333333333329</v>
      </c>
      <c r="AG25">
        <f t="shared" si="22"/>
        <v>71.833333333333329</v>
      </c>
      <c r="AH25">
        <f t="shared" si="23"/>
        <v>66.5</v>
      </c>
      <c r="AI25">
        <f t="shared" si="24"/>
        <v>67.166666666666671</v>
      </c>
      <c r="AJ25">
        <f t="shared" si="25"/>
        <v>65.333333333333329</v>
      </c>
      <c r="AK25">
        <f t="shared" si="11"/>
        <v>65.333333333333329</v>
      </c>
      <c r="AL25">
        <f t="shared" si="12"/>
        <v>68.533333333333331</v>
      </c>
      <c r="AM25">
        <f t="shared" si="13"/>
        <v>71.833333333333329</v>
      </c>
      <c r="AO25">
        <f t="shared" si="14"/>
        <v>4</v>
      </c>
      <c r="AP25">
        <f t="shared" si="15"/>
        <v>0.66833333333333345</v>
      </c>
    </row>
    <row r="26" spans="1:42" x14ac:dyDescent="0.25">
      <c r="A26">
        <v>23</v>
      </c>
      <c r="B26" s="2">
        <f>Rich1!H25</f>
        <v>0</v>
      </c>
      <c r="C26">
        <f>Rich2!H25</f>
        <v>0</v>
      </c>
      <c r="D26">
        <f>Rich3!H25</f>
        <v>1</v>
      </c>
      <c r="E26">
        <f>Rich4!H25</f>
        <v>3</v>
      </c>
      <c r="F26">
        <f>Rich5!H25</f>
        <v>1</v>
      </c>
      <c r="G26">
        <f t="shared" si="1"/>
        <v>0</v>
      </c>
      <c r="H26">
        <f t="shared" si="2"/>
        <v>1</v>
      </c>
      <c r="I26">
        <f t="shared" si="3"/>
        <v>3</v>
      </c>
      <c r="K26">
        <v>23</v>
      </c>
      <c r="L26" s="2">
        <v>100</v>
      </c>
      <c r="M26">
        <f>Rich2!$G25</f>
        <v>76</v>
      </c>
      <c r="N26">
        <f>Rich3!$G25</f>
        <v>71</v>
      </c>
      <c r="O26">
        <f>Rich4!$G25</f>
        <v>70</v>
      </c>
      <c r="P26">
        <f>Rich5!$G25</f>
        <v>65</v>
      </c>
      <c r="Q26">
        <f t="shared" si="4"/>
        <v>65</v>
      </c>
      <c r="R26">
        <f t="shared" si="5"/>
        <v>76.400000000000006</v>
      </c>
      <c r="S26">
        <f t="shared" si="6"/>
        <v>100</v>
      </c>
      <c r="U26">
        <v>23</v>
      </c>
      <c r="V26" s="2">
        <f>Rich1!$D25</f>
        <v>0</v>
      </c>
      <c r="W26">
        <f>Rich2!$D25</f>
        <v>4</v>
      </c>
      <c r="X26">
        <f>Rich3!$D25</f>
        <v>7</v>
      </c>
      <c r="Y26">
        <f>Rich4!$D25</f>
        <v>9</v>
      </c>
      <c r="Z26">
        <f>Rich5!$D25</f>
        <v>5</v>
      </c>
      <c r="AA26">
        <f t="shared" si="7"/>
        <v>0</v>
      </c>
      <c r="AB26">
        <f t="shared" si="8"/>
        <v>5</v>
      </c>
      <c r="AC26">
        <f t="shared" si="9"/>
        <v>9</v>
      </c>
      <c r="AE26">
        <v>23</v>
      </c>
      <c r="AF26" s="2">
        <f t="shared" si="21"/>
        <v>80.833333333333329</v>
      </c>
      <c r="AG26">
        <f t="shared" si="22"/>
        <v>77.166666666666671</v>
      </c>
      <c r="AH26">
        <f t="shared" si="23"/>
        <v>67.666666666666671</v>
      </c>
      <c r="AI26">
        <f t="shared" si="24"/>
        <v>68</v>
      </c>
      <c r="AJ26">
        <f t="shared" si="25"/>
        <v>68</v>
      </c>
      <c r="AK26">
        <f t="shared" si="11"/>
        <v>67.666666666666671</v>
      </c>
      <c r="AL26">
        <f t="shared" si="12"/>
        <v>72.333333333333343</v>
      </c>
      <c r="AM26">
        <f t="shared" si="13"/>
        <v>80.833333333333329</v>
      </c>
      <c r="AO26">
        <f t="shared" si="14"/>
        <v>5</v>
      </c>
      <c r="AP26">
        <f t="shared" si="15"/>
        <v>0.68</v>
      </c>
    </row>
    <row r="27" spans="1:42" x14ac:dyDescent="0.25">
      <c r="A27">
        <v>24</v>
      </c>
      <c r="B27" s="2">
        <f>Rich1!H26</f>
        <v>0</v>
      </c>
      <c r="C27">
        <f>Rich2!H26</f>
        <v>0</v>
      </c>
      <c r="D27">
        <f>Rich3!H26</f>
        <v>1</v>
      </c>
      <c r="E27">
        <f>Rich4!H26</f>
        <v>2</v>
      </c>
      <c r="F27">
        <f>Rich5!H26</f>
        <v>1</v>
      </c>
      <c r="G27">
        <f t="shared" si="1"/>
        <v>0</v>
      </c>
      <c r="H27">
        <f t="shared" si="2"/>
        <v>0.8</v>
      </c>
      <c r="I27">
        <f t="shared" si="3"/>
        <v>2</v>
      </c>
      <c r="K27">
        <v>24</v>
      </c>
      <c r="L27" s="2">
        <v>100</v>
      </c>
      <c r="M27">
        <f>Rich2!$G26</f>
        <v>95</v>
      </c>
      <c r="N27">
        <f>Rich3!$G26</f>
        <v>94</v>
      </c>
      <c r="O27">
        <f>Rich4!$G26</f>
        <v>63</v>
      </c>
      <c r="P27">
        <f>Rich5!$G26</f>
        <v>95</v>
      </c>
      <c r="Q27">
        <f t="shared" si="4"/>
        <v>63</v>
      </c>
      <c r="R27">
        <f t="shared" si="5"/>
        <v>89.4</v>
      </c>
      <c r="S27">
        <f t="shared" si="6"/>
        <v>100</v>
      </c>
      <c r="U27">
        <v>24</v>
      </c>
      <c r="V27" s="2">
        <f>Rich1!$D26</f>
        <v>0</v>
      </c>
      <c r="W27">
        <f>Rich2!$D26</f>
        <v>3</v>
      </c>
      <c r="X27">
        <f>Rich3!$D26</f>
        <v>7</v>
      </c>
      <c r="Y27">
        <f>Rich4!$D26</f>
        <v>9</v>
      </c>
      <c r="Z27">
        <f>Rich5!$D26</f>
        <v>4</v>
      </c>
      <c r="AA27">
        <f t="shared" si="7"/>
        <v>0</v>
      </c>
      <c r="AB27">
        <f t="shared" si="8"/>
        <v>4.5999999999999996</v>
      </c>
      <c r="AC27">
        <f t="shared" si="9"/>
        <v>9</v>
      </c>
      <c r="AE27">
        <v>24</v>
      </c>
      <c r="AF27" s="2">
        <f t="shared" si="21"/>
        <v>89.333333333333329</v>
      </c>
      <c r="AG27">
        <f t="shared" si="22"/>
        <v>81</v>
      </c>
      <c r="AH27">
        <f t="shared" si="23"/>
        <v>74.5</v>
      </c>
      <c r="AI27">
        <f t="shared" si="24"/>
        <v>62.333333333333336</v>
      </c>
      <c r="AJ27">
        <f t="shared" si="25"/>
        <v>68.333333333333329</v>
      </c>
      <c r="AK27">
        <f t="shared" si="11"/>
        <v>62.333333333333336</v>
      </c>
      <c r="AL27">
        <f t="shared" si="12"/>
        <v>75.099999999999994</v>
      </c>
      <c r="AM27">
        <f t="shared" si="13"/>
        <v>89.333333333333329</v>
      </c>
      <c r="AO27">
        <f t="shared" si="14"/>
        <v>4</v>
      </c>
      <c r="AP27">
        <f t="shared" si="15"/>
        <v>0.71416666666666662</v>
      </c>
    </row>
    <row r="28" spans="1:42" x14ac:dyDescent="0.25">
      <c r="A28">
        <v>25</v>
      </c>
      <c r="B28" s="2">
        <f>Rich1!H27</f>
        <v>0</v>
      </c>
      <c r="C28">
        <f>Rich2!H27</f>
        <v>0</v>
      </c>
      <c r="D28">
        <f>Rich3!H27</f>
        <v>1</v>
      </c>
      <c r="E28">
        <f>Rich4!H27</f>
        <v>5</v>
      </c>
      <c r="F28">
        <f>Rich5!H27</f>
        <v>0</v>
      </c>
      <c r="G28">
        <f t="shared" si="1"/>
        <v>0</v>
      </c>
      <c r="H28">
        <f t="shared" si="2"/>
        <v>1.2</v>
      </c>
      <c r="I28">
        <f t="shared" si="3"/>
        <v>5</v>
      </c>
      <c r="K28">
        <v>25</v>
      </c>
      <c r="L28" s="2">
        <v>100</v>
      </c>
      <c r="M28">
        <f>Rich2!$G27</f>
        <v>53</v>
      </c>
      <c r="N28">
        <f>Rich3!$G27</f>
        <v>66</v>
      </c>
      <c r="O28">
        <f>Rich4!$G27</f>
        <v>95</v>
      </c>
      <c r="P28">
        <f>Rich5!$G27</f>
        <v>66</v>
      </c>
      <c r="Q28">
        <f t="shared" si="4"/>
        <v>53</v>
      </c>
      <c r="R28">
        <f t="shared" si="5"/>
        <v>76</v>
      </c>
      <c r="S28">
        <f t="shared" si="6"/>
        <v>100</v>
      </c>
      <c r="U28">
        <v>25</v>
      </c>
      <c r="V28" s="2">
        <f>Rich1!$D27</f>
        <v>0</v>
      </c>
      <c r="W28">
        <f>Rich2!$D27</f>
        <v>2</v>
      </c>
      <c r="X28">
        <f>Rich3!$D27</f>
        <v>7</v>
      </c>
      <c r="Y28">
        <f>Rich4!$D27</f>
        <v>13</v>
      </c>
      <c r="Z28">
        <f>Rich5!$D27</f>
        <v>3</v>
      </c>
      <c r="AA28">
        <f t="shared" si="7"/>
        <v>0</v>
      </c>
      <c r="AB28">
        <f t="shared" si="8"/>
        <v>5</v>
      </c>
      <c r="AC28">
        <f t="shared" si="9"/>
        <v>13</v>
      </c>
      <c r="AE28">
        <v>25</v>
      </c>
      <c r="AF28" s="2">
        <f t="shared" si="21"/>
        <v>90.833333333333329</v>
      </c>
      <c r="AG28">
        <f t="shared" si="22"/>
        <v>73.666666666666671</v>
      </c>
      <c r="AH28">
        <f t="shared" si="23"/>
        <v>69.5</v>
      </c>
      <c r="AI28">
        <f t="shared" si="24"/>
        <v>67.5</v>
      </c>
      <c r="AJ28">
        <f t="shared" si="25"/>
        <v>68.166666666666671</v>
      </c>
      <c r="AK28">
        <f t="shared" si="11"/>
        <v>67.5</v>
      </c>
      <c r="AL28">
        <f t="shared" si="12"/>
        <v>73.933333333333337</v>
      </c>
      <c r="AM28">
        <f t="shared" si="13"/>
        <v>90.833333333333329</v>
      </c>
      <c r="AO28">
        <f t="shared" si="14"/>
        <v>3</v>
      </c>
      <c r="AP28">
        <f t="shared" si="15"/>
        <v>0.68833333333333346</v>
      </c>
    </row>
    <row r="29" spans="1:42" x14ac:dyDescent="0.25">
      <c r="A29">
        <v>26</v>
      </c>
      <c r="B29" s="2">
        <f>Rich1!H28</f>
        <v>0</v>
      </c>
      <c r="C29">
        <f>Rich2!H28</f>
        <v>0</v>
      </c>
      <c r="D29">
        <f>Rich3!H28</f>
        <v>1</v>
      </c>
      <c r="E29">
        <f>Rich4!H28</f>
        <v>0</v>
      </c>
      <c r="F29">
        <f>Rich5!H28</f>
        <v>1</v>
      </c>
      <c r="G29">
        <f t="shared" si="1"/>
        <v>0</v>
      </c>
      <c r="H29">
        <f t="shared" si="2"/>
        <v>0.4</v>
      </c>
      <c r="I29">
        <f t="shared" si="3"/>
        <v>1</v>
      </c>
      <c r="K29">
        <v>26</v>
      </c>
      <c r="L29" s="2">
        <v>100</v>
      </c>
      <c r="M29">
        <f>Rich2!$G28</f>
        <v>96</v>
      </c>
      <c r="N29">
        <f>Rich3!$G28</f>
        <v>50</v>
      </c>
      <c r="O29">
        <f>Rich4!$G28</f>
        <v>48</v>
      </c>
      <c r="P29">
        <f>Rich5!$G28</f>
        <v>97</v>
      </c>
      <c r="Q29">
        <f t="shared" si="4"/>
        <v>48</v>
      </c>
      <c r="R29">
        <f t="shared" si="5"/>
        <v>78.2</v>
      </c>
      <c r="S29">
        <f t="shared" si="6"/>
        <v>100</v>
      </c>
      <c r="U29">
        <v>26</v>
      </c>
      <c r="V29" s="2">
        <f>Rich1!$D28</f>
        <v>0</v>
      </c>
      <c r="W29">
        <f>Rich2!$D28</f>
        <v>2</v>
      </c>
      <c r="X29">
        <f>Rich3!$D28</f>
        <v>8</v>
      </c>
      <c r="Y29">
        <f>Rich4!$D28</f>
        <v>12</v>
      </c>
      <c r="Z29">
        <f>Rich5!$D28</f>
        <v>4</v>
      </c>
      <c r="AA29">
        <f t="shared" si="7"/>
        <v>0</v>
      </c>
      <c r="AB29">
        <f t="shared" si="8"/>
        <v>5.2</v>
      </c>
      <c r="AC29">
        <f t="shared" si="9"/>
        <v>12</v>
      </c>
      <c r="AE29">
        <v>26</v>
      </c>
      <c r="AF29" s="2">
        <f t="shared" si="21"/>
        <v>98.833333333333329</v>
      </c>
      <c r="AG29">
        <f t="shared" si="22"/>
        <v>81.333333333333329</v>
      </c>
      <c r="AH29">
        <f t="shared" si="23"/>
        <v>67</v>
      </c>
      <c r="AI29">
        <f t="shared" si="24"/>
        <v>64.833333333333329</v>
      </c>
      <c r="AJ29">
        <f t="shared" si="25"/>
        <v>77</v>
      </c>
      <c r="AK29">
        <f t="shared" si="11"/>
        <v>64.833333333333329</v>
      </c>
      <c r="AL29">
        <f t="shared" si="12"/>
        <v>77.8</v>
      </c>
      <c r="AM29">
        <f t="shared" si="13"/>
        <v>98.833333333333329</v>
      </c>
      <c r="AO29">
        <f t="shared" si="14"/>
        <v>4</v>
      </c>
      <c r="AP29">
        <f t="shared" si="15"/>
        <v>0.72</v>
      </c>
    </row>
    <row r="30" spans="1:42" x14ac:dyDescent="0.25">
      <c r="A30">
        <v>27</v>
      </c>
      <c r="B30" s="2">
        <f>Rich1!H29</f>
        <v>0</v>
      </c>
      <c r="C30">
        <f>Rich2!H29</f>
        <v>0</v>
      </c>
      <c r="D30">
        <f>Rich3!H29</f>
        <v>0</v>
      </c>
      <c r="E30">
        <f>Rich4!H29</f>
        <v>0</v>
      </c>
      <c r="F30">
        <f>Rich5!H29</f>
        <v>0</v>
      </c>
      <c r="G30">
        <f t="shared" si="1"/>
        <v>0</v>
      </c>
      <c r="H30">
        <f t="shared" si="2"/>
        <v>0</v>
      </c>
      <c r="I30">
        <f t="shared" si="3"/>
        <v>0</v>
      </c>
      <c r="K30">
        <v>27</v>
      </c>
      <c r="L30" s="2">
        <v>100</v>
      </c>
      <c r="M30">
        <f>Rich2!$G29</f>
        <v>95</v>
      </c>
      <c r="N30">
        <f>Rich3!$G29</f>
        <v>67</v>
      </c>
      <c r="O30">
        <f>Rich4!$G29</f>
        <v>44</v>
      </c>
      <c r="P30">
        <f>Rich5!$G29</f>
        <v>67</v>
      </c>
      <c r="Q30">
        <f t="shared" si="4"/>
        <v>44</v>
      </c>
      <c r="R30">
        <f t="shared" si="5"/>
        <v>74.599999999999994</v>
      </c>
      <c r="S30">
        <f t="shared" si="6"/>
        <v>100</v>
      </c>
      <c r="U30">
        <v>27</v>
      </c>
      <c r="V30" s="2">
        <f>Rich1!$D29</f>
        <v>0</v>
      </c>
      <c r="W30">
        <f>Rich2!$D29</f>
        <v>0</v>
      </c>
      <c r="X30">
        <f>Rich3!$D29</f>
        <v>7</v>
      </c>
      <c r="Y30">
        <f>Rich4!$D29</f>
        <v>12</v>
      </c>
      <c r="Z30">
        <f>Rich5!$D29</f>
        <v>3</v>
      </c>
      <c r="AA30">
        <f t="shared" si="7"/>
        <v>0</v>
      </c>
      <c r="AB30">
        <f t="shared" si="8"/>
        <v>4.4000000000000004</v>
      </c>
      <c r="AC30">
        <f t="shared" si="9"/>
        <v>12</v>
      </c>
      <c r="AE30">
        <v>27</v>
      </c>
      <c r="AF30" s="2">
        <f t="shared" si="21"/>
        <v>99.166666666666671</v>
      </c>
      <c r="AG30">
        <f t="shared" si="22"/>
        <v>81.166666666666671</v>
      </c>
      <c r="AH30">
        <f t="shared" si="23"/>
        <v>69.5</v>
      </c>
      <c r="AI30">
        <f t="shared" si="24"/>
        <v>61.5</v>
      </c>
      <c r="AJ30">
        <f t="shared" si="25"/>
        <v>72.166666666666671</v>
      </c>
      <c r="AK30">
        <f t="shared" si="11"/>
        <v>61.5</v>
      </c>
      <c r="AL30">
        <f t="shared" si="12"/>
        <v>76.700000000000017</v>
      </c>
      <c r="AM30">
        <f t="shared" si="13"/>
        <v>99.166666666666671</v>
      </c>
      <c r="AO30">
        <f t="shared" si="14"/>
        <v>3</v>
      </c>
      <c r="AP30">
        <f t="shared" si="15"/>
        <v>0.70833333333333348</v>
      </c>
    </row>
    <row r="31" spans="1:42" x14ac:dyDescent="0.25">
      <c r="A31">
        <v>28</v>
      </c>
      <c r="B31" s="2">
        <f>Rich1!H30</f>
        <v>0</v>
      </c>
      <c r="C31" s="2">
        <f>Rich2!H30</f>
        <v>0</v>
      </c>
      <c r="D31">
        <f>Rich3!H30</f>
        <v>0</v>
      </c>
      <c r="E31">
        <f>Rich4!H30</f>
        <v>1</v>
      </c>
      <c r="F31">
        <f>Rich5!H30</f>
        <v>1</v>
      </c>
      <c r="G31">
        <f t="shared" si="1"/>
        <v>0</v>
      </c>
      <c r="H31">
        <f t="shared" si="2"/>
        <v>0.4</v>
      </c>
      <c r="I31">
        <f t="shared" si="3"/>
        <v>1</v>
      </c>
      <c r="K31">
        <v>28</v>
      </c>
      <c r="L31" s="2">
        <v>100</v>
      </c>
      <c r="M31" s="2">
        <v>100</v>
      </c>
      <c r="N31">
        <f>Rich3!$G30</f>
        <v>72</v>
      </c>
      <c r="O31">
        <f>Rich4!$G30</f>
        <v>49</v>
      </c>
      <c r="P31">
        <f>Rich5!$G30</f>
        <v>67</v>
      </c>
      <c r="Q31">
        <f t="shared" si="4"/>
        <v>49</v>
      </c>
      <c r="R31">
        <f t="shared" si="5"/>
        <v>77.599999999999994</v>
      </c>
      <c r="S31">
        <f t="shared" si="6"/>
        <v>100</v>
      </c>
      <c r="U31">
        <v>28</v>
      </c>
      <c r="V31" s="2">
        <f>Rich1!$D30</f>
        <v>0</v>
      </c>
      <c r="W31" s="2">
        <f>Rich2!$D30</f>
        <v>0</v>
      </c>
      <c r="X31">
        <f>Rich3!$D30</f>
        <v>4</v>
      </c>
      <c r="Y31">
        <f>Rich4!$D30</f>
        <v>11</v>
      </c>
      <c r="Z31">
        <f>Rich5!$D30</f>
        <v>4</v>
      </c>
      <c r="AA31">
        <f t="shared" si="7"/>
        <v>0</v>
      </c>
      <c r="AB31">
        <f t="shared" si="8"/>
        <v>3.8</v>
      </c>
      <c r="AC31">
        <f t="shared" si="9"/>
        <v>11</v>
      </c>
      <c r="AE31">
        <v>28</v>
      </c>
      <c r="AF31" s="2">
        <f t="shared" si="21"/>
        <v>100</v>
      </c>
      <c r="AG31" s="2">
        <f t="shared" si="22"/>
        <v>85.833333333333329</v>
      </c>
      <c r="AH31">
        <f t="shared" si="23"/>
        <v>70</v>
      </c>
      <c r="AI31">
        <f t="shared" si="24"/>
        <v>61.5</v>
      </c>
      <c r="AJ31">
        <f t="shared" si="25"/>
        <v>76.166666666666671</v>
      </c>
      <c r="AK31">
        <f t="shared" si="11"/>
        <v>61.5</v>
      </c>
      <c r="AL31">
        <f t="shared" si="12"/>
        <v>78.7</v>
      </c>
      <c r="AM31">
        <f t="shared" si="13"/>
        <v>100</v>
      </c>
      <c r="AO31">
        <f t="shared" si="14"/>
        <v>4</v>
      </c>
      <c r="AP31">
        <f t="shared" si="15"/>
        <v>0.73083333333333345</v>
      </c>
    </row>
    <row r="32" spans="1:42" x14ac:dyDescent="0.25">
      <c r="A32">
        <v>29</v>
      </c>
      <c r="B32" s="2">
        <f>Rich1!H31</f>
        <v>0</v>
      </c>
      <c r="C32" s="2">
        <f>Rich2!H31</f>
        <v>0</v>
      </c>
      <c r="D32">
        <f>Rich3!H31</f>
        <v>0</v>
      </c>
      <c r="E32">
        <f>Rich4!H31</f>
        <v>0</v>
      </c>
      <c r="F32">
        <f>Rich5!H31</f>
        <v>0</v>
      </c>
      <c r="G32">
        <f t="shared" si="1"/>
        <v>0</v>
      </c>
      <c r="H32">
        <f t="shared" si="2"/>
        <v>0</v>
      </c>
      <c r="I32">
        <f t="shared" si="3"/>
        <v>0</v>
      </c>
      <c r="K32">
        <v>29</v>
      </c>
      <c r="L32" s="2">
        <v>100</v>
      </c>
      <c r="M32" s="2">
        <v>100</v>
      </c>
      <c r="N32">
        <f>Rich3!$G31</f>
        <v>70</v>
      </c>
      <c r="O32">
        <f>Rich4!$G31</f>
        <v>47</v>
      </c>
      <c r="P32">
        <f>Rich5!$G31</f>
        <v>95</v>
      </c>
      <c r="Q32">
        <f t="shared" si="4"/>
        <v>47</v>
      </c>
      <c r="R32">
        <f t="shared" si="5"/>
        <v>82.4</v>
      </c>
      <c r="S32">
        <f t="shared" si="6"/>
        <v>100</v>
      </c>
      <c r="U32">
        <v>29</v>
      </c>
      <c r="V32" s="2">
        <f>Rich1!$D31</f>
        <v>0</v>
      </c>
      <c r="W32" s="2">
        <f>Rich2!$D31</f>
        <v>0</v>
      </c>
      <c r="X32">
        <f>Rich3!$D31</f>
        <v>3</v>
      </c>
      <c r="Y32">
        <f>Rich4!$D31</f>
        <v>8</v>
      </c>
      <c r="Z32">
        <f>Rich5!$D31</f>
        <v>3</v>
      </c>
      <c r="AA32">
        <f t="shared" si="7"/>
        <v>0</v>
      </c>
      <c r="AB32">
        <f t="shared" si="8"/>
        <v>2.8</v>
      </c>
      <c r="AC32">
        <f t="shared" si="9"/>
        <v>8</v>
      </c>
      <c r="AE32">
        <v>29</v>
      </c>
      <c r="AF32" s="2">
        <f t="shared" si="21"/>
        <v>100</v>
      </c>
      <c r="AG32" s="2">
        <f t="shared" si="22"/>
        <v>89.833333333333329</v>
      </c>
      <c r="AH32">
        <f t="shared" si="23"/>
        <v>69.833333333333329</v>
      </c>
      <c r="AI32">
        <f t="shared" si="24"/>
        <v>57.666666666666664</v>
      </c>
      <c r="AJ32">
        <f t="shared" si="25"/>
        <v>81.166666666666671</v>
      </c>
      <c r="AK32">
        <f t="shared" si="11"/>
        <v>57.666666666666664</v>
      </c>
      <c r="AL32">
        <f t="shared" si="12"/>
        <v>79.7</v>
      </c>
      <c r="AM32">
        <f t="shared" si="13"/>
        <v>100</v>
      </c>
      <c r="AO32">
        <f t="shared" si="14"/>
        <v>3</v>
      </c>
      <c r="AP32">
        <f t="shared" si="15"/>
        <v>0.755</v>
      </c>
    </row>
    <row r="33" spans="1:42" x14ac:dyDescent="0.25">
      <c r="A33">
        <v>30</v>
      </c>
      <c r="B33" s="2">
        <f>Rich1!H32</f>
        <v>0</v>
      </c>
      <c r="C33" s="2">
        <f>Rich2!H32</f>
        <v>0</v>
      </c>
      <c r="D33">
        <f>Rich3!H32</f>
        <v>0</v>
      </c>
      <c r="E33">
        <f>Rich4!H32</f>
        <v>0</v>
      </c>
      <c r="F33">
        <f>Rich5!H32</f>
        <v>0</v>
      </c>
      <c r="G33">
        <f t="shared" si="1"/>
        <v>0</v>
      </c>
      <c r="H33">
        <f t="shared" si="2"/>
        <v>0</v>
      </c>
      <c r="I33">
        <f t="shared" si="3"/>
        <v>0</v>
      </c>
      <c r="K33">
        <v>30</v>
      </c>
      <c r="L33" s="2">
        <v>100</v>
      </c>
      <c r="M33" s="2">
        <v>100</v>
      </c>
      <c r="N33">
        <f>Rich3!$G32</f>
        <v>66</v>
      </c>
      <c r="O33">
        <f>Rich4!$G32</f>
        <v>94</v>
      </c>
      <c r="P33">
        <f>Rich5!$G32</f>
        <v>68</v>
      </c>
      <c r="Q33">
        <f t="shared" si="4"/>
        <v>66</v>
      </c>
      <c r="R33">
        <f t="shared" si="5"/>
        <v>85.6</v>
      </c>
      <c r="S33">
        <f t="shared" si="6"/>
        <v>100</v>
      </c>
      <c r="U33">
        <v>30</v>
      </c>
      <c r="V33" s="2">
        <f>Rich1!$D32</f>
        <v>0</v>
      </c>
      <c r="W33" s="2">
        <f>Rich2!$D32</f>
        <v>0</v>
      </c>
      <c r="X33">
        <f>Rich3!$D32</f>
        <v>2</v>
      </c>
      <c r="Y33">
        <f>Rich4!$D32</f>
        <v>6</v>
      </c>
      <c r="Z33">
        <f>Rich5!$D32</f>
        <v>2</v>
      </c>
      <c r="AA33">
        <f t="shared" si="7"/>
        <v>0</v>
      </c>
      <c r="AB33">
        <f t="shared" si="8"/>
        <v>2</v>
      </c>
      <c r="AC33">
        <f t="shared" si="9"/>
        <v>6</v>
      </c>
      <c r="AE33">
        <v>30</v>
      </c>
      <c r="AF33" s="2">
        <f t="shared" si="21"/>
        <v>100</v>
      </c>
      <c r="AG33" s="2">
        <f t="shared" si="22"/>
        <v>90.666666666666671</v>
      </c>
      <c r="AH33">
        <f t="shared" si="23"/>
        <v>65.166666666666671</v>
      </c>
      <c r="AI33">
        <f t="shared" si="24"/>
        <v>62.833333333333336</v>
      </c>
      <c r="AJ33">
        <f t="shared" si="25"/>
        <v>76.666666666666671</v>
      </c>
      <c r="AK33">
        <f t="shared" si="11"/>
        <v>62.833333333333336</v>
      </c>
      <c r="AL33">
        <f t="shared" si="12"/>
        <v>79.066666666666677</v>
      </c>
      <c r="AM33">
        <f t="shared" si="13"/>
        <v>100</v>
      </c>
      <c r="AO33">
        <f t="shared" si="14"/>
        <v>2</v>
      </c>
      <c r="AP33">
        <f t="shared" si="15"/>
        <v>0.70916666666666672</v>
      </c>
    </row>
    <row r="34" spans="1:42" x14ac:dyDescent="0.25">
      <c r="A34">
        <v>31</v>
      </c>
      <c r="B34" s="2">
        <f>Rich1!H33</f>
        <v>0</v>
      </c>
      <c r="C34" s="2">
        <f>Rich2!H33</f>
        <v>0</v>
      </c>
      <c r="D34">
        <f>Rich3!H33</f>
        <v>0</v>
      </c>
      <c r="E34">
        <f>Rich4!H33</f>
        <v>2</v>
      </c>
      <c r="F34">
        <f>Rich5!H33</f>
        <v>0</v>
      </c>
      <c r="G34">
        <f t="shared" si="1"/>
        <v>0</v>
      </c>
      <c r="H34">
        <f t="shared" si="2"/>
        <v>0.4</v>
      </c>
      <c r="I34">
        <f t="shared" si="3"/>
        <v>2</v>
      </c>
      <c r="K34">
        <v>31</v>
      </c>
      <c r="L34" s="2">
        <v>100</v>
      </c>
      <c r="M34" s="2">
        <v>100</v>
      </c>
      <c r="N34">
        <f>Rich3!$G33</f>
        <v>95</v>
      </c>
      <c r="O34">
        <f>Rich4!$G33</f>
        <v>94</v>
      </c>
      <c r="P34">
        <f>Rich5!$G33</f>
        <v>98</v>
      </c>
      <c r="Q34">
        <f t="shared" si="4"/>
        <v>94</v>
      </c>
      <c r="R34">
        <f t="shared" si="5"/>
        <v>97.4</v>
      </c>
      <c r="S34">
        <f t="shared" si="6"/>
        <v>100</v>
      </c>
      <c r="U34">
        <v>31</v>
      </c>
      <c r="V34" s="2">
        <f>Rich1!$D33</f>
        <v>0</v>
      </c>
      <c r="W34" s="2">
        <f>Rich2!$D33</f>
        <v>0</v>
      </c>
      <c r="X34">
        <f>Rich3!$D33</f>
        <v>1</v>
      </c>
      <c r="Y34">
        <f>Rich4!$D33</f>
        <v>3</v>
      </c>
      <c r="Z34">
        <f>Rich5!$D33</f>
        <v>2</v>
      </c>
      <c r="AA34">
        <f t="shared" si="7"/>
        <v>0</v>
      </c>
      <c r="AB34">
        <f t="shared" si="8"/>
        <v>1.2</v>
      </c>
      <c r="AC34">
        <f t="shared" si="9"/>
        <v>3</v>
      </c>
      <c r="AE34">
        <v>31</v>
      </c>
      <c r="AF34" s="2">
        <f t="shared" si="21"/>
        <v>100</v>
      </c>
      <c r="AG34" s="2">
        <f t="shared" si="22"/>
        <v>98.5</v>
      </c>
      <c r="AH34">
        <f t="shared" si="23"/>
        <v>70</v>
      </c>
      <c r="AI34">
        <f t="shared" si="24"/>
        <v>62.666666666666664</v>
      </c>
      <c r="AJ34">
        <f t="shared" si="25"/>
        <v>82</v>
      </c>
      <c r="AK34">
        <f t="shared" si="11"/>
        <v>62.666666666666664</v>
      </c>
      <c r="AL34">
        <f t="shared" si="12"/>
        <v>82.63333333333334</v>
      </c>
      <c r="AM34">
        <f t="shared" si="13"/>
        <v>100</v>
      </c>
      <c r="AO34">
        <f t="shared" si="14"/>
        <v>1</v>
      </c>
      <c r="AP34">
        <f t="shared" si="15"/>
        <v>0.76</v>
      </c>
    </row>
    <row r="35" spans="1:42" x14ac:dyDescent="0.25">
      <c r="A35">
        <v>32</v>
      </c>
      <c r="B35" s="2">
        <f>Rich1!H34</f>
        <v>0</v>
      </c>
      <c r="C35" s="2">
        <f>Rich2!H34</f>
        <v>0</v>
      </c>
      <c r="D35">
        <f>Rich3!H34</f>
        <v>0</v>
      </c>
      <c r="E35">
        <f>Rich4!H34</f>
        <v>0</v>
      </c>
      <c r="F35">
        <f>Rich5!H34</f>
        <v>0</v>
      </c>
      <c r="G35">
        <f t="shared" si="1"/>
        <v>0</v>
      </c>
      <c r="H35">
        <f t="shared" si="2"/>
        <v>0</v>
      </c>
      <c r="I35">
        <f t="shared" si="3"/>
        <v>0</v>
      </c>
      <c r="K35">
        <v>32</v>
      </c>
      <c r="L35" s="2">
        <v>100</v>
      </c>
      <c r="M35" s="2">
        <v>100</v>
      </c>
      <c r="N35">
        <f>Rich3!$G34</f>
        <v>95</v>
      </c>
      <c r="O35">
        <f>Rich4!$G34</f>
        <v>66</v>
      </c>
      <c r="P35">
        <f>Rich5!$G34</f>
        <v>67</v>
      </c>
      <c r="Q35">
        <f t="shared" si="4"/>
        <v>66</v>
      </c>
      <c r="R35">
        <f t="shared" si="5"/>
        <v>85.6</v>
      </c>
      <c r="S35">
        <f t="shared" si="6"/>
        <v>100</v>
      </c>
      <c r="U35">
        <v>32</v>
      </c>
      <c r="V35" s="2">
        <f>Rich1!$D34</f>
        <v>0</v>
      </c>
      <c r="W35" s="2">
        <f>Rich2!$D34</f>
        <v>0</v>
      </c>
      <c r="X35">
        <f>Rich3!$D34</f>
        <v>0</v>
      </c>
      <c r="Y35">
        <f>Rich4!$D34</f>
        <v>3</v>
      </c>
      <c r="Z35">
        <f>Rich5!$D34</f>
        <v>1</v>
      </c>
      <c r="AA35">
        <f t="shared" si="7"/>
        <v>0</v>
      </c>
      <c r="AB35">
        <f t="shared" si="8"/>
        <v>0.8</v>
      </c>
      <c r="AC35">
        <f t="shared" si="9"/>
        <v>3</v>
      </c>
      <c r="AE35">
        <v>32</v>
      </c>
      <c r="AF35" s="2">
        <f t="shared" si="21"/>
        <v>100</v>
      </c>
      <c r="AG35" s="2">
        <f t="shared" si="22"/>
        <v>99.166666666666671</v>
      </c>
      <c r="AH35">
        <f t="shared" si="23"/>
        <v>77.5</v>
      </c>
      <c r="AI35">
        <f t="shared" si="24"/>
        <v>65.666666666666671</v>
      </c>
      <c r="AJ35">
        <f t="shared" si="25"/>
        <v>77</v>
      </c>
      <c r="AK35">
        <f t="shared" si="11"/>
        <v>65.666666666666671</v>
      </c>
      <c r="AL35">
        <f t="shared" si="12"/>
        <v>83.866666666666674</v>
      </c>
      <c r="AM35">
        <f t="shared" si="13"/>
        <v>100</v>
      </c>
      <c r="AO35">
        <f t="shared" si="14"/>
        <v>0</v>
      </c>
      <c r="AP35">
        <f t="shared" si="15"/>
        <v>0.77249999999999996</v>
      </c>
    </row>
    <row r="36" spans="1:42" x14ac:dyDescent="0.25">
      <c r="A36">
        <v>33</v>
      </c>
      <c r="B36" s="2">
        <f>Rich1!H35</f>
        <v>0</v>
      </c>
      <c r="C36" s="2">
        <f>Rich2!H35</f>
        <v>0</v>
      </c>
      <c r="D36" s="2">
        <f>Rich3!H35</f>
        <v>0</v>
      </c>
      <c r="E36">
        <f>Rich4!H35</f>
        <v>0</v>
      </c>
      <c r="F36">
        <f>Rich5!H35</f>
        <v>0</v>
      </c>
      <c r="G36">
        <f t="shared" si="1"/>
        <v>0</v>
      </c>
      <c r="H36">
        <f t="shared" si="2"/>
        <v>0</v>
      </c>
      <c r="I36">
        <f t="shared" si="3"/>
        <v>0</v>
      </c>
      <c r="K36">
        <v>33</v>
      </c>
      <c r="L36" s="2">
        <v>100</v>
      </c>
      <c r="M36" s="2">
        <v>100</v>
      </c>
      <c r="N36" s="2">
        <v>100</v>
      </c>
      <c r="O36">
        <f>Rich4!$G35</f>
        <v>98</v>
      </c>
      <c r="P36">
        <f>Rich5!$G35</f>
        <v>98</v>
      </c>
      <c r="Q36">
        <f t="shared" si="4"/>
        <v>98</v>
      </c>
      <c r="R36">
        <f t="shared" si="5"/>
        <v>99.2</v>
      </c>
      <c r="S36">
        <f t="shared" si="6"/>
        <v>100</v>
      </c>
      <c r="U36">
        <v>33</v>
      </c>
      <c r="V36" s="2">
        <f>Rich1!$D35</f>
        <v>0</v>
      </c>
      <c r="W36" s="2">
        <f>Rich2!$D35</f>
        <v>0</v>
      </c>
      <c r="X36" s="2">
        <f>Rich3!$D35</f>
        <v>0</v>
      </c>
      <c r="Y36">
        <f>Rich4!$D35</f>
        <v>3</v>
      </c>
      <c r="Z36">
        <f>Rich5!$D35</f>
        <v>1</v>
      </c>
      <c r="AA36">
        <f t="shared" si="7"/>
        <v>0</v>
      </c>
      <c r="AB36">
        <f t="shared" si="8"/>
        <v>0.8</v>
      </c>
      <c r="AC36">
        <f t="shared" si="9"/>
        <v>3</v>
      </c>
      <c r="AE36">
        <v>33</v>
      </c>
      <c r="AF36" s="2">
        <f t="shared" si="21"/>
        <v>100</v>
      </c>
      <c r="AG36" s="2">
        <f t="shared" si="22"/>
        <v>100</v>
      </c>
      <c r="AH36" s="2">
        <f t="shared" si="23"/>
        <v>83</v>
      </c>
      <c r="AI36">
        <f t="shared" si="24"/>
        <v>74.666666666666671</v>
      </c>
      <c r="AJ36">
        <f t="shared" si="25"/>
        <v>82.166666666666671</v>
      </c>
      <c r="AK36">
        <f t="shared" si="11"/>
        <v>74.666666666666671</v>
      </c>
      <c r="AL36">
        <f t="shared" si="12"/>
        <v>87.966666666666669</v>
      </c>
      <c r="AM36">
        <f t="shared" si="13"/>
        <v>100</v>
      </c>
      <c r="AO36">
        <f t="shared" si="14"/>
        <v>0</v>
      </c>
      <c r="AP36">
        <f t="shared" si="15"/>
        <v>0.82583333333333342</v>
      </c>
    </row>
    <row r="37" spans="1:42" x14ac:dyDescent="0.25">
      <c r="A37">
        <v>34</v>
      </c>
      <c r="B37" s="2">
        <f>Rich1!H36</f>
        <v>0</v>
      </c>
      <c r="C37" s="2">
        <f>Rich2!H36</f>
        <v>0</v>
      </c>
      <c r="D37" s="2">
        <f>Rich3!H36</f>
        <v>0</v>
      </c>
      <c r="E37">
        <f>Rich4!H36</f>
        <v>0</v>
      </c>
      <c r="F37">
        <f>Rich5!H36</f>
        <v>0</v>
      </c>
      <c r="G37">
        <f t="shared" si="1"/>
        <v>0</v>
      </c>
      <c r="H37">
        <f t="shared" si="2"/>
        <v>0</v>
      </c>
      <c r="I37">
        <f t="shared" si="3"/>
        <v>0</v>
      </c>
      <c r="K37">
        <v>34</v>
      </c>
      <c r="L37" s="2">
        <v>100</v>
      </c>
      <c r="M37" s="2">
        <v>100</v>
      </c>
      <c r="N37" s="2">
        <v>100</v>
      </c>
      <c r="O37">
        <f>Rich4!$G36</f>
        <v>96</v>
      </c>
      <c r="P37">
        <f>Rich5!$G36</f>
        <v>97</v>
      </c>
      <c r="Q37">
        <f t="shared" si="4"/>
        <v>96</v>
      </c>
      <c r="R37">
        <f t="shared" si="5"/>
        <v>98.6</v>
      </c>
      <c r="S37">
        <f t="shared" si="6"/>
        <v>100</v>
      </c>
      <c r="U37">
        <v>34</v>
      </c>
      <c r="V37" s="2">
        <f>Rich1!$D36</f>
        <v>0</v>
      </c>
      <c r="W37" s="2">
        <f>Rich2!$D36</f>
        <v>0</v>
      </c>
      <c r="X37" s="2">
        <f>Rich3!$D36</f>
        <v>0</v>
      </c>
      <c r="Y37">
        <f>Rich4!$D36</f>
        <v>2</v>
      </c>
      <c r="Z37">
        <f>Rich5!$D36</f>
        <v>0</v>
      </c>
      <c r="AA37">
        <f t="shared" si="7"/>
        <v>0</v>
      </c>
      <c r="AB37">
        <f t="shared" si="8"/>
        <v>0.4</v>
      </c>
      <c r="AC37">
        <f t="shared" si="9"/>
        <v>2</v>
      </c>
      <c r="AE37">
        <v>34</v>
      </c>
      <c r="AF37" s="2">
        <f t="shared" si="21"/>
        <v>100</v>
      </c>
      <c r="AG37" s="2">
        <f t="shared" si="22"/>
        <v>100</v>
      </c>
      <c r="AH37" s="2">
        <f t="shared" si="23"/>
        <v>87.666666666666671</v>
      </c>
      <c r="AI37">
        <f t="shared" si="24"/>
        <v>82.5</v>
      </c>
      <c r="AJ37">
        <f t="shared" si="25"/>
        <v>87.166666666666671</v>
      </c>
      <c r="AK37">
        <f t="shared" si="11"/>
        <v>82.5</v>
      </c>
      <c r="AL37">
        <f t="shared" si="12"/>
        <v>91.466666666666669</v>
      </c>
      <c r="AM37">
        <f t="shared" si="13"/>
        <v>100</v>
      </c>
      <c r="AO37">
        <f t="shared" si="14"/>
        <v>0</v>
      </c>
      <c r="AP37">
        <f t="shared" si="15"/>
        <v>0.87416666666666676</v>
      </c>
    </row>
    <row r="38" spans="1:42" x14ac:dyDescent="0.25">
      <c r="A38">
        <v>35</v>
      </c>
      <c r="B38" s="2">
        <f>Rich1!H37</f>
        <v>0</v>
      </c>
      <c r="C38" s="2">
        <f>Rich2!H37</f>
        <v>0</v>
      </c>
      <c r="D38" s="2">
        <f>Rich3!H37</f>
        <v>0</v>
      </c>
      <c r="E38">
        <f>Rich4!H37</f>
        <v>0</v>
      </c>
      <c r="F38" s="2">
        <f>Rich5!H37</f>
        <v>0</v>
      </c>
      <c r="G38">
        <f t="shared" si="1"/>
        <v>0</v>
      </c>
      <c r="H38">
        <f t="shared" si="2"/>
        <v>0</v>
      </c>
      <c r="I38">
        <f t="shared" si="3"/>
        <v>0</v>
      </c>
      <c r="K38">
        <v>35</v>
      </c>
      <c r="L38" s="2">
        <v>100</v>
      </c>
      <c r="M38" s="2">
        <v>100</v>
      </c>
      <c r="N38" s="2">
        <v>100</v>
      </c>
      <c r="O38">
        <f>Rich4!$G37</f>
        <v>50</v>
      </c>
      <c r="P38" s="2">
        <f>100</f>
        <v>100</v>
      </c>
      <c r="Q38">
        <f t="shared" si="4"/>
        <v>50</v>
      </c>
      <c r="R38">
        <f t="shared" si="5"/>
        <v>90</v>
      </c>
      <c r="S38">
        <f t="shared" si="6"/>
        <v>100</v>
      </c>
      <c r="U38">
        <v>35</v>
      </c>
      <c r="V38" s="2">
        <f>Rich1!$D37</f>
        <v>0</v>
      </c>
      <c r="W38" s="2">
        <f>Rich2!$D37</f>
        <v>0</v>
      </c>
      <c r="X38" s="2">
        <f>Rich3!$D37</f>
        <v>0</v>
      </c>
      <c r="Y38">
        <f>Rich4!$D37</f>
        <v>2</v>
      </c>
      <c r="Z38" s="2">
        <f>Rich5!$D37</f>
        <v>0</v>
      </c>
      <c r="AA38">
        <f t="shared" si="7"/>
        <v>0</v>
      </c>
      <c r="AB38">
        <f t="shared" si="8"/>
        <v>0.4</v>
      </c>
      <c r="AC38">
        <f t="shared" si="9"/>
        <v>2</v>
      </c>
      <c r="AE38">
        <v>35</v>
      </c>
      <c r="AF38" s="2">
        <f t="shared" si="21"/>
        <v>100</v>
      </c>
      <c r="AG38" s="2">
        <f t="shared" si="22"/>
        <v>100</v>
      </c>
      <c r="AH38" s="2">
        <f t="shared" si="23"/>
        <v>92.666666666666671</v>
      </c>
      <c r="AI38">
        <f t="shared" si="24"/>
        <v>83</v>
      </c>
      <c r="AJ38" s="2">
        <f t="shared" si="25"/>
        <v>88</v>
      </c>
      <c r="AK38">
        <f t="shared" si="11"/>
        <v>83</v>
      </c>
      <c r="AL38">
        <f t="shared" si="12"/>
        <v>92.733333333333334</v>
      </c>
      <c r="AM38">
        <f t="shared" si="13"/>
        <v>100</v>
      </c>
      <c r="AO38">
        <f t="shared" si="14"/>
        <v>0</v>
      </c>
      <c r="AP38">
        <f t="shared" si="15"/>
        <v>0.90333333333333343</v>
      </c>
    </row>
    <row r="39" spans="1:42" x14ac:dyDescent="0.25">
      <c r="A39">
        <v>36</v>
      </c>
      <c r="B39" s="2">
        <f>Rich1!H38</f>
        <v>0</v>
      </c>
      <c r="C39" s="2">
        <f>Rich2!H38</f>
        <v>0</v>
      </c>
      <c r="D39" s="2">
        <f>Rich3!H38</f>
        <v>0</v>
      </c>
      <c r="E39">
        <f>Rich4!H38</f>
        <v>0</v>
      </c>
      <c r="F39" s="2">
        <f>Rich5!H38</f>
        <v>0</v>
      </c>
      <c r="G39">
        <f t="shared" si="1"/>
        <v>0</v>
      </c>
      <c r="H39">
        <f t="shared" si="2"/>
        <v>0</v>
      </c>
      <c r="I39">
        <f t="shared" si="3"/>
        <v>0</v>
      </c>
      <c r="K39">
        <v>36</v>
      </c>
      <c r="L39" s="2">
        <v>100</v>
      </c>
      <c r="M39" s="2">
        <v>100</v>
      </c>
      <c r="N39" s="2">
        <v>100</v>
      </c>
      <c r="O39">
        <f>Rich4!$G38</f>
        <v>97</v>
      </c>
      <c r="P39" s="2">
        <f>100</f>
        <v>100</v>
      </c>
      <c r="Q39">
        <f t="shared" si="4"/>
        <v>97</v>
      </c>
      <c r="R39">
        <f t="shared" si="5"/>
        <v>99.4</v>
      </c>
      <c r="S39">
        <f t="shared" si="6"/>
        <v>100</v>
      </c>
      <c r="U39">
        <v>36</v>
      </c>
      <c r="V39" s="2">
        <f>Rich1!$D38</f>
        <v>0</v>
      </c>
      <c r="W39" s="2">
        <f>Rich2!$D38</f>
        <v>0</v>
      </c>
      <c r="X39" s="2">
        <f>Rich3!$D38</f>
        <v>0</v>
      </c>
      <c r="Y39">
        <f>Rich4!$D38</f>
        <v>2</v>
      </c>
      <c r="Z39" s="2">
        <f>Rich5!$D38</f>
        <v>0</v>
      </c>
      <c r="AA39">
        <f t="shared" si="7"/>
        <v>0</v>
      </c>
      <c r="AB39">
        <f t="shared" si="8"/>
        <v>0.4</v>
      </c>
      <c r="AC39">
        <f t="shared" si="9"/>
        <v>2</v>
      </c>
      <c r="AE39">
        <v>36</v>
      </c>
      <c r="AF39" s="2">
        <f t="shared" si="21"/>
        <v>100</v>
      </c>
      <c r="AG39" s="2">
        <f t="shared" si="22"/>
        <v>100</v>
      </c>
      <c r="AH39" s="2">
        <f t="shared" si="23"/>
        <v>98.333333333333329</v>
      </c>
      <c r="AI39">
        <f t="shared" si="24"/>
        <v>83.5</v>
      </c>
      <c r="AJ39" s="2">
        <f t="shared" si="25"/>
        <v>93.333333333333329</v>
      </c>
      <c r="AK39">
        <f t="shared" si="11"/>
        <v>83.5</v>
      </c>
      <c r="AL39">
        <f t="shared" si="12"/>
        <v>95.033333333333331</v>
      </c>
      <c r="AM39">
        <f t="shared" si="13"/>
        <v>100</v>
      </c>
      <c r="AO39">
        <f t="shared" si="14"/>
        <v>0</v>
      </c>
      <c r="AP39">
        <f t="shared" si="15"/>
        <v>0.95833333333333326</v>
      </c>
    </row>
    <row r="40" spans="1:42" x14ac:dyDescent="0.25">
      <c r="A40">
        <v>37</v>
      </c>
      <c r="B40" s="2">
        <f>Rich1!H39</f>
        <v>0</v>
      </c>
      <c r="C40" s="2">
        <f>Rich2!H39</f>
        <v>0</v>
      </c>
      <c r="D40" s="2">
        <f>Rich3!H39</f>
        <v>0</v>
      </c>
      <c r="E40">
        <f>Rich4!H39</f>
        <v>0</v>
      </c>
      <c r="F40" s="2">
        <f>Rich5!H39</f>
        <v>0</v>
      </c>
      <c r="G40">
        <f t="shared" si="1"/>
        <v>0</v>
      </c>
      <c r="H40">
        <f t="shared" si="2"/>
        <v>0</v>
      </c>
      <c r="I40">
        <f t="shared" si="3"/>
        <v>0</v>
      </c>
      <c r="K40">
        <v>37</v>
      </c>
      <c r="L40" s="2">
        <v>100</v>
      </c>
      <c r="M40" s="2">
        <v>100</v>
      </c>
      <c r="N40" s="2">
        <v>100</v>
      </c>
      <c r="O40">
        <f>Rich4!$G39</f>
        <v>96</v>
      </c>
      <c r="P40" s="2">
        <f>100</f>
        <v>100</v>
      </c>
      <c r="Q40">
        <f t="shared" si="4"/>
        <v>96</v>
      </c>
      <c r="R40">
        <f t="shared" si="5"/>
        <v>99.2</v>
      </c>
      <c r="S40">
        <f t="shared" si="6"/>
        <v>100</v>
      </c>
      <c r="U40">
        <v>37</v>
      </c>
      <c r="V40" s="2">
        <f>Rich1!$D39</f>
        <v>0</v>
      </c>
      <c r="W40" s="2">
        <f>Rich2!$D39</f>
        <v>0</v>
      </c>
      <c r="X40" s="2">
        <f>Rich3!$D39</f>
        <v>0</v>
      </c>
      <c r="Y40">
        <f>Rich4!$D39</f>
        <v>0</v>
      </c>
      <c r="Z40" s="2">
        <f>Rich5!$D39</f>
        <v>0</v>
      </c>
      <c r="AA40">
        <f t="shared" si="7"/>
        <v>0</v>
      </c>
      <c r="AB40">
        <f t="shared" si="8"/>
        <v>0</v>
      </c>
      <c r="AC40">
        <f t="shared" si="9"/>
        <v>0</v>
      </c>
      <c r="AE40">
        <v>37</v>
      </c>
      <c r="AF40" s="2">
        <f t="shared" si="21"/>
        <v>100</v>
      </c>
      <c r="AG40" s="2">
        <f t="shared" si="22"/>
        <v>100</v>
      </c>
      <c r="AH40" s="2">
        <f t="shared" si="23"/>
        <v>99.166666666666671</v>
      </c>
      <c r="AI40">
        <f t="shared" si="24"/>
        <v>83.833333333333329</v>
      </c>
      <c r="AJ40" s="2">
        <f t="shared" si="25"/>
        <v>93.666666666666671</v>
      </c>
      <c r="AK40">
        <f t="shared" si="11"/>
        <v>83.833333333333329</v>
      </c>
      <c r="AL40">
        <f t="shared" si="12"/>
        <v>95.333333333333343</v>
      </c>
      <c r="AM40">
        <f t="shared" si="13"/>
        <v>100</v>
      </c>
      <c r="AO40">
        <f t="shared" si="14"/>
        <v>0</v>
      </c>
      <c r="AP40">
        <f t="shared" si="15"/>
        <v>0.96416666666666673</v>
      </c>
    </row>
    <row r="41" spans="1:42" x14ac:dyDescent="0.25">
      <c r="A41">
        <v>38</v>
      </c>
      <c r="B41" s="2">
        <f>Rich1!H40</f>
        <v>0</v>
      </c>
      <c r="C41" s="2">
        <f>Rich2!H40</f>
        <v>0</v>
      </c>
      <c r="D41" s="2">
        <f>Rich3!H40</f>
        <v>0</v>
      </c>
      <c r="E41" s="2">
        <f>Rich4!H40</f>
        <v>0</v>
      </c>
      <c r="F41" s="2">
        <f>Rich5!H40</f>
        <v>0</v>
      </c>
      <c r="G41">
        <f t="shared" si="1"/>
        <v>0</v>
      </c>
      <c r="H41">
        <f t="shared" si="2"/>
        <v>0</v>
      </c>
      <c r="I41">
        <f t="shared" si="3"/>
        <v>0</v>
      </c>
      <c r="K41">
        <v>38</v>
      </c>
      <c r="L41" s="2">
        <v>100</v>
      </c>
      <c r="M41" s="2">
        <v>100</v>
      </c>
      <c r="N41" s="2">
        <v>100</v>
      </c>
      <c r="O41" s="2">
        <f>100</f>
        <v>100</v>
      </c>
      <c r="P41" s="2">
        <f>100</f>
        <v>100</v>
      </c>
      <c r="Q41">
        <f t="shared" si="4"/>
        <v>100</v>
      </c>
      <c r="R41">
        <f t="shared" si="5"/>
        <v>100</v>
      </c>
      <c r="S41">
        <f t="shared" si="6"/>
        <v>100</v>
      </c>
      <c r="U41">
        <v>38</v>
      </c>
      <c r="V41" s="2">
        <f>Rich1!$D40</f>
        <v>0</v>
      </c>
      <c r="W41" s="2">
        <f>Rich2!$D40</f>
        <v>0</v>
      </c>
      <c r="X41" s="2">
        <f>Rich3!$D40</f>
        <v>0</v>
      </c>
      <c r="Y41" s="2">
        <f>Rich4!$D40</f>
        <v>0</v>
      </c>
      <c r="Z41" s="2">
        <f>Rich5!$D40</f>
        <v>0</v>
      </c>
      <c r="AA41">
        <f t="shared" si="7"/>
        <v>0</v>
      </c>
      <c r="AB41">
        <f t="shared" si="8"/>
        <v>0</v>
      </c>
      <c r="AC41">
        <f t="shared" si="9"/>
        <v>0</v>
      </c>
      <c r="AE41">
        <v>38</v>
      </c>
      <c r="AF41" s="2">
        <f t="shared" si="21"/>
        <v>100</v>
      </c>
      <c r="AG41" s="2">
        <f t="shared" si="22"/>
        <v>100</v>
      </c>
      <c r="AH41" s="2">
        <f t="shared" si="23"/>
        <v>100</v>
      </c>
      <c r="AI41" s="2">
        <f t="shared" si="24"/>
        <v>89.5</v>
      </c>
      <c r="AJ41" s="2">
        <f t="shared" si="25"/>
        <v>99.166666666666671</v>
      </c>
      <c r="AK41">
        <f t="shared" si="11"/>
        <v>89.5</v>
      </c>
      <c r="AL41">
        <f t="shared" si="12"/>
        <v>97.733333333333334</v>
      </c>
      <c r="AM41">
        <f t="shared" si="13"/>
        <v>100</v>
      </c>
      <c r="AO41">
        <f t="shared" si="14"/>
        <v>0</v>
      </c>
      <c r="AP41">
        <f t="shared" si="15"/>
        <v>0.99583333333333346</v>
      </c>
    </row>
    <row r="42" spans="1:42" x14ac:dyDescent="0.25">
      <c r="A42">
        <v>39</v>
      </c>
      <c r="B42" s="2">
        <f>Rich1!H41</f>
        <v>0</v>
      </c>
      <c r="C42" s="2">
        <f>Rich2!H41</f>
        <v>0</v>
      </c>
      <c r="D42" s="2">
        <f>Rich3!H41</f>
        <v>0</v>
      </c>
      <c r="E42" s="2">
        <f>Rich4!H41</f>
        <v>0</v>
      </c>
      <c r="F42" s="2">
        <f>Rich5!H41</f>
        <v>0</v>
      </c>
      <c r="G42">
        <f t="shared" si="1"/>
        <v>0</v>
      </c>
      <c r="H42">
        <f t="shared" si="2"/>
        <v>0</v>
      </c>
      <c r="I42">
        <f t="shared" si="3"/>
        <v>0</v>
      </c>
      <c r="K42">
        <v>39</v>
      </c>
      <c r="L42" s="2">
        <v>100</v>
      </c>
      <c r="M42" s="2">
        <v>100</v>
      </c>
      <c r="N42" s="2">
        <v>100</v>
      </c>
      <c r="O42" s="2">
        <f>100</f>
        <v>100</v>
      </c>
      <c r="P42" s="2">
        <f>100</f>
        <v>100</v>
      </c>
      <c r="Q42">
        <f t="shared" si="4"/>
        <v>100</v>
      </c>
      <c r="R42">
        <f t="shared" si="5"/>
        <v>100</v>
      </c>
      <c r="S42">
        <f t="shared" si="6"/>
        <v>100</v>
      </c>
      <c r="U42">
        <v>39</v>
      </c>
      <c r="V42" s="2">
        <f>Rich1!$D41</f>
        <v>0</v>
      </c>
      <c r="W42" s="2">
        <f>Rich2!$D41</f>
        <v>0</v>
      </c>
      <c r="X42" s="2">
        <f>Rich3!$D41</f>
        <v>0</v>
      </c>
      <c r="Y42" s="2">
        <f>Rich4!$D41</f>
        <v>0</v>
      </c>
      <c r="Z42" s="2">
        <f>Rich5!$D41</f>
        <v>0</v>
      </c>
      <c r="AA42">
        <f t="shared" si="7"/>
        <v>0</v>
      </c>
      <c r="AB42">
        <f t="shared" si="8"/>
        <v>0</v>
      </c>
      <c r="AC42">
        <f t="shared" si="9"/>
        <v>0</v>
      </c>
      <c r="AE42">
        <v>39</v>
      </c>
      <c r="AF42" s="2">
        <f t="shared" si="21"/>
        <v>100</v>
      </c>
      <c r="AG42" s="2">
        <f t="shared" si="22"/>
        <v>100</v>
      </c>
      <c r="AH42" s="2">
        <f t="shared" si="23"/>
        <v>100</v>
      </c>
      <c r="AI42" s="2">
        <f t="shared" si="24"/>
        <v>89.833333333333329</v>
      </c>
      <c r="AJ42" s="2">
        <f t="shared" si="25"/>
        <v>99.5</v>
      </c>
      <c r="AK42">
        <f t="shared" si="11"/>
        <v>89.833333333333329</v>
      </c>
      <c r="AL42">
        <f t="shared" si="12"/>
        <v>97.86666666666666</v>
      </c>
      <c r="AM42">
        <f t="shared" si="13"/>
        <v>100</v>
      </c>
      <c r="AO42">
        <f t="shared" si="14"/>
        <v>0</v>
      </c>
      <c r="AP42">
        <f t="shared" si="15"/>
        <v>0.99750000000000005</v>
      </c>
    </row>
    <row r="43" spans="1:42" x14ac:dyDescent="0.25">
      <c r="A43">
        <v>40</v>
      </c>
      <c r="B43" s="2">
        <f>Rich1!H42</f>
        <v>0</v>
      </c>
      <c r="C43" s="2">
        <f>Rich2!H42</f>
        <v>0</v>
      </c>
      <c r="D43" s="2">
        <f>Rich3!H42</f>
        <v>0</v>
      </c>
      <c r="E43" s="2">
        <f>Rich4!H42</f>
        <v>0</v>
      </c>
      <c r="F43" s="2">
        <f>Rich5!H42</f>
        <v>0</v>
      </c>
      <c r="G43">
        <f t="shared" si="1"/>
        <v>0</v>
      </c>
      <c r="H43">
        <f t="shared" si="2"/>
        <v>0</v>
      </c>
      <c r="I43">
        <f t="shared" si="3"/>
        <v>0</v>
      </c>
      <c r="K43">
        <v>40</v>
      </c>
      <c r="L43" s="2">
        <v>100</v>
      </c>
      <c r="M43" s="2">
        <v>100</v>
      </c>
      <c r="N43" s="2">
        <v>100</v>
      </c>
      <c r="O43" s="2">
        <f>100</f>
        <v>100</v>
      </c>
      <c r="P43" s="2">
        <f>100</f>
        <v>100</v>
      </c>
      <c r="Q43">
        <f t="shared" si="4"/>
        <v>100</v>
      </c>
      <c r="R43">
        <f t="shared" si="5"/>
        <v>100</v>
      </c>
      <c r="S43">
        <f t="shared" si="6"/>
        <v>100</v>
      </c>
      <c r="U43">
        <v>40</v>
      </c>
      <c r="V43" s="2">
        <f>Rich1!$D42</f>
        <v>0</v>
      </c>
      <c r="W43" s="2">
        <f>Rich2!$D42</f>
        <v>0</v>
      </c>
      <c r="X43" s="2">
        <f>Rich3!$D42</f>
        <v>0</v>
      </c>
      <c r="Y43" s="2">
        <f>Rich4!$D42</f>
        <v>0</v>
      </c>
      <c r="Z43" s="2">
        <f>Rich5!$D42</f>
        <v>0</v>
      </c>
      <c r="AA43">
        <f t="shared" si="7"/>
        <v>0</v>
      </c>
      <c r="AB43">
        <f t="shared" si="8"/>
        <v>0</v>
      </c>
      <c r="AC43">
        <f t="shared" si="9"/>
        <v>0</v>
      </c>
      <c r="AE43">
        <v>40</v>
      </c>
      <c r="AF43" s="2">
        <f t="shared" si="21"/>
        <v>100</v>
      </c>
      <c r="AG43" s="2">
        <f t="shared" si="22"/>
        <v>100</v>
      </c>
      <c r="AH43" s="2">
        <f t="shared" si="23"/>
        <v>100</v>
      </c>
      <c r="AI43" s="2">
        <f t="shared" si="24"/>
        <v>90.5</v>
      </c>
      <c r="AJ43" s="2">
        <f t="shared" si="25"/>
        <v>100</v>
      </c>
      <c r="AK43">
        <f t="shared" si="11"/>
        <v>90.5</v>
      </c>
      <c r="AL43">
        <f t="shared" si="12"/>
        <v>98.1</v>
      </c>
      <c r="AM43">
        <f t="shared" si="13"/>
        <v>100</v>
      </c>
      <c r="AO43">
        <f t="shared" si="14"/>
        <v>0</v>
      </c>
      <c r="AP43">
        <f t="shared" si="15"/>
        <v>1</v>
      </c>
    </row>
    <row r="44" spans="1:42" x14ac:dyDescent="0.25">
      <c r="A44">
        <v>41</v>
      </c>
      <c r="B44" s="2">
        <f>Rich1!H43</f>
        <v>0</v>
      </c>
      <c r="C44" s="2">
        <f>Rich2!H43</f>
        <v>0</v>
      </c>
      <c r="D44" s="2">
        <f>Rich3!H43</f>
        <v>0</v>
      </c>
      <c r="E44" s="2">
        <f>Rich4!H43</f>
        <v>0</v>
      </c>
      <c r="F44" s="2">
        <f>Rich5!H43</f>
        <v>0</v>
      </c>
      <c r="G44">
        <f t="shared" si="1"/>
        <v>0</v>
      </c>
      <c r="H44">
        <f t="shared" si="2"/>
        <v>0</v>
      </c>
      <c r="I44">
        <f t="shared" si="3"/>
        <v>0</v>
      </c>
      <c r="K44">
        <v>41</v>
      </c>
      <c r="L44" s="2">
        <v>100</v>
      </c>
      <c r="M44" s="2">
        <v>100</v>
      </c>
      <c r="N44" s="2">
        <v>100</v>
      </c>
      <c r="O44" s="2">
        <f>100</f>
        <v>100</v>
      </c>
      <c r="P44" s="2">
        <f>100</f>
        <v>100</v>
      </c>
      <c r="Q44">
        <f t="shared" si="4"/>
        <v>100</v>
      </c>
      <c r="R44">
        <f t="shared" si="5"/>
        <v>100</v>
      </c>
      <c r="S44">
        <f t="shared" si="6"/>
        <v>100</v>
      </c>
      <c r="U44">
        <v>41</v>
      </c>
      <c r="V44" s="2">
        <f>Rich1!$D43</f>
        <v>0</v>
      </c>
      <c r="W44" s="2">
        <f>Rich2!$D43</f>
        <v>0</v>
      </c>
      <c r="X44" s="2">
        <f>Rich3!$D43</f>
        <v>0</v>
      </c>
      <c r="Y44" s="2">
        <f>Rich4!$D43</f>
        <v>0</v>
      </c>
      <c r="Z44" s="2">
        <f>Rich5!$D43</f>
        <v>0</v>
      </c>
      <c r="AA44">
        <f t="shared" si="7"/>
        <v>0</v>
      </c>
      <c r="AB44">
        <f t="shared" si="8"/>
        <v>0</v>
      </c>
      <c r="AC44">
        <f t="shared" si="9"/>
        <v>0</v>
      </c>
      <c r="AE44">
        <v>41</v>
      </c>
      <c r="AF44" s="2">
        <f t="shared" si="21"/>
        <v>100</v>
      </c>
      <c r="AG44" s="2">
        <f t="shared" si="22"/>
        <v>100</v>
      </c>
      <c r="AH44" s="2">
        <f t="shared" si="23"/>
        <v>100</v>
      </c>
      <c r="AI44" s="2">
        <f t="shared" si="24"/>
        <v>98.833333333333329</v>
      </c>
      <c r="AJ44" s="2">
        <f t="shared" si="25"/>
        <v>100</v>
      </c>
      <c r="AK44">
        <f t="shared" si="11"/>
        <v>98.833333333333329</v>
      </c>
      <c r="AL44">
        <f t="shared" si="12"/>
        <v>99.766666666666666</v>
      </c>
      <c r="AM44">
        <f t="shared" si="13"/>
        <v>100</v>
      </c>
      <c r="AO44">
        <f t="shared" si="14"/>
        <v>0</v>
      </c>
      <c r="AP44">
        <f t="shared" si="15"/>
        <v>1</v>
      </c>
    </row>
    <row r="45" spans="1:42" x14ac:dyDescent="0.25">
      <c r="A45">
        <v>42</v>
      </c>
      <c r="B45" s="2">
        <f>Rich1!H44</f>
        <v>0</v>
      </c>
      <c r="C45" s="2">
        <f>Rich2!H44</f>
        <v>0</v>
      </c>
      <c r="D45" s="2">
        <f>Rich3!H44</f>
        <v>0</v>
      </c>
      <c r="E45" s="2">
        <f>Rich4!H44</f>
        <v>0</v>
      </c>
      <c r="F45" s="2">
        <f>Rich5!H44</f>
        <v>0</v>
      </c>
      <c r="G45">
        <f t="shared" si="1"/>
        <v>0</v>
      </c>
      <c r="H45">
        <f t="shared" si="2"/>
        <v>0</v>
      </c>
      <c r="I45">
        <f t="shared" si="3"/>
        <v>0</v>
      </c>
      <c r="K45">
        <v>42</v>
      </c>
      <c r="L45" s="2">
        <v>100</v>
      </c>
      <c r="M45" s="2">
        <v>100</v>
      </c>
      <c r="N45" s="2">
        <v>100</v>
      </c>
      <c r="O45" s="2">
        <f>100</f>
        <v>100</v>
      </c>
      <c r="P45" s="2">
        <f>100</f>
        <v>100</v>
      </c>
      <c r="Q45">
        <f t="shared" si="4"/>
        <v>100</v>
      </c>
      <c r="R45">
        <f t="shared" si="5"/>
        <v>100</v>
      </c>
      <c r="S45">
        <f t="shared" si="6"/>
        <v>100</v>
      </c>
      <c r="U45">
        <v>42</v>
      </c>
      <c r="V45" s="2">
        <f>Rich1!$D44</f>
        <v>0</v>
      </c>
      <c r="W45" s="2">
        <f>Rich2!$D44</f>
        <v>0</v>
      </c>
      <c r="X45" s="2">
        <f>Rich3!$D44</f>
        <v>0</v>
      </c>
      <c r="Y45" s="2">
        <f>Rich4!$D44</f>
        <v>0</v>
      </c>
      <c r="Z45" s="2">
        <f>Rich5!$D44</f>
        <v>0</v>
      </c>
      <c r="AA45">
        <f t="shared" si="7"/>
        <v>0</v>
      </c>
      <c r="AB45">
        <f t="shared" si="8"/>
        <v>0</v>
      </c>
      <c r="AC45">
        <f t="shared" si="9"/>
        <v>0</v>
      </c>
      <c r="AE45">
        <v>42</v>
      </c>
      <c r="AF45" s="2">
        <f t="shared" si="21"/>
        <v>100</v>
      </c>
      <c r="AG45" s="2">
        <f t="shared" si="22"/>
        <v>100</v>
      </c>
      <c r="AH45" s="2">
        <f t="shared" si="23"/>
        <v>100</v>
      </c>
      <c r="AI45" s="2">
        <f t="shared" si="24"/>
        <v>99.333333333333329</v>
      </c>
      <c r="AJ45" s="2">
        <f t="shared" si="25"/>
        <v>100</v>
      </c>
      <c r="AK45">
        <f t="shared" si="11"/>
        <v>99.333333333333329</v>
      </c>
      <c r="AL45">
        <f t="shared" si="12"/>
        <v>99.86666666666666</v>
      </c>
      <c r="AM45">
        <f t="shared" si="13"/>
        <v>100</v>
      </c>
      <c r="AO45">
        <f t="shared" si="14"/>
        <v>0</v>
      </c>
      <c r="AP45">
        <f t="shared" si="15"/>
        <v>1</v>
      </c>
    </row>
    <row r="46" spans="1:42" x14ac:dyDescent="0.25">
      <c r="A46">
        <v>43</v>
      </c>
      <c r="B46" s="2">
        <f>Rich1!H45</f>
        <v>0</v>
      </c>
      <c r="C46" s="2">
        <f>Rich2!H45</f>
        <v>0</v>
      </c>
      <c r="D46" s="2">
        <f>Rich3!H45</f>
        <v>0</v>
      </c>
      <c r="E46" s="2">
        <f>Rich4!H45</f>
        <v>0</v>
      </c>
      <c r="F46" s="2">
        <f>Rich5!H45</f>
        <v>0</v>
      </c>
      <c r="G46">
        <f t="shared" si="1"/>
        <v>0</v>
      </c>
      <c r="H46">
        <f t="shared" si="2"/>
        <v>0</v>
      </c>
      <c r="I46">
        <f t="shared" si="3"/>
        <v>0</v>
      </c>
      <c r="K46">
        <v>43</v>
      </c>
      <c r="L46" s="2">
        <v>100</v>
      </c>
      <c r="M46" s="2">
        <v>100</v>
      </c>
      <c r="N46" s="2">
        <v>100</v>
      </c>
      <c r="O46" s="2">
        <f>100</f>
        <v>100</v>
      </c>
      <c r="P46" s="2">
        <f>100</f>
        <v>100</v>
      </c>
      <c r="Q46">
        <f t="shared" si="4"/>
        <v>100</v>
      </c>
      <c r="R46">
        <f t="shared" si="5"/>
        <v>100</v>
      </c>
      <c r="S46">
        <f t="shared" si="6"/>
        <v>100</v>
      </c>
      <c r="U46">
        <v>43</v>
      </c>
      <c r="V46" s="2">
        <f>Rich1!$D45</f>
        <v>0</v>
      </c>
      <c r="W46" s="2">
        <f>Rich2!$D45</f>
        <v>0</v>
      </c>
      <c r="X46" s="2">
        <f>Rich3!$D45</f>
        <v>0</v>
      </c>
      <c r="Y46" s="2">
        <f>Rich4!$D45</f>
        <v>0</v>
      </c>
      <c r="Z46" s="2">
        <f>Rich5!$D45</f>
        <v>0</v>
      </c>
      <c r="AA46">
        <f t="shared" si="7"/>
        <v>0</v>
      </c>
      <c r="AB46">
        <f t="shared" si="8"/>
        <v>0</v>
      </c>
      <c r="AC46">
        <f t="shared" si="9"/>
        <v>0</v>
      </c>
      <c r="AE46">
        <v>43</v>
      </c>
      <c r="AF46" s="2">
        <f t="shared" si="21"/>
        <v>100</v>
      </c>
      <c r="AG46" s="2">
        <f t="shared" si="22"/>
        <v>100</v>
      </c>
      <c r="AH46" s="2">
        <f t="shared" si="23"/>
        <v>100</v>
      </c>
      <c r="AI46" s="2">
        <f t="shared" si="24"/>
        <v>100</v>
      </c>
      <c r="AJ46" s="2">
        <f t="shared" si="25"/>
        <v>100</v>
      </c>
      <c r="AK46">
        <f t="shared" si="11"/>
        <v>100</v>
      </c>
      <c r="AL46">
        <f t="shared" si="12"/>
        <v>100</v>
      </c>
      <c r="AM46">
        <f t="shared" si="13"/>
        <v>100</v>
      </c>
      <c r="AO46">
        <f t="shared" si="14"/>
        <v>0</v>
      </c>
      <c r="AP46">
        <f t="shared" si="15"/>
        <v>1</v>
      </c>
    </row>
    <row r="47" spans="1:42" x14ac:dyDescent="0.25">
      <c r="A47">
        <v>44</v>
      </c>
      <c r="B47" s="2">
        <f>Rich1!H46</f>
        <v>0</v>
      </c>
      <c r="C47" s="2">
        <f>Rich2!H46</f>
        <v>0</v>
      </c>
      <c r="D47" s="2">
        <f>Rich3!H46</f>
        <v>0</v>
      </c>
      <c r="E47" s="2">
        <f>Rich4!H46</f>
        <v>0</v>
      </c>
      <c r="F47" s="2">
        <f>Rich5!H46</f>
        <v>0</v>
      </c>
      <c r="G47">
        <f t="shared" si="1"/>
        <v>0</v>
      </c>
      <c r="H47">
        <f t="shared" si="2"/>
        <v>0</v>
      </c>
      <c r="I47">
        <f t="shared" si="3"/>
        <v>0</v>
      </c>
      <c r="K47">
        <v>44</v>
      </c>
      <c r="L47" s="2">
        <v>100</v>
      </c>
      <c r="M47" s="2">
        <v>100</v>
      </c>
      <c r="N47" s="2">
        <v>100</v>
      </c>
      <c r="O47" s="2">
        <f>100</f>
        <v>100</v>
      </c>
      <c r="P47" s="2">
        <f>100</f>
        <v>100</v>
      </c>
      <c r="Q47">
        <f t="shared" si="4"/>
        <v>100</v>
      </c>
      <c r="R47">
        <f t="shared" si="5"/>
        <v>100</v>
      </c>
      <c r="S47">
        <f t="shared" si="6"/>
        <v>100</v>
      </c>
      <c r="U47">
        <v>44</v>
      </c>
      <c r="V47" s="2">
        <f>Rich1!$D46</f>
        <v>0</v>
      </c>
      <c r="W47" s="2">
        <f>Rich2!$D46</f>
        <v>0</v>
      </c>
      <c r="X47" s="2">
        <f>Rich3!$D46</f>
        <v>0</v>
      </c>
      <c r="Y47" s="2">
        <f>Rich4!$D46</f>
        <v>0</v>
      </c>
      <c r="Z47" s="2">
        <f>Rich5!$D46</f>
        <v>0</v>
      </c>
      <c r="AA47">
        <f t="shared" si="7"/>
        <v>0</v>
      </c>
      <c r="AB47">
        <f t="shared" si="8"/>
        <v>0</v>
      </c>
      <c r="AC47">
        <f t="shared" si="9"/>
        <v>0</v>
      </c>
      <c r="AE47">
        <v>44</v>
      </c>
      <c r="AF47" s="2">
        <f t="shared" si="21"/>
        <v>100</v>
      </c>
      <c r="AG47" s="2">
        <f t="shared" si="22"/>
        <v>100</v>
      </c>
      <c r="AH47" s="2">
        <f t="shared" si="23"/>
        <v>100</v>
      </c>
      <c r="AI47" s="2">
        <f t="shared" si="24"/>
        <v>100</v>
      </c>
      <c r="AJ47" s="2">
        <f t="shared" si="25"/>
        <v>100</v>
      </c>
      <c r="AK47">
        <f t="shared" si="11"/>
        <v>100</v>
      </c>
      <c r="AL47">
        <f t="shared" si="12"/>
        <v>100</v>
      </c>
      <c r="AM47">
        <f t="shared" si="13"/>
        <v>100</v>
      </c>
      <c r="AO47">
        <f t="shared" si="14"/>
        <v>0</v>
      </c>
      <c r="AP47">
        <f t="shared" si="15"/>
        <v>1</v>
      </c>
    </row>
    <row r="48" spans="1:42" x14ac:dyDescent="0.25">
      <c r="A48">
        <v>45</v>
      </c>
      <c r="B48" s="2">
        <f>Rich1!H47</f>
        <v>0</v>
      </c>
      <c r="C48" s="2">
        <f>Rich2!H47</f>
        <v>0</v>
      </c>
      <c r="D48" s="2">
        <f>Rich3!H47</f>
        <v>0</v>
      </c>
      <c r="E48" s="2">
        <f>Rich4!H47</f>
        <v>0</v>
      </c>
      <c r="F48" s="2">
        <f>Rich5!H47</f>
        <v>0</v>
      </c>
      <c r="G48">
        <f t="shared" si="1"/>
        <v>0</v>
      </c>
      <c r="H48">
        <f t="shared" si="2"/>
        <v>0</v>
      </c>
      <c r="I48">
        <f t="shared" si="3"/>
        <v>0</v>
      </c>
      <c r="K48">
        <v>45</v>
      </c>
      <c r="L48" s="2">
        <v>100</v>
      </c>
      <c r="M48" s="2">
        <v>100</v>
      </c>
      <c r="N48" s="2">
        <v>100</v>
      </c>
      <c r="O48" s="2">
        <f>100</f>
        <v>100</v>
      </c>
      <c r="P48" s="2">
        <f>100</f>
        <v>100</v>
      </c>
      <c r="Q48">
        <f t="shared" si="4"/>
        <v>100</v>
      </c>
      <c r="R48">
        <f t="shared" si="5"/>
        <v>100</v>
      </c>
      <c r="S48">
        <f t="shared" si="6"/>
        <v>100</v>
      </c>
      <c r="U48">
        <v>45</v>
      </c>
      <c r="V48" s="2">
        <f>Rich1!$D47</f>
        <v>0</v>
      </c>
      <c r="W48" s="2">
        <f>Rich2!$D47</f>
        <v>0</v>
      </c>
      <c r="X48" s="2">
        <f>Rich3!$D47</f>
        <v>0</v>
      </c>
      <c r="Y48" s="2">
        <f>Rich4!$D47</f>
        <v>0</v>
      </c>
      <c r="Z48" s="2">
        <f>Rich5!$D47</f>
        <v>0</v>
      </c>
      <c r="AA48">
        <f t="shared" si="7"/>
        <v>0</v>
      </c>
      <c r="AB48">
        <f t="shared" si="8"/>
        <v>0</v>
      </c>
      <c r="AC48">
        <f t="shared" si="9"/>
        <v>0</v>
      </c>
      <c r="AE48">
        <v>45</v>
      </c>
      <c r="AF48" s="2">
        <f t="shared" si="21"/>
        <v>100</v>
      </c>
      <c r="AG48" s="2">
        <f t="shared" si="22"/>
        <v>100</v>
      </c>
      <c r="AH48" s="2">
        <f t="shared" si="23"/>
        <v>100</v>
      </c>
      <c r="AI48" s="2">
        <f t="shared" si="24"/>
        <v>100</v>
      </c>
      <c r="AJ48" s="2">
        <f t="shared" si="25"/>
        <v>100</v>
      </c>
      <c r="AK48">
        <f t="shared" si="11"/>
        <v>100</v>
      </c>
      <c r="AL48">
        <f t="shared" si="12"/>
        <v>100</v>
      </c>
      <c r="AM48">
        <f t="shared" si="13"/>
        <v>100</v>
      </c>
      <c r="AO48">
        <f t="shared" si="14"/>
        <v>0</v>
      </c>
      <c r="AP48">
        <f t="shared" si="15"/>
        <v>1</v>
      </c>
    </row>
    <row r="49" spans="1:42" x14ac:dyDescent="0.25">
      <c r="A49">
        <v>46</v>
      </c>
      <c r="B49" s="2">
        <f>Rich1!H48</f>
        <v>0</v>
      </c>
      <c r="C49" s="2">
        <f>Rich2!H48</f>
        <v>0</v>
      </c>
      <c r="D49" s="2">
        <f>Rich3!H48</f>
        <v>0</v>
      </c>
      <c r="E49" s="2">
        <f>Rich4!H48</f>
        <v>0</v>
      </c>
      <c r="F49" s="2">
        <f>Rich5!H48</f>
        <v>0</v>
      </c>
      <c r="G49">
        <f t="shared" si="1"/>
        <v>0</v>
      </c>
      <c r="H49">
        <f t="shared" si="2"/>
        <v>0</v>
      </c>
      <c r="I49">
        <f t="shared" si="3"/>
        <v>0</v>
      </c>
      <c r="K49">
        <v>46</v>
      </c>
      <c r="L49" s="2">
        <v>100</v>
      </c>
      <c r="M49" s="2">
        <v>100</v>
      </c>
      <c r="N49" s="2">
        <v>100</v>
      </c>
      <c r="O49" s="2">
        <f>100</f>
        <v>100</v>
      </c>
      <c r="P49" s="2">
        <f>100</f>
        <v>100</v>
      </c>
      <c r="Q49">
        <f t="shared" si="4"/>
        <v>100</v>
      </c>
      <c r="R49">
        <f t="shared" si="5"/>
        <v>100</v>
      </c>
      <c r="S49">
        <f t="shared" si="6"/>
        <v>100</v>
      </c>
      <c r="U49">
        <v>46</v>
      </c>
      <c r="V49" s="2">
        <f>Rich1!$D48</f>
        <v>0</v>
      </c>
      <c r="W49" s="2">
        <f>Rich2!$D48</f>
        <v>0</v>
      </c>
      <c r="X49" s="2">
        <f>Rich3!$D48</f>
        <v>0</v>
      </c>
      <c r="Y49" s="2">
        <f>Rich4!$D48</f>
        <v>0</v>
      </c>
      <c r="Z49" s="2">
        <f>Rich5!$D48</f>
        <v>0</v>
      </c>
      <c r="AA49">
        <f t="shared" si="7"/>
        <v>0</v>
      </c>
      <c r="AB49">
        <f t="shared" si="8"/>
        <v>0</v>
      </c>
      <c r="AC49">
        <f t="shared" si="9"/>
        <v>0</v>
      </c>
      <c r="AE49">
        <v>46</v>
      </c>
      <c r="AF49" s="2">
        <f t="shared" si="21"/>
        <v>100</v>
      </c>
      <c r="AG49" s="2">
        <f t="shared" si="22"/>
        <v>100</v>
      </c>
      <c r="AH49" s="2">
        <f t="shared" si="23"/>
        <v>100</v>
      </c>
      <c r="AI49" s="2">
        <f t="shared" si="24"/>
        <v>100</v>
      </c>
      <c r="AJ49" s="2">
        <f t="shared" si="25"/>
        <v>100</v>
      </c>
      <c r="AK49">
        <f t="shared" si="11"/>
        <v>100</v>
      </c>
      <c r="AL49">
        <f t="shared" si="12"/>
        <v>100</v>
      </c>
      <c r="AM49">
        <f t="shared" si="13"/>
        <v>100</v>
      </c>
      <c r="AO49">
        <f t="shared" si="14"/>
        <v>0</v>
      </c>
      <c r="AP49">
        <f t="shared" si="15"/>
        <v>1</v>
      </c>
    </row>
    <row r="50" spans="1:42" x14ac:dyDescent="0.25">
      <c r="A50">
        <v>47</v>
      </c>
      <c r="B50" s="2">
        <f>Rich1!H49</f>
        <v>0</v>
      </c>
      <c r="C50" s="2">
        <f>Rich2!H49</f>
        <v>0</v>
      </c>
      <c r="D50" s="2">
        <f>Rich3!H49</f>
        <v>0</v>
      </c>
      <c r="E50" s="2">
        <f>Rich4!H49</f>
        <v>0</v>
      </c>
      <c r="F50" s="2">
        <f>Rich5!H49</f>
        <v>0</v>
      </c>
      <c r="G50">
        <f t="shared" si="1"/>
        <v>0</v>
      </c>
      <c r="H50">
        <f t="shared" si="2"/>
        <v>0</v>
      </c>
      <c r="I50">
        <f t="shared" si="3"/>
        <v>0</v>
      </c>
      <c r="K50">
        <v>47</v>
      </c>
      <c r="L50" s="2">
        <v>100</v>
      </c>
      <c r="M50" s="2">
        <v>100</v>
      </c>
      <c r="N50" s="2">
        <v>100</v>
      </c>
      <c r="O50" s="2">
        <f>100</f>
        <v>100</v>
      </c>
      <c r="P50" s="2">
        <f>100</f>
        <v>100</v>
      </c>
      <c r="Q50">
        <f t="shared" si="4"/>
        <v>100</v>
      </c>
      <c r="R50">
        <f t="shared" si="5"/>
        <v>100</v>
      </c>
      <c r="S50">
        <f t="shared" si="6"/>
        <v>100</v>
      </c>
      <c r="U50">
        <v>47</v>
      </c>
      <c r="V50" s="2">
        <f>Rich1!$D49</f>
        <v>0</v>
      </c>
      <c r="W50" s="2">
        <f>Rich2!$D49</f>
        <v>0</v>
      </c>
      <c r="X50" s="2">
        <f>Rich3!$D49</f>
        <v>0</v>
      </c>
      <c r="Y50" s="2">
        <f>Rich4!$D49</f>
        <v>0</v>
      </c>
      <c r="Z50" s="2">
        <f>Rich5!$D49</f>
        <v>0</v>
      </c>
      <c r="AA50">
        <f t="shared" si="7"/>
        <v>0</v>
      </c>
      <c r="AB50">
        <f t="shared" si="8"/>
        <v>0</v>
      </c>
      <c r="AC50">
        <f t="shared" si="9"/>
        <v>0</v>
      </c>
      <c r="AE50">
        <v>47</v>
      </c>
      <c r="AF50" s="2">
        <f t="shared" si="21"/>
        <v>100</v>
      </c>
      <c r="AG50" s="2">
        <f t="shared" si="22"/>
        <v>100</v>
      </c>
      <c r="AH50" s="2">
        <f t="shared" si="23"/>
        <v>100</v>
      </c>
      <c r="AI50" s="2">
        <f t="shared" si="24"/>
        <v>100</v>
      </c>
      <c r="AJ50" s="2">
        <f t="shared" si="25"/>
        <v>100</v>
      </c>
      <c r="AK50">
        <f t="shared" si="11"/>
        <v>100</v>
      </c>
      <c r="AL50">
        <f t="shared" si="12"/>
        <v>100</v>
      </c>
      <c r="AM50">
        <f t="shared" si="13"/>
        <v>100</v>
      </c>
      <c r="AO50">
        <f t="shared" si="14"/>
        <v>0</v>
      </c>
      <c r="AP50">
        <f t="shared" si="15"/>
        <v>1</v>
      </c>
    </row>
    <row r="51" spans="1:42" x14ac:dyDescent="0.25">
      <c r="A51">
        <v>48</v>
      </c>
      <c r="B51" s="2">
        <f>Rich1!H50</f>
        <v>0</v>
      </c>
      <c r="C51" s="2">
        <f>Rich2!H50</f>
        <v>0</v>
      </c>
      <c r="D51" s="2">
        <f>Rich3!H50</f>
        <v>0</v>
      </c>
      <c r="E51" s="2">
        <f>Rich4!H50</f>
        <v>0</v>
      </c>
      <c r="F51" s="2">
        <f>Rich5!H50</f>
        <v>0</v>
      </c>
      <c r="G51">
        <f t="shared" si="1"/>
        <v>0</v>
      </c>
      <c r="H51">
        <f t="shared" si="2"/>
        <v>0</v>
      </c>
      <c r="I51">
        <f t="shared" si="3"/>
        <v>0</v>
      </c>
      <c r="K51">
        <v>48</v>
      </c>
      <c r="L51" s="2">
        <v>100</v>
      </c>
      <c r="M51" s="2">
        <v>100</v>
      </c>
      <c r="N51" s="2">
        <v>100</v>
      </c>
      <c r="O51" s="2">
        <f>100</f>
        <v>100</v>
      </c>
      <c r="P51" s="2">
        <f>100</f>
        <v>100</v>
      </c>
      <c r="Q51">
        <f t="shared" si="4"/>
        <v>100</v>
      </c>
      <c r="R51">
        <f t="shared" si="5"/>
        <v>100</v>
      </c>
      <c r="S51">
        <f t="shared" si="6"/>
        <v>100</v>
      </c>
      <c r="U51">
        <v>48</v>
      </c>
      <c r="V51" s="2">
        <f>Rich1!$D50</f>
        <v>0</v>
      </c>
      <c r="W51" s="2">
        <f>Rich2!$D50</f>
        <v>0</v>
      </c>
      <c r="X51" s="2">
        <f>Rich3!$D50</f>
        <v>0</v>
      </c>
      <c r="Y51" s="2">
        <f>Rich4!$D50</f>
        <v>0</v>
      </c>
      <c r="Z51" s="2">
        <f>Rich5!$D50</f>
        <v>0</v>
      </c>
      <c r="AA51">
        <f t="shared" si="7"/>
        <v>0</v>
      </c>
      <c r="AB51">
        <f t="shared" si="8"/>
        <v>0</v>
      </c>
      <c r="AC51">
        <f t="shared" si="9"/>
        <v>0</v>
      </c>
      <c r="AE51">
        <v>48</v>
      </c>
      <c r="AF51" s="2">
        <f t="shared" si="21"/>
        <v>100</v>
      </c>
      <c r="AG51" s="2">
        <f t="shared" si="22"/>
        <v>100</v>
      </c>
      <c r="AH51" s="2">
        <f t="shared" si="23"/>
        <v>100</v>
      </c>
      <c r="AI51" s="2">
        <f t="shared" si="24"/>
        <v>100</v>
      </c>
      <c r="AJ51" s="2">
        <f t="shared" si="25"/>
        <v>100</v>
      </c>
      <c r="AK51">
        <f t="shared" si="11"/>
        <v>100</v>
      </c>
      <c r="AL51">
        <f t="shared" si="12"/>
        <v>100</v>
      </c>
      <c r="AM51">
        <f t="shared" si="13"/>
        <v>100</v>
      </c>
      <c r="AO51">
        <f t="shared" si="14"/>
        <v>0</v>
      </c>
      <c r="AP51">
        <f t="shared" si="15"/>
        <v>1</v>
      </c>
    </row>
    <row r="52" spans="1:42" x14ac:dyDescent="0.25">
      <c r="A52">
        <v>49</v>
      </c>
      <c r="B52" s="2">
        <f>Rich1!H51</f>
        <v>0</v>
      </c>
      <c r="C52" s="2">
        <f>Rich2!H51</f>
        <v>0</v>
      </c>
      <c r="D52" s="2">
        <f>Rich3!H51</f>
        <v>0</v>
      </c>
      <c r="E52" s="2">
        <f>Rich4!H51</f>
        <v>0</v>
      </c>
      <c r="F52" s="2">
        <f>Rich5!H51</f>
        <v>0</v>
      </c>
      <c r="G52">
        <f t="shared" si="1"/>
        <v>0</v>
      </c>
      <c r="H52">
        <f t="shared" si="2"/>
        <v>0</v>
      </c>
      <c r="I52">
        <f t="shared" si="3"/>
        <v>0</v>
      </c>
      <c r="K52">
        <v>49</v>
      </c>
      <c r="L52" s="2">
        <v>100</v>
      </c>
      <c r="M52" s="2">
        <v>100</v>
      </c>
      <c r="N52" s="2">
        <v>100</v>
      </c>
      <c r="O52" s="2">
        <f>100</f>
        <v>100</v>
      </c>
      <c r="P52" s="2">
        <f>100</f>
        <v>100</v>
      </c>
      <c r="Q52">
        <f t="shared" si="4"/>
        <v>100</v>
      </c>
      <c r="R52">
        <f t="shared" si="5"/>
        <v>100</v>
      </c>
      <c r="S52">
        <f t="shared" si="6"/>
        <v>100</v>
      </c>
      <c r="U52">
        <v>49</v>
      </c>
      <c r="V52" s="2">
        <f>Rich1!$D51</f>
        <v>0</v>
      </c>
      <c r="W52" s="2">
        <f>Rich2!$D51</f>
        <v>0</v>
      </c>
      <c r="X52" s="2">
        <f>Rich3!$D51</f>
        <v>0</v>
      </c>
      <c r="Y52" s="2">
        <f>Rich4!$D51</f>
        <v>0</v>
      </c>
      <c r="Z52" s="2">
        <f>Rich5!$D51</f>
        <v>0</v>
      </c>
      <c r="AA52">
        <f t="shared" si="7"/>
        <v>0</v>
      </c>
      <c r="AB52">
        <f t="shared" si="8"/>
        <v>0</v>
      </c>
      <c r="AC52">
        <f t="shared" si="9"/>
        <v>0</v>
      </c>
      <c r="AE52">
        <v>49</v>
      </c>
      <c r="AF52" s="2">
        <f t="shared" si="21"/>
        <v>100</v>
      </c>
      <c r="AG52" s="2">
        <f t="shared" si="22"/>
        <v>100</v>
      </c>
      <c r="AH52" s="2">
        <f t="shared" si="23"/>
        <v>100</v>
      </c>
      <c r="AI52" s="2">
        <f t="shared" si="24"/>
        <v>100</v>
      </c>
      <c r="AJ52" s="2">
        <f t="shared" si="25"/>
        <v>100</v>
      </c>
      <c r="AK52">
        <f t="shared" si="11"/>
        <v>100</v>
      </c>
      <c r="AL52">
        <f t="shared" si="12"/>
        <v>100</v>
      </c>
      <c r="AM52">
        <f t="shared" si="13"/>
        <v>100</v>
      </c>
      <c r="AO52">
        <f t="shared" si="14"/>
        <v>0</v>
      </c>
      <c r="AP52">
        <f t="shared" si="15"/>
        <v>1</v>
      </c>
    </row>
    <row r="53" spans="1:42" x14ac:dyDescent="0.25">
      <c r="A53" t="s">
        <v>14</v>
      </c>
      <c r="B53">
        <f>SUM(B3:B52)</f>
        <v>76</v>
      </c>
      <c r="C53">
        <f t="shared" ref="C53:F53" si="26">SUM(C3:C52)</f>
        <v>77</v>
      </c>
      <c r="D53">
        <f t="shared" si="26"/>
        <v>80</v>
      </c>
      <c r="E53">
        <f t="shared" si="26"/>
        <v>83</v>
      </c>
      <c r="F53">
        <f t="shared" si="26"/>
        <v>83</v>
      </c>
      <c r="G53">
        <f t="shared" ref="G53:I53" si="27">SUM(G3:G52)</f>
        <v>36</v>
      </c>
      <c r="H53">
        <f t="shared" si="27"/>
        <v>79.800000000000026</v>
      </c>
      <c r="I53">
        <f t="shared" si="27"/>
        <v>131</v>
      </c>
      <c r="K53" t="s">
        <v>14</v>
      </c>
      <c r="L53">
        <f>SUM(L3:L52)</f>
        <v>4096</v>
      </c>
      <c r="M53">
        <f t="shared" ref="M53:Q53" si="28">SUM(M3:M52)</f>
        <v>4076</v>
      </c>
      <c r="N53">
        <f t="shared" si="28"/>
        <v>3879</v>
      </c>
      <c r="O53">
        <f t="shared" si="28"/>
        <v>3606</v>
      </c>
      <c r="P53">
        <f t="shared" si="28"/>
        <v>3814</v>
      </c>
      <c r="Q53">
        <f t="shared" si="28"/>
        <v>3368</v>
      </c>
      <c r="R53">
        <f t="shared" si="5"/>
        <v>3894.2</v>
      </c>
      <c r="S53">
        <f t="shared" si="6"/>
        <v>4096</v>
      </c>
      <c r="U53" t="s">
        <v>14</v>
      </c>
      <c r="V53">
        <f>SUM(V3:V52)</f>
        <v>456</v>
      </c>
      <c r="W53">
        <f t="shared" ref="W53:AA53" si="29">SUM(W3:W52)</f>
        <v>462</v>
      </c>
      <c r="X53">
        <f t="shared" si="29"/>
        <v>480</v>
      </c>
      <c r="Y53">
        <f t="shared" si="29"/>
        <v>498</v>
      </c>
      <c r="Z53">
        <f t="shared" si="29"/>
        <v>498</v>
      </c>
      <c r="AA53">
        <f t="shared" si="29"/>
        <v>294</v>
      </c>
      <c r="AB53">
        <f t="shared" si="8"/>
        <v>478.8</v>
      </c>
      <c r="AC53">
        <f t="shared" si="9"/>
        <v>498</v>
      </c>
      <c r="AE53" t="s">
        <v>14</v>
      </c>
      <c r="AF53">
        <f>SUM(AF3:AF52)</f>
        <v>4093.083333333333</v>
      </c>
      <c r="AG53">
        <f t="shared" ref="AG53:AK53" si="30">SUM(AG3:AG52)</f>
        <v>4072.0333333333328</v>
      </c>
      <c r="AH53">
        <f t="shared" si="30"/>
        <v>3872.3833333333332</v>
      </c>
      <c r="AI53">
        <f t="shared" si="30"/>
        <v>3601.3833333333337</v>
      </c>
      <c r="AJ53">
        <f t="shared" si="30"/>
        <v>3809.7666666666669</v>
      </c>
      <c r="AK53">
        <f t="shared" si="30"/>
        <v>3545.0166666666673</v>
      </c>
      <c r="AL53">
        <f t="shared" si="12"/>
        <v>3889.7300000000005</v>
      </c>
      <c r="AM53">
        <f t="shared" si="13"/>
        <v>4093.083333333333</v>
      </c>
    </row>
    <row r="55" spans="1:42" x14ac:dyDescent="0.25">
      <c r="A55" t="s">
        <v>42</v>
      </c>
      <c r="B55">
        <f>AVERAGE(B3:B25)</f>
        <v>3.3043478260869565</v>
      </c>
      <c r="C55">
        <f>AVERAGE(C3:C30)</f>
        <v>2.75</v>
      </c>
      <c r="D55">
        <f>AVERAGE(D3:D35)</f>
        <v>2.4242424242424243</v>
      </c>
      <c r="E55">
        <f>AVERAGE(E3:E40)</f>
        <v>2.1842105263157894</v>
      </c>
      <c r="F55">
        <f>AVERAGE(F3:F37)</f>
        <v>2.3714285714285714</v>
      </c>
      <c r="G55">
        <f>MIN(B55:F55)</f>
        <v>2.1842105263157894</v>
      </c>
      <c r="H55">
        <f>AVERAGE(B55:G55)</f>
        <v>2.5364066457315886</v>
      </c>
      <c r="I55">
        <f>MAX(B55:G55)</f>
        <v>3.3043478260869565</v>
      </c>
      <c r="K55" t="s">
        <v>42</v>
      </c>
      <c r="L55">
        <f>AVERAGE(L3:L25)</f>
        <v>60.695652173913047</v>
      </c>
      <c r="M55">
        <f>AVERAGE(M3:M30)</f>
        <v>67</v>
      </c>
      <c r="N55">
        <f>AVERAGE(N3:N35)</f>
        <v>66.030303030303031</v>
      </c>
      <c r="O55">
        <f>AVERAGE(O3:O40)</f>
        <v>63.315789473684212</v>
      </c>
      <c r="P55">
        <f>AVERAGE(P3:P37)</f>
        <v>66.114285714285714</v>
      </c>
      <c r="Q55">
        <f>MIN(L55:P55)</f>
        <v>60.695652173913047</v>
      </c>
      <c r="R55">
        <f>AVERAGE(L55:Q55)</f>
        <v>63.975280427683174</v>
      </c>
      <c r="S55">
        <f>MAX(L55:Q55)</f>
        <v>67</v>
      </c>
      <c r="U55" t="s">
        <v>42</v>
      </c>
      <c r="V55">
        <f>AVERAGE(V3:V25)</f>
        <v>19.826086956521738</v>
      </c>
      <c r="W55">
        <f>AVERAGE(W3:W30)</f>
        <v>16.5</v>
      </c>
      <c r="X55">
        <f>AVERAGE(X3:X35)</f>
        <v>14.545454545454545</v>
      </c>
      <c r="Y55">
        <f>AVERAGE(Y3:Y40)</f>
        <v>13.105263157894736</v>
      </c>
      <c r="Z55">
        <f>AVERAGE(Z3:Z37)</f>
        <v>14.228571428571428</v>
      </c>
      <c r="AA55">
        <f>MIN(V55:Z55)</f>
        <v>13.105263157894736</v>
      </c>
      <c r="AB55">
        <f>AVERAGE(V55:AA55)</f>
        <v>15.218439874389531</v>
      </c>
      <c r="AC55">
        <f>MAX(V55:AA55)</f>
        <v>19.826086956521738</v>
      </c>
      <c r="AE55" t="s">
        <v>42</v>
      </c>
      <c r="AF55">
        <f>AVERAGE(AF3:AF25)</f>
        <v>62.351449275362313</v>
      </c>
      <c r="AG55">
        <f>AVERAGE(AG3:AG30)</f>
        <v>68.144047619047612</v>
      </c>
      <c r="AH55">
        <f>AVERAGE(AH3:AH35)</f>
        <v>67.016666666666666</v>
      </c>
      <c r="AI55">
        <f>AVERAGE(AI3:AI40)</f>
        <v>64.036403508771926</v>
      </c>
      <c r="AJ55">
        <f>AVERAGE(AJ3:AJ37)</f>
        <v>66.7457142857143</v>
      </c>
      <c r="AK55">
        <f>MIN(AF55:AJ55)</f>
        <v>62.351449275362313</v>
      </c>
      <c r="AL55">
        <f>AVERAGE(AF55:AK55)</f>
        <v>65.10762177182086</v>
      </c>
      <c r="AM55">
        <f>MAX(AF55:AK55)</f>
        <v>68.144047619047612</v>
      </c>
    </row>
  </sheetData>
  <mergeCells count="4">
    <mergeCell ref="B1:F1"/>
    <mergeCell ref="L1:P1"/>
    <mergeCell ref="V1:Z1"/>
    <mergeCell ref="AF1:AJ1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03F4-13F7-411C-9A2C-706E5C3B6C5F}">
  <dimension ref="A1:M51"/>
  <sheetViews>
    <sheetView workbookViewId="0">
      <selection activeCell="G3" sqref="G3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3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3" x14ac:dyDescent="0.25">
      <c r="A3">
        <v>1</v>
      </c>
      <c r="B3">
        <v>1</v>
      </c>
      <c r="C3">
        <v>95</v>
      </c>
      <c r="D3">
        <v>5</v>
      </c>
      <c r="E3">
        <v>0</v>
      </c>
      <c r="F3">
        <v>0</v>
      </c>
      <c r="G3">
        <v>100</v>
      </c>
      <c r="H3">
        <v>3</v>
      </c>
      <c r="I3">
        <v>5</v>
      </c>
      <c r="J3">
        <v>500</v>
      </c>
      <c r="K3">
        <v>0</v>
      </c>
      <c r="M3">
        <f>J3/500</f>
        <v>1</v>
      </c>
    </row>
    <row r="4" spans="1:13" x14ac:dyDescent="0.25">
      <c r="A4">
        <v>2</v>
      </c>
      <c r="B4">
        <v>2</v>
      </c>
      <c r="C4">
        <v>93</v>
      </c>
      <c r="D4">
        <v>7</v>
      </c>
      <c r="E4">
        <v>0</v>
      </c>
      <c r="F4">
        <v>0</v>
      </c>
      <c r="G4">
        <v>100</v>
      </c>
      <c r="H4">
        <v>2</v>
      </c>
      <c r="I4">
        <v>7</v>
      </c>
      <c r="J4">
        <v>498</v>
      </c>
      <c r="K4">
        <v>0</v>
      </c>
      <c r="M4">
        <f t="shared" ref="M4:M51" si="0">J4/500</f>
        <v>0.996</v>
      </c>
    </row>
    <row r="5" spans="1:13" x14ac:dyDescent="0.25">
      <c r="A5">
        <v>3</v>
      </c>
      <c r="B5">
        <v>3</v>
      </c>
      <c r="C5">
        <v>86</v>
      </c>
      <c r="D5">
        <v>14</v>
      </c>
      <c r="E5">
        <v>0</v>
      </c>
      <c r="F5">
        <v>0</v>
      </c>
      <c r="G5">
        <v>100</v>
      </c>
      <c r="H5">
        <v>7</v>
      </c>
      <c r="I5">
        <v>14</v>
      </c>
      <c r="J5">
        <v>498</v>
      </c>
      <c r="K5">
        <v>2</v>
      </c>
      <c r="M5">
        <f t="shared" si="0"/>
        <v>0.996</v>
      </c>
    </row>
    <row r="6" spans="1:13" x14ac:dyDescent="0.25">
      <c r="A6">
        <v>4</v>
      </c>
      <c r="B6">
        <v>4</v>
      </c>
      <c r="C6">
        <v>83</v>
      </c>
      <c r="D6">
        <v>17</v>
      </c>
      <c r="E6">
        <v>0</v>
      </c>
      <c r="F6">
        <v>66</v>
      </c>
      <c r="G6">
        <v>34</v>
      </c>
      <c r="H6">
        <v>3</v>
      </c>
      <c r="I6">
        <v>17</v>
      </c>
      <c r="J6">
        <v>168</v>
      </c>
      <c r="K6">
        <v>3</v>
      </c>
      <c r="M6">
        <f t="shared" si="0"/>
        <v>0.33600000000000002</v>
      </c>
    </row>
    <row r="7" spans="1:13" x14ac:dyDescent="0.25">
      <c r="A7">
        <v>5</v>
      </c>
      <c r="B7">
        <v>5</v>
      </c>
      <c r="C7">
        <v>83</v>
      </c>
      <c r="D7">
        <v>17</v>
      </c>
      <c r="E7">
        <v>0</v>
      </c>
      <c r="F7">
        <v>67</v>
      </c>
      <c r="G7">
        <v>33</v>
      </c>
      <c r="H7">
        <v>0</v>
      </c>
      <c r="I7">
        <v>17</v>
      </c>
      <c r="J7">
        <v>164</v>
      </c>
      <c r="K7">
        <v>2</v>
      </c>
      <c r="M7">
        <f t="shared" si="0"/>
        <v>0.32800000000000001</v>
      </c>
    </row>
    <row r="8" spans="1:13" x14ac:dyDescent="0.25">
      <c r="A8">
        <v>6</v>
      </c>
      <c r="B8">
        <v>6</v>
      </c>
      <c r="C8">
        <v>80</v>
      </c>
      <c r="D8">
        <v>18</v>
      </c>
      <c r="E8">
        <v>2</v>
      </c>
      <c r="F8">
        <v>67</v>
      </c>
      <c r="G8">
        <v>33</v>
      </c>
      <c r="H8">
        <v>3</v>
      </c>
      <c r="I8">
        <v>20</v>
      </c>
      <c r="J8">
        <v>160</v>
      </c>
      <c r="K8">
        <v>7</v>
      </c>
      <c r="M8">
        <f t="shared" si="0"/>
        <v>0.32</v>
      </c>
    </row>
    <row r="9" spans="1:13" x14ac:dyDescent="0.25">
      <c r="A9">
        <v>7</v>
      </c>
      <c r="B9">
        <v>7</v>
      </c>
      <c r="C9">
        <v>76</v>
      </c>
      <c r="D9">
        <v>19</v>
      </c>
      <c r="E9">
        <v>5</v>
      </c>
      <c r="F9">
        <v>75</v>
      </c>
      <c r="G9">
        <v>25</v>
      </c>
      <c r="H9">
        <v>4</v>
      </c>
      <c r="I9">
        <v>24</v>
      </c>
      <c r="J9">
        <v>120</v>
      </c>
      <c r="K9">
        <v>3</v>
      </c>
      <c r="M9">
        <f t="shared" si="0"/>
        <v>0.24</v>
      </c>
    </row>
    <row r="10" spans="1:13" x14ac:dyDescent="0.25">
      <c r="A10">
        <v>8</v>
      </c>
      <c r="B10">
        <v>8</v>
      </c>
      <c r="C10">
        <v>71</v>
      </c>
      <c r="D10">
        <v>22</v>
      </c>
      <c r="E10">
        <v>7</v>
      </c>
      <c r="F10">
        <v>68</v>
      </c>
      <c r="G10">
        <v>32</v>
      </c>
      <c r="H10">
        <v>5</v>
      </c>
      <c r="I10">
        <v>29</v>
      </c>
      <c r="J10">
        <v>158</v>
      </c>
      <c r="K10">
        <v>0</v>
      </c>
      <c r="M10">
        <f t="shared" si="0"/>
        <v>0.316</v>
      </c>
    </row>
    <row r="11" spans="1:13" x14ac:dyDescent="0.25">
      <c r="A11">
        <v>9</v>
      </c>
      <c r="B11">
        <v>9</v>
      </c>
      <c r="C11">
        <v>62</v>
      </c>
      <c r="D11">
        <v>24</v>
      </c>
      <c r="E11">
        <v>14</v>
      </c>
      <c r="F11">
        <v>5</v>
      </c>
      <c r="G11">
        <v>95</v>
      </c>
      <c r="H11">
        <v>9</v>
      </c>
      <c r="I11">
        <v>38</v>
      </c>
      <c r="J11">
        <v>474</v>
      </c>
      <c r="K11">
        <v>3</v>
      </c>
      <c r="M11">
        <f t="shared" si="0"/>
        <v>0.94799999999999995</v>
      </c>
    </row>
    <row r="12" spans="1:13" x14ac:dyDescent="0.25">
      <c r="A12">
        <v>10</v>
      </c>
      <c r="B12">
        <v>10</v>
      </c>
      <c r="C12">
        <v>58</v>
      </c>
      <c r="D12">
        <v>25</v>
      </c>
      <c r="E12">
        <v>17</v>
      </c>
      <c r="F12">
        <v>72</v>
      </c>
      <c r="G12">
        <v>28</v>
      </c>
      <c r="H12">
        <v>4</v>
      </c>
      <c r="I12">
        <v>42</v>
      </c>
      <c r="J12">
        <v>140</v>
      </c>
      <c r="K12">
        <v>4</v>
      </c>
      <c r="M12">
        <f t="shared" si="0"/>
        <v>0.28000000000000003</v>
      </c>
    </row>
    <row r="13" spans="1:13" x14ac:dyDescent="0.25">
      <c r="A13">
        <v>11</v>
      </c>
      <c r="B13">
        <v>11</v>
      </c>
      <c r="C13">
        <v>54</v>
      </c>
      <c r="D13">
        <v>29</v>
      </c>
      <c r="E13">
        <v>17</v>
      </c>
      <c r="F13">
        <v>81</v>
      </c>
      <c r="G13">
        <v>19</v>
      </c>
      <c r="H13">
        <v>4</v>
      </c>
      <c r="I13">
        <v>46</v>
      </c>
      <c r="J13">
        <v>94</v>
      </c>
      <c r="K13">
        <v>5</v>
      </c>
      <c r="M13">
        <f t="shared" si="0"/>
        <v>0.188</v>
      </c>
    </row>
    <row r="14" spans="1:13" x14ac:dyDescent="0.25">
      <c r="A14">
        <v>12</v>
      </c>
      <c r="B14">
        <v>12</v>
      </c>
      <c r="C14">
        <v>51</v>
      </c>
      <c r="D14">
        <v>29</v>
      </c>
      <c r="E14">
        <v>20</v>
      </c>
      <c r="F14">
        <v>74</v>
      </c>
      <c r="G14">
        <v>26</v>
      </c>
      <c r="H14">
        <v>3</v>
      </c>
      <c r="I14">
        <v>49</v>
      </c>
      <c r="J14">
        <v>130</v>
      </c>
      <c r="K14">
        <v>9</v>
      </c>
      <c r="M14">
        <f t="shared" si="0"/>
        <v>0.26</v>
      </c>
    </row>
    <row r="15" spans="1:13" x14ac:dyDescent="0.25">
      <c r="A15">
        <v>13</v>
      </c>
      <c r="B15">
        <v>13</v>
      </c>
      <c r="C15">
        <v>50</v>
      </c>
      <c r="D15">
        <v>26</v>
      </c>
      <c r="E15">
        <v>24</v>
      </c>
      <c r="F15">
        <v>84</v>
      </c>
      <c r="G15">
        <v>16</v>
      </c>
      <c r="H15">
        <v>1</v>
      </c>
      <c r="I15">
        <v>50</v>
      </c>
      <c r="J15">
        <v>78</v>
      </c>
      <c r="K15">
        <v>4</v>
      </c>
      <c r="M15">
        <f t="shared" si="0"/>
        <v>0.156</v>
      </c>
    </row>
    <row r="16" spans="1:13" x14ac:dyDescent="0.25">
      <c r="A16">
        <v>14</v>
      </c>
      <c r="B16">
        <v>14</v>
      </c>
      <c r="C16">
        <v>49</v>
      </c>
      <c r="D16">
        <v>22</v>
      </c>
      <c r="E16">
        <v>29</v>
      </c>
      <c r="F16">
        <v>83</v>
      </c>
      <c r="G16">
        <v>17</v>
      </c>
      <c r="H16">
        <v>1</v>
      </c>
      <c r="I16">
        <v>51</v>
      </c>
      <c r="J16">
        <v>84</v>
      </c>
      <c r="K16">
        <v>4</v>
      </c>
      <c r="M16">
        <f t="shared" si="0"/>
        <v>0.16800000000000001</v>
      </c>
    </row>
    <row r="17" spans="1:13" x14ac:dyDescent="0.25">
      <c r="A17">
        <v>15</v>
      </c>
      <c r="B17">
        <v>15</v>
      </c>
      <c r="C17">
        <v>48</v>
      </c>
      <c r="D17">
        <v>14</v>
      </c>
      <c r="E17">
        <v>38</v>
      </c>
      <c r="F17">
        <v>76</v>
      </c>
      <c r="G17">
        <v>24</v>
      </c>
      <c r="H17">
        <v>1</v>
      </c>
      <c r="I17">
        <v>52</v>
      </c>
      <c r="J17">
        <v>120</v>
      </c>
      <c r="K17">
        <v>3</v>
      </c>
      <c r="M17">
        <f t="shared" si="0"/>
        <v>0.24</v>
      </c>
    </row>
    <row r="18" spans="1:13" x14ac:dyDescent="0.25">
      <c r="A18">
        <v>16</v>
      </c>
      <c r="B18">
        <v>16</v>
      </c>
      <c r="C18">
        <v>48</v>
      </c>
      <c r="D18">
        <v>10</v>
      </c>
      <c r="E18">
        <v>42</v>
      </c>
      <c r="F18">
        <v>73</v>
      </c>
      <c r="G18">
        <v>27</v>
      </c>
      <c r="H18">
        <v>0</v>
      </c>
      <c r="I18">
        <v>52</v>
      </c>
      <c r="J18">
        <v>132</v>
      </c>
      <c r="K18">
        <v>1</v>
      </c>
      <c r="M18">
        <f t="shared" si="0"/>
        <v>0.26400000000000001</v>
      </c>
    </row>
    <row r="19" spans="1:13" x14ac:dyDescent="0.25">
      <c r="A19">
        <v>17</v>
      </c>
      <c r="B19">
        <v>17</v>
      </c>
      <c r="C19">
        <v>48</v>
      </c>
      <c r="D19">
        <v>6</v>
      </c>
      <c r="E19">
        <v>46</v>
      </c>
      <c r="F19">
        <v>45</v>
      </c>
      <c r="G19">
        <v>55</v>
      </c>
      <c r="H19">
        <v>0</v>
      </c>
      <c r="I19">
        <v>52</v>
      </c>
      <c r="J19">
        <v>274</v>
      </c>
      <c r="K19">
        <v>1</v>
      </c>
      <c r="M19">
        <f t="shared" si="0"/>
        <v>0.54800000000000004</v>
      </c>
    </row>
    <row r="20" spans="1:13" x14ac:dyDescent="0.25">
      <c r="A20">
        <v>18</v>
      </c>
      <c r="B20">
        <v>18</v>
      </c>
      <c r="C20">
        <v>48</v>
      </c>
      <c r="D20">
        <v>3</v>
      </c>
      <c r="E20">
        <v>49</v>
      </c>
      <c r="F20">
        <v>43</v>
      </c>
      <c r="G20">
        <v>57</v>
      </c>
      <c r="H20">
        <v>0</v>
      </c>
      <c r="I20">
        <v>52</v>
      </c>
      <c r="J20">
        <v>284</v>
      </c>
      <c r="K20">
        <v>1</v>
      </c>
      <c r="M20">
        <f t="shared" si="0"/>
        <v>0.56799999999999995</v>
      </c>
    </row>
    <row r="21" spans="1:13" x14ac:dyDescent="0.25">
      <c r="A21">
        <v>19</v>
      </c>
      <c r="B21">
        <v>19</v>
      </c>
      <c r="C21">
        <v>48</v>
      </c>
      <c r="D21">
        <v>2</v>
      </c>
      <c r="E21">
        <v>50</v>
      </c>
      <c r="F21">
        <v>40</v>
      </c>
      <c r="G21">
        <v>60</v>
      </c>
      <c r="H21">
        <v>0</v>
      </c>
      <c r="I21">
        <v>52</v>
      </c>
      <c r="J21">
        <v>298</v>
      </c>
      <c r="K21">
        <v>0</v>
      </c>
      <c r="M21">
        <f t="shared" si="0"/>
        <v>0.59599999999999997</v>
      </c>
    </row>
    <row r="22" spans="1:13" x14ac:dyDescent="0.25">
      <c r="A22">
        <v>20</v>
      </c>
      <c r="B22">
        <v>20</v>
      </c>
      <c r="C22">
        <v>48</v>
      </c>
      <c r="D22">
        <v>1</v>
      </c>
      <c r="E22">
        <v>51</v>
      </c>
      <c r="F22">
        <v>1</v>
      </c>
      <c r="G22">
        <v>99</v>
      </c>
      <c r="H22">
        <v>0</v>
      </c>
      <c r="I22">
        <v>52</v>
      </c>
      <c r="J22">
        <v>494</v>
      </c>
      <c r="K22">
        <v>0</v>
      </c>
      <c r="M22">
        <f t="shared" si="0"/>
        <v>0.98799999999999999</v>
      </c>
    </row>
    <row r="23" spans="1:13" x14ac:dyDescent="0.25">
      <c r="A23">
        <v>21</v>
      </c>
      <c r="B23">
        <v>21</v>
      </c>
      <c r="C23">
        <v>47</v>
      </c>
      <c r="D23">
        <v>1</v>
      </c>
      <c r="E23">
        <v>52</v>
      </c>
      <c r="F23">
        <v>0</v>
      </c>
      <c r="G23">
        <v>100</v>
      </c>
      <c r="H23">
        <v>1</v>
      </c>
      <c r="I23">
        <v>53</v>
      </c>
      <c r="J23">
        <v>498</v>
      </c>
      <c r="K23">
        <v>0</v>
      </c>
      <c r="M23">
        <f t="shared" si="0"/>
        <v>0.996</v>
      </c>
    </row>
    <row r="24" spans="1:13" x14ac:dyDescent="0.25">
      <c r="A24">
        <v>22</v>
      </c>
      <c r="B24">
        <v>22</v>
      </c>
      <c r="C24">
        <v>47</v>
      </c>
      <c r="D24">
        <v>1</v>
      </c>
      <c r="E24">
        <v>52</v>
      </c>
      <c r="F24">
        <v>0</v>
      </c>
      <c r="G24">
        <v>100</v>
      </c>
      <c r="H24">
        <v>0</v>
      </c>
      <c r="I24">
        <v>53</v>
      </c>
      <c r="J24">
        <v>498</v>
      </c>
      <c r="K24">
        <v>0</v>
      </c>
      <c r="M24">
        <f t="shared" si="0"/>
        <v>0.996</v>
      </c>
    </row>
    <row r="25" spans="1:13" x14ac:dyDescent="0.25">
      <c r="A25">
        <v>23</v>
      </c>
      <c r="B25">
        <v>23</v>
      </c>
      <c r="C25">
        <v>47</v>
      </c>
      <c r="D25">
        <v>1</v>
      </c>
      <c r="E25">
        <v>52</v>
      </c>
      <c r="F25">
        <v>0</v>
      </c>
      <c r="G25">
        <v>100</v>
      </c>
      <c r="H25">
        <v>0</v>
      </c>
      <c r="I25">
        <v>53</v>
      </c>
      <c r="J25">
        <v>498</v>
      </c>
      <c r="K25">
        <v>0</v>
      </c>
      <c r="M25">
        <f t="shared" si="0"/>
        <v>0.996</v>
      </c>
    </row>
    <row r="26" spans="1:13" x14ac:dyDescent="0.25">
      <c r="A26">
        <v>24</v>
      </c>
      <c r="B26">
        <v>24</v>
      </c>
      <c r="C26">
        <v>47</v>
      </c>
      <c r="D26">
        <v>1</v>
      </c>
      <c r="E26">
        <v>52</v>
      </c>
      <c r="F26">
        <v>0</v>
      </c>
      <c r="G26">
        <v>100</v>
      </c>
      <c r="H26">
        <v>0</v>
      </c>
      <c r="I26">
        <v>53</v>
      </c>
      <c r="J26">
        <v>500</v>
      </c>
      <c r="K26">
        <v>1</v>
      </c>
      <c r="M26">
        <f t="shared" si="0"/>
        <v>1</v>
      </c>
    </row>
    <row r="27" spans="1:13" x14ac:dyDescent="0.25">
      <c r="A27">
        <v>25</v>
      </c>
      <c r="B27">
        <v>25</v>
      </c>
      <c r="C27">
        <v>47</v>
      </c>
      <c r="D27">
        <v>1</v>
      </c>
      <c r="E27">
        <v>52</v>
      </c>
      <c r="F27">
        <v>40</v>
      </c>
      <c r="G27">
        <v>60</v>
      </c>
      <c r="H27">
        <v>0</v>
      </c>
      <c r="I27">
        <v>53</v>
      </c>
      <c r="J27">
        <v>296</v>
      </c>
      <c r="K27">
        <v>0</v>
      </c>
      <c r="M27">
        <f t="shared" si="0"/>
        <v>0.59199999999999997</v>
      </c>
    </row>
    <row r="28" spans="1:13" x14ac:dyDescent="0.25">
      <c r="A28">
        <v>26</v>
      </c>
      <c r="B28">
        <v>26</v>
      </c>
      <c r="C28">
        <v>47</v>
      </c>
      <c r="D28">
        <v>1</v>
      </c>
      <c r="E28">
        <v>52</v>
      </c>
      <c r="F28">
        <v>1</v>
      </c>
      <c r="G28">
        <v>99</v>
      </c>
      <c r="H28">
        <v>0</v>
      </c>
      <c r="I28">
        <v>53</v>
      </c>
      <c r="J28">
        <v>494</v>
      </c>
      <c r="K28">
        <v>0</v>
      </c>
      <c r="M28">
        <f t="shared" si="0"/>
        <v>0.98799999999999999</v>
      </c>
    </row>
    <row r="29" spans="1:13" x14ac:dyDescent="0.25">
      <c r="A29">
        <v>27</v>
      </c>
      <c r="B29">
        <v>27</v>
      </c>
      <c r="C29">
        <v>46</v>
      </c>
      <c r="D29">
        <v>1</v>
      </c>
      <c r="E29">
        <v>53</v>
      </c>
      <c r="F29">
        <v>0</v>
      </c>
      <c r="G29">
        <v>100</v>
      </c>
      <c r="H29">
        <v>1</v>
      </c>
      <c r="I29">
        <v>54</v>
      </c>
      <c r="J29">
        <v>500</v>
      </c>
      <c r="K29">
        <v>0</v>
      </c>
      <c r="M29">
        <f t="shared" si="0"/>
        <v>1</v>
      </c>
    </row>
    <row r="30" spans="1:13" x14ac:dyDescent="0.25">
      <c r="A30">
        <v>28</v>
      </c>
      <c r="B30">
        <v>28</v>
      </c>
      <c r="C30">
        <v>46</v>
      </c>
      <c r="D30">
        <v>1</v>
      </c>
      <c r="E30">
        <v>53</v>
      </c>
      <c r="F30">
        <v>0</v>
      </c>
      <c r="G30">
        <v>100</v>
      </c>
      <c r="H30">
        <v>0</v>
      </c>
      <c r="I30">
        <v>54</v>
      </c>
      <c r="J30">
        <v>498</v>
      </c>
      <c r="K30">
        <v>0</v>
      </c>
      <c r="M30">
        <f t="shared" si="0"/>
        <v>0.996</v>
      </c>
    </row>
    <row r="31" spans="1:13" x14ac:dyDescent="0.25">
      <c r="A31">
        <v>29</v>
      </c>
      <c r="B31">
        <v>29</v>
      </c>
      <c r="C31">
        <v>45</v>
      </c>
      <c r="D31">
        <v>2</v>
      </c>
      <c r="E31">
        <v>53</v>
      </c>
      <c r="F31">
        <v>0</v>
      </c>
      <c r="G31">
        <v>100</v>
      </c>
      <c r="H31">
        <v>1</v>
      </c>
      <c r="I31">
        <v>55</v>
      </c>
      <c r="J31">
        <v>498</v>
      </c>
      <c r="K31">
        <v>0</v>
      </c>
      <c r="M31">
        <f t="shared" si="0"/>
        <v>0.996</v>
      </c>
    </row>
    <row r="32" spans="1:13" x14ac:dyDescent="0.25">
      <c r="A32">
        <v>30</v>
      </c>
      <c r="B32">
        <v>30</v>
      </c>
      <c r="C32">
        <v>44</v>
      </c>
      <c r="D32">
        <v>3</v>
      </c>
      <c r="E32">
        <v>53</v>
      </c>
      <c r="F32">
        <v>0</v>
      </c>
      <c r="G32">
        <v>100</v>
      </c>
      <c r="H32">
        <v>1</v>
      </c>
      <c r="I32">
        <v>56</v>
      </c>
      <c r="J32">
        <v>498</v>
      </c>
      <c r="K32">
        <v>1</v>
      </c>
      <c r="M32">
        <f t="shared" si="0"/>
        <v>0.996</v>
      </c>
    </row>
    <row r="33" spans="1:13" x14ac:dyDescent="0.25">
      <c r="A33">
        <v>31</v>
      </c>
      <c r="B33">
        <v>31</v>
      </c>
      <c r="C33">
        <v>41</v>
      </c>
      <c r="D33">
        <v>6</v>
      </c>
      <c r="E33">
        <v>53</v>
      </c>
      <c r="F33">
        <v>38</v>
      </c>
      <c r="G33">
        <v>62</v>
      </c>
      <c r="H33">
        <v>3</v>
      </c>
      <c r="I33">
        <v>59</v>
      </c>
      <c r="J33">
        <v>308</v>
      </c>
      <c r="K33">
        <v>0</v>
      </c>
      <c r="M33">
        <f t="shared" si="0"/>
        <v>0.61599999999999999</v>
      </c>
    </row>
    <row r="34" spans="1:13" x14ac:dyDescent="0.25">
      <c r="A34">
        <v>32</v>
      </c>
      <c r="B34">
        <v>32</v>
      </c>
      <c r="C34">
        <v>40</v>
      </c>
      <c r="D34">
        <v>7</v>
      </c>
      <c r="E34">
        <v>53</v>
      </c>
      <c r="F34">
        <v>1</v>
      </c>
      <c r="G34">
        <v>99</v>
      </c>
      <c r="H34">
        <v>1</v>
      </c>
      <c r="I34">
        <v>60</v>
      </c>
      <c r="J34">
        <v>494</v>
      </c>
      <c r="K34">
        <v>1</v>
      </c>
      <c r="M34">
        <f t="shared" si="0"/>
        <v>0.98799999999999999</v>
      </c>
    </row>
    <row r="35" spans="1:13" x14ac:dyDescent="0.25">
      <c r="A35">
        <v>33</v>
      </c>
      <c r="B35">
        <v>33</v>
      </c>
      <c r="C35">
        <v>40</v>
      </c>
      <c r="D35">
        <v>6</v>
      </c>
      <c r="E35">
        <v>54</v>
      </c>
      <c r="F35">
        <v>43</v>
      </c>
      <c r="G35">
        <v>57</v>
      </c>
      <c r="H35">
        <v>0</v>
      </c>
      <c r="I35">
        <v>60</v>
      </c>
      <c r="J35">
        <v>284</v>
      </c>
      <c r="K35">
        <v>1</v>
      </c>
      <c r="M35">
        <f t="shared" si="0"/>
        <v>0.56799999999999995</v>
      </c>
    </row>
    <row r="36" spans="1:13" x14ac:dyDescent="0.25">
      <c r="A36">
        <v>34</v>
      </c>
      <c r="B36">
        <v>34</v>
      </c>
      <c r="C36">
        <v>40</v>
      </c>
      <c r="D36">
        <v>6</v>
      </c>
      <c r="E36">
        <v>54</v>
      </c>
      <c r="F36">
        <v>45</v>
      </c>
      <c r="G36">
        <v>55</v>
      </c>
      <c r="H36">
        <v>0</v>
      </c>
      <c r="I36">
        <v>60</v>
      </c>
      <c r="J36">
        <v>274</v>
      </c>
      <c r="K36">
        <v>3</v>
      </c>
      <c r="M36">
        <f t="shared" si="0"/>
        <v>0.54800000000000004</v>
      </c>
    </row>
    <row r="37" spans="1:13" x14ac:dyDescent="0.25">
      <c r="A37">
        <v>35</v>
      </c>
      <c r="B37">
        <v>35</v>
      </c>
      <c r="C37">
        <v>40</v>
      </c>
      <c r="D37">
        <v>5</v>
      </c>
      <c r="E37">
        <v>55</v>
      </c>
      <c r="F37">
        <v>68</v>
      </c>
      <c r="G37">
        <v>32</v>
      </c>
      <c r="H37">
        <v>0</v>
      </c>
      <c r="I37">
        <v>60</v>
      </c>
      <c r="J37">
        <v>158</v>
      </c>
      <c r="K37">
        <v>1</v>
      </c>
      <c r="M37">
        <f t="shared" si="0"/>
        <v>0.316</v>
      </c>
    </row>
    <row r="38" spans="1:13" x14ac:dyDescent="0.25">
      <c r="A38">
        <v>36</v>
      </c>
      <c r="B38">
        <v>36</v>
      </c>
      <c r="C38">
        <v>40</v>
      </c>
      <c r="D38">
        <v>4</v>
      </c>
      <c r="E38">
        <v>56</v>
      </c>
      <c r="F38">
        <v>42</v>
      </c>
      <c r="G38">
        <v>58</v>
      </c>
      <c r="H38">
        <v>0</v>
      </c>
      <c r="I38">
        <v>60</v>
      </c>
      <c r="J38">
        <v>288</v>
      </c>
      <c r="K38">
        <v>0</v>
      </c>
      <c r="M38">
        <f t="shared" si="0"/>
        <v>0.57599999999999996</v>
      </c>
    </row>
    <row r="39" spans="1:13" x14ac:dyDescent="0.25">
      <c r="A39">
        <v>37</v>
      </c>
      <c r="B39">
        <v>37</v>
      </c>
      <c r="C39">
        <v>38</v>
      </c>
      <c r="D39">
        <v>3</v>
      </c>
      <c r="E39">
        <v>59</v>
      </c>
      <c r="F39">
        <v>2</v>
      </c>
      <c r="G39">
        <v>98</v>
      </c>
      <c r="H39">
        <v>2</v>
      </c>
      <c r="I39">
        <v>62</v>
      </c>
      <c r="J39">
        <v>490</v>
      </c>
      <c r="K39">
        <v>0</v>
      </c>
      <c r="M39">
        <f t="shared" si="0"/>
        <v>0.98</v>
      </c>
    </row>
    <row r="40" spans="1:13" x14ac:dyDescent="0.25">
      <c r="A40">
        <v>38</v>
      </c>
      <c r="B40">
        <v>38</v>
      </c>
      <c r="C40">
        <v>37</v>
      </c>
      <c r="D40">
        <v>3</v>
      </c>
      <c r="E40">
        <v>60</v>
      </c>
      <c r="F40">
        <v>0</v>
      </c>
      <c r="G40">
        <v>100</v>
      </c>
      <c r="H40">
        <v>1</v>
      </c>
      <c r="I40">
        <v>63</v>
      </c>
      <c r="J40">
        <v>500</v>
      </c>
      <c r="K40">
        <v>0</v>
      </c>
      <c r="M40">
        <f t="shared" si="0"/>
        <v>1</v>
      </c>
    </row>
    <row r="41" spans="1:13" x14ac:dyDescent="0.25">
      <c r="A41">
        <v>39</v>
      </c>
      <c r="B41">
        <v>39</v>
      </c>
      <c r="C41">
        <v>35</v>
      </c>
      <c r="D41">
        <v>5</v>
      </c>
      <c r="E41">
        <v>60</v>
      </c>
      <c r="F41">
        <v>0</v>
      </c>
      <c r="G41">
        <v>100</v>
      </c>
      <c r="H41">
        <v>2</v>
      </c>
      <c r="I41">
        <v>65</v>
      </c>
      <c r="J41">
        <v>498</v>
      </c>
      <c r="K41">
        <v>0</v>
      </c>
      <c r="M41">
        <f t="shared" si="0"/>
        <v>0.996</v>
      </c>
    </row>
    <row r="42" spans="1:13" x14ac:dyDescent="0.25">
      <c r="A42">
        <v>40</v>
      </c>
      <c r="B42">
        <v>40</v>
      </c>
      <c r="C42">
        <v>34</v>
      </c>
      <c r="D42">
        <v>6</v>
      </c>
      <c r="E42">
        <v>60</v>
      </c>
      <c r="F42">
        <v>1</v>
      </c>
      <c r="G42">
        <v>99</v>
      </c>
      <c r="H42">
        <v>1</v>
      </c>
      <c r="I42">
        <v>66</v>
      </c>
      <c r="J42">
        <v>492</v>
      </c>
      <c r="K42">
        <v>2</v>
      </c>
      <c r="M42">
        <f t="shared" si="0"/>
        <v>0.98399999999999999</v>
      </c>
    </row>
    <row r="43" spans="1:13" x14ac:dyDescent="0.25">
      <c r="A43">
        <v>41</v>
      </c>
      <c r="B43">
        <v>41</v>
      </c>
      <c r="C43">
        <v>32</v>
      </c>
      <c r="D43">
        <v>8</v>
      </c>
      <c r="E43">
        <v>60</v>
      </c>
      <c r="F43">
        <v>64</v>
      </c>
      <c r="G43">
        <v>36</v>
      </c>
      <c r="H43">
        <v>2</v>
      </c>
      <c r="I43">
        <v>68</v>
      </c>
      <c r="J43">
        <v>178</v>
      </c>
      <c r="K43">
        <v>1</v>
      </c>
      <c r="M43">
        <f t="shared" si="0"/>
        <v>0.35599999999999998</v>
      </c>
    </row>
    <row r="44" spans="1:13" x14ac:dyDescent="0.25">
      <c r="A44">
        <v>42</v>
      </c>
      <c r="B44">
        <v>42</v>
      </c>
      <c r="C44">
        <v>31</v>
      </c>
      <c r="D44">
        <v>9</v>
      </c>
      <c r="E44">
        <v>60</v>
      </c>
      <c r="F44">
        <v>41</v>
      </c>
      <c r="G44">
        <v>59</v>
      </c>
      <c r="H44">
        <v>1</v>
      </c>
      <c r="I44">
        <v>69</v>
      </c>
      <c r="J44">
        <v>294</v>
      </c>
      <c r="K44">
        <v>2</v>
      </c>
      <c r="M44">
        <f t="shared" si="0"/>
        <v>0.58799999999999997</v>
      </c>
    </row>
    <row r="45" spans="1:13" x14ac:dyDescent="0.25">
      <c r="A45">
        <v>43</v>
      </c>
      <c r="B45">
        <v>43</v>
      </c>
      <c r="C45">
        <v>31</v>
      </c>
      <c r="D45">
        <v>7</v>
      </c>
      <c r="E45">
        <v>62</v>
      </c>
      <c r="F45">
        <v>65</v>
      </c>
      <c r="G45">
        <v>35</v>
      </c>
      <c r="H45">
        <v>0</v>
      </c>
      <c r="I45">
        <v>69</v>
      </c>
      <c r="J45">
        <v>172</v>
      </c>
      <c r="K45">
        <v>1</v>
      </c>
      <c r="M45">
        <f t="shared" si="0"/>
        <v>0.34399999999999997</v>
      </c>
    </row>
    <row r="46" spans="1:13" x14ac:dyDescent="0.25">
      <c r="A46">
        <v>44</v>
      </c>
      <c r="B46">
        <v>44</v>
      </c>
      <c r="C46">
        <v>30</v>
      </c>
      <c r="D46">
        <v>7</v>
      </c>
      <c r="E46">
        <v>63</v>
      </c>
      <c r="F46">
        <v>43</v>
      </c>
      <c r="G46">
        <v>57</v>
      </c>
      <c r="H46">
        <v>1</v>
      </c>
      <c r="I46">
        <v>70</v>
      </c>
      <c r="J46">
        <v>282</v>
      </c>
      <c r="K46">
        <v>2</v>
      </c>
      <c r="M46">
        <f t="shared" si="0"/>
        <v>0.56399999999999995</v>
      </c>
    </row>
    <row r="47" spans="1:13" x14ac:dyDescent="0.25">
      <c r="A47">
        <v>45</v>
      </c>
      <c r="B47">
        <v>45</v>
      </c>
      <c r="C47">
        <v>30</v>
      </c>
      <c r="D47">
        <v>5</v>
      </c>
      <c r="E47">
        <v>65</v>
      </c>
      <c r="F47">
        <v>68</v>
      </c>
      <c r="G47">
        <v>32</v>
      </c>
      <c r="H47">
        <v>0</v>
      </c>
      <c r="I47">
        <v>70</v>
      </c>
      <c r="J47">
        <v>160</v>
      </c>
      <c r="K47">
        <v>1</v>
      </c>
      <c r="M47">
        <f t="shared" si="0"/>
        <v>0.32</v>
      </c>
    </row>
    <row r="48" spans="1:13" x14ac:dyDescent="0.25">
      <c r="A48">
        <v>46</v>
      </c>
      <c r="B48">
        <v>46</v>
      </c>
      <c r="C48">
        <v>30</v>
      </c>
      <c r="D48">
        <v>4</v>
      </c>
      <c r="E48">
        <v>66</v>
      </c>
      <c r="F48">
        <v>42</v>
      </c>
      <c r="G48">
        <v>58</v>
      </c>
      <c r="H48">
        <v>0</v>
      </c>
      <c r="I48">
        <v>70</v>
      </c>
      <c r="J48">
        <v>290</v>
      </c>
      <c r="K48">
        <v>0</v>
      </c>
      <c r="M48">
        <f t="shared" si="0"/>
        <v>0.57999999999999996</v>
      </c>
    </row>
    <row r="49" spans="1:13" x14ac:dyDescent="0.25">
      <c r="A49">
        <v>47</v>
      </c>
      <c r="B49">
        <v>47</v>
      </c>
      <c r="C49">
        <v>30</v>
      </c>
      <c r="D49">
        <v>2</v>
      </c>
      <c r="E49">
        <v>68</v>
      </c>
      <c r="F49">
        <v>3</v>
      </c>
      <c r="G49">
        <v>97</v>
      </c>
      <c r="H49">
        <v>0</v>
      </c>
      <c r="I49">
        <v>70</v>
      </c>
      <c r="J49">
        <v>482</v>
      </c>
      <c r="K49">
        <v>1</v>
      </c>
      <c r="M49">
        <f t="shared" si="0"/>
        <v>0.96399999999999997</v>
      </c>
    </row>
    <row r="50" spans="1:13" x14ac:dyDescent="0.25">
      <c r="A50">
        <v>48</v>
      </c>
      <c r="B50">
        <v>48</v>
      </c>
      <c r="C50">
        <v>30</v>
      </c>
      <c r="D50">
        <v>1</v>
      </c>
      <c r="E50">
        <v>69</v>
      </c>
      <c r="F50">
        <v>40</v>
      </c>
      <c r="G50">
        <v>60</v>
      </c>
      <c r="H50">
        <v>0</v>
      </c>
      <c r="I50">
        <v>70</v>
      </c>
      <c r="J50">
        <v>300</v>
      </c>
      <c r="K50">
        <v>0</v>
      </c>
      <c r="M50">
        <f t="shared" si="0"/>
        <v>0.6</v>
      </c>
    </row>
    <row r="51" spans="1:13" x14ac:dyDescent="0.25">
      <c r="A51">
        <v>49</v>
      </c>
      <c r="B51">
        <v>49</v>
      </c>
      <c r="C51">
        <v>30</v>
      </c>
      <c r="D51">
        <v>1</v>
      </c>
      <c r="E51">
        <v>69</v>
      </c>
      <c r="F51">
        <v>0</v>
      </c>
      <c r="G51">
        <v>100</v>
      </c>
      <c r="H51">
        <v>0</v>
      </c>
      <c r="I51">
        <v>70</v>
      </c>
      <c r="J51">
        <v>500</v>
      </c>
      <c r="K51">
        <v>0</v>
      </c>
      <c r="M51">
        <f t="shared" si="0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7D53-E35A-4F12-91C6-AEC0A88C1AF8}">
  <dimension ref="A1:K48"/>
  <sheetViews>
    <sheetView topLeftCell="A16" workbookViewId="0">
      <selection activeCell="E57" sqref="E57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98</v>
      </c>
      <c r="D3">
        <v>2</v>
      </c>
      <c r="E3">
        <v>0</v>
      </c>
      <c r="F3">
        <v>0</v>
      </c>
      <c r="G3">
        <v>100</v>
      </c>
      <c r="H3">
        <v>0</v>
      </c>
      <c r="I3">
        <v>2</v>
      </c>
      <c r="J3">
        <v>500</v>
      </c>
      <c r="K3">
        <v>0</v>
      </c>
    </row>
    <row r="4" spans="1:11" x14ac:dyDescent="0.25">
      <c r="A4">
        <v>2</v>
      </c>
      <c r="B4">
        <v>2</v>
      </c>
      <c r="C4">
        <v>98</v>
      </c>
      <c r="D4">
        <v>2</v>
      </c>
      <c r="E4">
        <v>0</v>
      </c>
      <c r="F4">
        <v>0</v>
      </c>
      <c r="G4">
        <v>100</v>
      </c>
      <c r="H4">
        <v>0</v>
      </c>
      <c r="I4">
        <v>2</v>
      </c>
      <c r="J4">
        <v>500</v>
      </c>
      <c r="K4">
        <v>0</v>
      </c>
    </row>
    <row r="5" spans="1:11" x14ac:dyDescent="0.25">
      <c r="A5">
        <v>3</v>
      </c>
      <c r="B5">
        <v>3</v>
      </c>
      <c r="C5">
        <v>97</v>
      </c>
      <c r="D5">
        <v>3</v>
      </c>
      <c r="E5">
        <v>0</v>
      </c>
      <c r="F5">
        <v>1</v>
      </c>
      <c r="G5">
        <v>99</v>
      </c>
      <c r="H5">
        <v>1</v>
      </c>
      <c r="I5">
        <v>3</v>
      </c>
      <c r="J5">
        <v>494</v>
      </c>
      <c r="K5">
        <v>2</v>
      </c>
    </row>
    <row r="6" spans="1:11" x14ac:dyDescent="0.25">
      <c r="A6">
        <v>4</v>
      </c>
      <c r="B6">
        <v>4</v>
      </c>
      <c r="C6">
        <v>97</v>
      </c>
      <c r="D6">
        <v>3</v>
      </c>
      <c r="E6">
        <v>0</v>
      </c>
      <c r="F6">
        <v>73</v>
      </c>
      <c r="G6">
        <v>27</v>
      </c>
      <c r="H6">
        <v>0</v>
      </c>
      <c r="I6">
        <v>3</v>
      </c>
      <c r="J6">
        <v>134</v>
      </c>
      <c r="K6">
        <v>0</v>
      </c>
    </row>
    <row r="7" spans="1:11" x14ac:dyDescent="0.25">
      <c r="A7">
        <v>5</v>
      </c>
      <c r="B7">
        <v>5</v>
      </c>
      <c r="C7">
        <v>96</v>
      </c>
      <c r="D7">
        <v>4</v>
      </c>
      <c r="E7">
        <v>0</v>
      </c>
      <c r="F7">
        <v>2</v>
      </c>
      <c r="G7">
        <v>98</v>
      </c>
      <c r="H7">
        <v>1</v>
      </c>
      <c r="I7">
        <v>4</v>
      </c>
      <c r="J7">
        <v>490</v>
      </c>
      <c r="K7">
        <v>0</v>
      </c>
    </row>
    <row r="8" spans="1:11" x14ac:dyDescent="0.25">
      <c r="A8">
        <v>6</v>
      </c>
      <c r="B8">
        <v>6</v>
      </c>
      <c r="C8">
        <v>93</v>
      </c>
      <c r="D8">
        <v>5</v>
      </c>
      <c r="E8">
        <v>2</v>
      </c>
      <c r="F8">
        <v>1</v>
      </c>
      <c r="G8">
        <v>99</v>
      </c>
      <c r="H8">
        <v>3</v>
      </c>
      <c r="I8">
        <v>7</v>
      </c>
      <c r="J8">
        <v>494</v>
      </c>
      <c r="K8">
        <v>1</v>
      </c>
    </row>
    <row r="9" spans="1:11" x14ac:dyDescent="0.25">
      <c r="A9">
        <v>7</v>
      </c>
      <c r="B9">
        <v>7</v>
      </c>
      <c r="C9">
        <v>91</v>
      </c>
      <c r="D9">
        <v>7</v>
      </c>
      <c r="E9">
        <v>2</v>
      </c>
      <c r="F9">
        <v>39</v>
      </c>
      <c r="G9">
        <v>61</v>
      </c>
      <c r="H9">
        <v>2</v>
      </c>
      <c r="I9">
        <v>9</v>
      </c>
      <c r="J9">
        <v>304</v>
      </c>
      <c r="K9">
        <v>0</v>
      </c>
    </row>
    <row r="10" spans="1:11" x14ac:dyDescent="0.25">
      <c r="A10">
        <v>8</v>
      </c>
      <c r="B10">
        <v>8</v>
      </c>
      <c r="C10">
        <v>86</v>
      </c>
      <c r="D10">
        <v>12</v>
      </c>
      <c r="E10">
        <v>2</v>
      </c>
      <c r="F10">
        <v>1</v>
      </c>
      <c r="G10">
        <v>99</v>
      </c>
      <c r="H10">
        <v>5</v>
      </c>
      <c r="I10">
        <v>14</v>
      </c>
      <c r="J10">
        <v>494</v>
      </c>
      <c r="K10">
        <v>1</v>
      </c>
    </row>
    <row r="11" spans="1:11" x14ac:dyDescent="0.25">
      <c r="A11">
        <v>9</v>
      </c>
      <c r="B11">
        <v>9</v>
      </c>
      <c r="C11">
        <v>80</v>
      </c>
      <c r="D11">
        <v>17</v>
      </c>
      <c r="E11">
        <v>3</v>
      </c>
      <c r="F11">
        <v>44</v>
      </c>
      <c r="G11">
        <v>56</v>
      </c>
      <c r="H11">
        <v>6</v>
      </c>
      <c r="I11">
        <v>20</v>
      </c>
      <c r="J11">
        <v>280</v>
      </c>
      <c r="K11">
        <v>3</v>
      </c>
    </row>
    <row r="12" spans="1:11" x14ac:dyDescent="0.25">
      <c r="A12">
        <v>10</v>
      </c>
      <c r="B12">
        <v>10</v>
      </c>
      <c r="C12">
        <v>79</v>
      </c>
      <c r="D12">
        <v>18</v>
      </c>
      <c r="E12">
        <v>3</v>
      </c>
      <c r="F12">
        <v>71</v>
      </c>
      <c r="G12">
        <v>29</v>
      </c>
      <c r="H12">
        <v>1</v>
      </c>
      <c r="I12">
        <v>21</v>
      </c>
      <c r="J12">
        <v>142</v>
      </c>
      <c r="K12">
        <v>2</v>
      </c>
    </row>
    <row r="13" spans="1:11" x14ac:dyDescent="0.25">
      <c r="A13">
        <v>11</v>
      </c>
      <c r="B13">
        <v>11</v>
      </c>
      <c r="C13">
        <v>74</v>
      </c>
      <c r="D13">
        <v>22</v>
      </c>
      <c r="E13">
        <v>4</v>
      </c>
      <c r="F13">
        <v>75</v>
      </c>
      <c r="G13">
        <v>25</v>
      </c>
      <c r="H13">
        <v>5</v>
      </c>
      <c r="I13">
        <v>26</v>
      </c>
      <c r="J13">
        <v>124</v>
      </c>
      <c r="K13">
        <v>5</v>
      </c>
    </row>
    <row r="14" spans="1:11" x14ac:dyDescent="0.25">
      <c r="A14">
        <v>12</v>
      </c>
      <c r="B14">
        <v>12</v>
      </c>
      <c r="C14">
        <v>69</v>
      </c>
      <c r="D14">
        <v>24</v>
      </c>
      <c r="E14">
        <v>7</v>
      </c>
      <c r="F14">
        <v>77</v>
      </c>
      <c r="G14">
        <v>23</v>
      </c>
      <c r="H14">
        <v>5</v>
      </c>
      <c r="I14">
        <v>31</v>
      </c>
      <c r="J14">
        <v>112</v>
      </c>
      <c r="K14">
        <v>6</v>
      </c>
    </row>
    <row r="15" spans="1:11" x14ac:dyDescent="0.25">
      <c r="A15">
        <v>13</v>
      </c>
      <c r="B15">
        <v>13</v>
      </c>
      <c r="C15">
        <v>65</v>
      </c>
      <c r="D15">
        <v>26</v>
      </c>
      <c r="E15">
        <v>9</v>
      </c>
      <c r="F15">
        <v>77</v>
      </c>
      <c r="G15">
        <v>23</v>
      </c>
      <c r="H15">
        <v>4</v>
      </c>
      <c r="I15">
        <v>35</v>
      </c>
      <c r="J15">
        <v>112</v>
      </c>
      <c r="K15">
        <v>1</v>
      </c>
    </row>
    <row r="16" spans="1:11" x14ac:dyDescent="0.25">
      <c r="A16">
        <v>14</v>
      </c>
      <c r="B16">
        <v>14</v>
      </c>
      <c r="C16">
        <v>59</v>
      </c>
      <c r="D16">
        <v>27</v>
      </c>
      <c r="E16">
        <v>14</v>
      </c>
      <c r="F16">
        <v>53</v>
      </c>
      <c r="G16">
        <v>47</v>
      </c>
      <c r="H16">
        <v>6</v>
      </c>
      <c r="I16">
        <v>41</v>
      </c>
      <c r="J16">
        <v>234</v>
      </c>
      <c r="K16">
        <v>5</v>
      </c>
    </row>
    <row r="17" spans="1:11" x14ac:dyDescent="0.25">
      <c r="A17">
        <v>15</v>
      </c>
      <c r="B17">
        <v>15</v>
      </c>
      <c r="C17">
        <v>58</v>
      </c>
      <c r="D17">
        <v>22</v>
      </c>
      <c r="E17">
        <v>20</v>
      </c>
      <c r="F17">
        <v>81</v>
      </c>
      <c r="G17">
        <v>19</v>
      </c>
      <c r="H17">
        <v>1</v>
      </c>
      <c r="I17">
        <v>42</v>
      </c>
      <c r="J17">
        <v>92</v>
      </c>
      <c r="K17">
        <v>5</v>
      </c>
    </row>
    <row r="18" spans="1:11" x14ac:dyDescent="0.25">
      <c r="A18">
        <v>16</v>
      </c>
      <c r="B18">
        <v>16</v>
      </c>
      <c r="C18">
        <v>56</v>
      </c>
      <c r="D18">
        <v>23</v>
      </c>
      <c r="E18">
        <v>21</v>
      </c>
      <c r="F18">
        <v>80</v>
      </c>
      <c r="G18">
        <v>20</v>
      </c>
      <c r="H18">
        <v>2</v>
      </c>
      <c r="I18">
        <v>44</v>
      </c>
      <c r="J18">
        <v>100</v>
      </c>
      <c r="K18">
        <v>4</v>
      </c>
    </row>
    <row r="19" spans="1:11" x14ac:dyDescent="0.25">
      <c r="A19">
        <v>17</v>
      </c>
      <c r="B19">
        <v>17</v>
      </c>
      <c r="C19">
        <v>56</v>
      </c>
      <c r="D19">
        <v>18</v>
      </c>
      <c r="E19">
        <v>26</v>
      </c>
      <c r="F19">
        <v>77</v>
      </c>
      <c r="G19">
        <v>23</v>
      </c>
      <c r="H19">
        <v>0</v>
      </c>
      <c r="I19">
        <v>44</v>
      </c>
      <c r="J19">
        <v>114</v>
      </c>
      <c r="K19">
        <v>6</v>
      </c>
    </row>
    <row r="20" spans="1:11" x14ac:dyDescent="0.25">
      <c r="A20">
        <v>18</v>
      </c>
      <c r="B20">
        <v>18</v>
      </c>
      <c r="C20">
        <v>56</v>
      </c>
      <c r="D20">
        <v>13</v>
      </c>
      <c r="E20">
        <v>31</v>
      </c>
      <c r="F20">
        <v>80</v>
      </c>
      <c r="G20">
        <v>20</v>
      </c>
      <c r="H20">
        <v>0</v>
      </c>
      <c r="I20">
        <v>44</v>
      </c>
      <c r="J20">
        <v>98</v>
      </c>
      <c r="K20">
        <v>1</v>
      </c>
    </row>
    <row r="21" spans="1:11" x14ac:dyDescent="0.25">
      <c r="A21">
        <v>19</v>
      </c>
      <c r="B21">
        <v>19</v>
      </c>
      <c r="C21">
        <v>55</v>
      </c>
      <c r="D21">
        <v>10</v>
      </c>
      <c r="E21">
        <v>35</v>
      </c>
      <c r="F21">
        <v>50</v>
      </c>
      <c r="G21">
        <v>50</v>
      </c>
      <c r="H21">
        <v>1</v>
      </c>
      <c r="I21">
        <v>45</v>
      </c>
      <c r="J21">
        <v>248</v>
      </c>
      <c r="K21">
        <v>2</v>
      </c>
    </row>
    <row r="22" spans="1:11" x14ac:dyDescent="0.25">
      <c r="A22">
        <v>20</v>
      </c>
      <c r="B22">
        <v>20</v>
      </c>
      <c r="C22">
        <v>55</v>
      </c>
      <c r="D22">
        <v>4</v>
      </c>
      <c r="E22">
        <v>41</v>
      </c>
      <c r="F22">
        <v>73</v>
      </c>
      <c r="G22">
        <v>27</v>
      </c>
      <c r="H22">
        <v>0</v>
      </c>
      <c r="I22">
        <v>45</v>
      </c>
      <c r="J22">
        <v>134</v>
      </c>
      <c r="K22">
        <v>0</v>
      </c>
    </row>
    <row r="23" spans="1:11" x14ac:dyDescent="0.25">
      <c r="A23">
        <v>21</v>
      </c>
      <c r="B23">
        <v>21</v>
      </c>
      <c r="C23">
        <v>53</v>
      </c>
      <c r="D23">
        <v>5</v>
      </c>
      <c r="E23">
        <v>42</v>
      </c>
      <c r="F23">
        <v>1</v>
      </c>
      <c r="G23">
        <v>99</v>
      </c>
      <c r="H23">
        <v>2</v>
      </c>
      <c r="I23">
        <v>47</v>
      </c>
      <c r="J23">
        <v>492</v>
      </c>
      <c r="K23">
        <v>0</v>
      </c>
    </row>
    <row r="24" spans="1:11" x14ac:dyDescent="0.25">
      <c r="A24">
        <v>22</v>
      </c>
      <c r="B24">
        <v>22</v>
      </c>
      <c r="C24">
        <v>49</v>
      </c>
      <c r="D24">
        <v>7</v>
      </c>
      <c r="E24">
        <v>44</v>
      </c>
      <c r="F24">
        <v>1</v>
      </c>
      <c r="G24">
        <v>99</v>
      </c>
      <c r="H24">
        <v>4</v>
      </c>
      <c r="I24">
        <v>51</v>
      </c>
      <c r="J24">
        <v>494</v>
      </c>
      <c r="K24">
        <v>1</v>
      </c>
    </row>
    <row r="25" spans="1:11" x14ac:dyDescent="0.25">
      <c r="A25">
        <v>23</v>
      </c>
      <c r="B25">
        <v>23</v>
      </c>
      <c r="C25">
        <v>48</v>
      </c>
      <c r="D25">
        <v>8</v>
      </c>
      <c r="E25">
        <v>44</v>
      </c>
      <c r="F25">
        <v>40</v>
      </c>
      <c r="G25">
        <v>60</v>
      </c>
      <c r="H25">
        <v>1</v>
      </c>
      <c r="I25">
        <v>52</v>
      </c>
      <c r="J25">
        <v>298</v>
      </c>
      <c r="K25">
        <v>0</v>
      </c>
    </row>
    <row r="26" spans="1:11" x14ac:dyDescent="0.25">
      <c r="A26">
        <v>24</v>
      </c>
      <c r="B26">
        <v>24</v>
      </c>
      <c r="C26">
        <v>46</v>
      </c>
      <c r="D26">
        <v>10</v>
      </c>
      <c r="E26">
        <v>44</v>
      </c>
      <c r="F26">
        <v>0</v>
      </c>
      <c r="G26">
        <v>100</v>
      </c>
      <c r="H26">
        <v>2</v>
      </c>
      <c r="I26">
        <v>54</v>
      </c>
      <c r="J26">
        <v>500</v>
      </c>
      <c r="K26">
        <v>2</v>
      </c>
    </row>
    <row r="27" spans="1:11" x14ac:dyDescent="0.25">
      <c r="A27">
        <v>25</v>
      </c>
      <c r="B27">
        <v>25</v>
      </c>
      <c r="C27">
        <v>46</v>
      </c>
      <c r="D27">
        <v>9</v>
      </c>
      <c r="E27">
        <v>45</v>
      </c>
      <c r="F27">
        <v>74</v>
      </c>
      <c r="G27">
        <v>26</v>
      </c>
      <c r="H27">
        <v>0</v>
      </c>
      <c r="I27">
        <v>54</v>
      </c>
      <c r="J27">
        <v>126</v>
      </c>
      <c r="K27">
        <v>4</v>
      </c>
    </row>
    <row r="28" spans="1:11" x14ac:dyDescent="0.25">
      <c r="A28">
        <v>26</v>
      </c>
      <c r="B28">
        <v>26</v>
      </c>
      <c r="C28">
        <v>46</v>
      </c>
      <c r="D28">
        <v>9</v>
      </c>
      <c r="E28">
        <v>45</v>
      </c>
      <c r="F28">
        <v>70</v>
      </c>
      <c r="G28">
        <v>30</v>
      </c>
      <c r="H28">
        <v>0</v>
      </c>
      <c r="I28">
        <v>54</v>
      </c>
      <c r="J28">
        <v>148</v>
      </c>
      <c r="K28">
        <v>1</v>
      </c>
    </row>
    <row r="29" spans="1:11" x14ac:dyDescent="0.25">
      <c r="A29">
        <v>27</v>
      </c>
      <c r="B29">
        <v>27</v>
      </c>
      <c r="C29">
        <v>46</v>
      </c>
      <c r="D29">
        <v>7</v>
      </c>
      <c r="E29">
        <v>47</v>
      </c>
      <c r="F29">
        <v>41</v>
      </c>
      <c r="G29">
        <v>59</v>
      </c>
      <c r="H29">
        <v>0</v>
      </c>
      <c r="I29">
        <v>54</v>
      </c>
      <c r="J29">
        <v>292</v>
      </c>
      <c r="K29">
        <v>2</v>
      </c>
    </row>
    <row r="30" spans="1:11" x14ac:dyDescent="0.25">
      <c r="A30">
        <v>28</v>
      </c>
      <c r="B30">
        <v>28</v>
      </c>
      <c r="C30">
        <v>46</v>
      </c>
      <c r="D30">
        <v>3</v>
      </c>
      <c r="E30">
        <v>51</v>
      </c>
      <c r="F30">
        <v>72</v>
      </c>
      <c r="G30">
        <v>28</v>
      </c>
      <c r="H30">
        <v>0</v>
      </c>
      <c r="I30">
        <v>54</v>
      </c>
      <c r="J30">
        <v>138</v>
      </c>
      <c r="K30">
        <v>0</v>
      </c>
    </row>
    <row r="31" spans="1:11" x14ac:dyDescent="0.25">
      <c r="A31">
        <v>29</v>
      </c>
      <c r="B31">
        <v>29</v>
      </c>
      <c r="C31">
        <v>44</v>
      </c>
      <c r="D31">
        <v>4</v>
      </c>
      <c r="E31">
        <v>52</v>
      </c>
      <c r="F31">
        <v>2</v>
      </c>
      <c r="G31">
        <v>98</v>
      </c>
      <c r="H31">
        <v>2</v>
      </c>
      <c r="I31">
        <v>56</v>
      </c>
      <c r="J31">
        <v>488</v>
      </c>
      <c r="K31">
        <v>0</v>
      </c>
    </row>
    <row r="32" spans="1:11" x14ac:dyDescent="0.25">
      <c r="A32">
        <v>30</v>
      </c>
      <c r="B32">
        <v>30</v>
      </c>
      <c r="C32">
        <v>41</v>
      </c>
      <c r="D32">
        <v>5</v>
      </c>
      <c r="E32">
        <v>54</v>
      </c>
      <c r="F32">
        <v>0</v>
      </c>
      <c r="G32">
        <v>100</v>
      </c>
      <c r="H32">
        <v>3</v>
      </c>
      <c r="I32">
        <v>59</v>
      </c>
      <c r="J32">
        <v>500</v>
      </c>
      <c r="K32">
        <v>0</v>
      </c>
    </row>
    <row r="33" spans="1:11" x14ac:dyDescent="0.25">
      <c r="A33">
        <v>31</v>
      </c>
      <c r="B33">
        <v>31</v>
      </c>
      <c r="C33">
        <v>38</v>
      </c>
      <c r="D33">
        <v>8</v>
      </c>
      <c r="E33">
        <v>54</v>
      </c>
      <c r="F33">
        <v>0</v>
      </c>
      <c r="G33">
        <v>100</v>
      </c>
      <c r="H33">
        <v>3</v>
      </c>
      <c r="I33">
        <v>62</v>
      </c>
      <c r="J33">
        <v>498</v>
      </c>
      <c r="K33">
        <v>0</v>
      </c>
    </row>
    <row r="34" spans="1:11" x14ac:dyDescent="0.25">
      <c r="A34">
        <v>32</v>
      </c>
      <c r="B34">
        <v>32</v>
      </c>
      <c r="C34">
        <v>34</v>
      </c>
      <c r="D34">
        <v>12</v>
      </c>
      <c r="E34">
        <v>54</v>
      </c>
      <c r="F34">
        <v>2</v>
      </c>
      <c r="G34">
        <v>98</v>
      </c>
      <c r="H34">
        <v>4</v>
      </c>
      <c r="I34">
        <v>66</v>
      </c>
      <c r="J34">
        <v>490</v>
      </c>
      <c r="K34">
        <v>2</v>
      </c>
    </row>
    <row r="35" spans="1:11" x14ac:dyDescent="0.25">
      <c r="A35">
        <v>33</v>
      </c>
      <c r="B35">
        <v>33</v>
      </c>
      <c r="C35">
        <v>34</v>
      </c>
      <c r="D35">
        <v>12</v>
      </c>
      <c r="E35">
        <v>54</v>
      </c>
      <c r="F35">
        <v>71</v>
      </c>
      <c r="G35">
        <v>29</v>
      </c>
      <c r="H35">
        <v>0</v>
      </c>
      <c r="I35">
        <v>66</v>
      </c>
      <c r="J35">
        <v>142</v>
      </c>
      <c r="K35">
        <v>3</v>
      </c>
    </row>
    <row r="36" spans="1:11" x14ac:dyDescent="0.25">
      <c r="A36">
        <v>34</v>
      </c>
      <c r="B36">
        <v>34</v>
      </c>
      <c r="C36">
        <v>34</v>
      </c>
      <c r="D36">
        <v>12</v>
      </c>
      <c r="E36">
        <v>54</v>
      </c>
      <c r="F36">
        <v>66</v>
      </c>
      <c r="G36">
        <v>34</v>
      </c>
      <c r="H36">
        <v>0</v>
      </c>
      <c r="I36">
        <v>66</v>
      </c>
      <c r="J36">
        <v>168</v>
      </c>
      <c r="K36">
        <v>3</v>
      </c>
    </row>
    <row r="37" spans="1:11" x14ac:dyDescent="0.25">
      <c r="A37">
        <v>35</v>
      </c>
      <c r="B37">
        <v>35</v>
      </c>
      <c r="C37">
        <v>34</v>
      </c>
      <c r="D37">
        <v>10</v>
      </c>
      <c r="E37">
        <v>56</v>
      </c>
      <c r="F37">
        <v>69</v>
      </c>
      <c r="G37">
        <v>31</v>
      </c>
      <c r="H37">
        <v>0</v>
      </c>
      <c r="I37">
        <v>66</v>
      </c>
      <c r="J37">
        <v>154</v>
      </c>
      <c r="K37">
        <v>4</v>
      </c>
    </row>
    <row r="38" spans="1:11" x14ac:dyDescent="0.25">
      <c r="A38">
        <v>36</v>
      </c>
      <c r="B38">
        <v>36</v>
      </c>
      <c r="C38">
        <v>34</v>
      </c>
      <c r="D38">
        <v>7</v>
      </c>
      <c r="E38">
        <v>59</v>
      </c>
      <c r="F38">
        <v>68</v>
      </c>
      <c r="G38">
        <v>32</v>
      </c>
      <c r="H38">
        <v>0</v>
      </c>
      <c r="I38">
        <v>66</v>
      </c>
      <c r="J38">
        <v>158</v>
      </c>
      <c r="K38">
        <v>0</v>
      </c>
    </row>
    <row r="39" spans="1:11" x14ac:dyDescent="0.25">
      <c r="A39">
        <v>37</v>
      </c>
      <c r="B39">
        <v>37</v>
      </c>
      <c r="C39">
        <v>33</v>
      </c>
      <c r="D39">
        <v>5</v>
      </c>
      <c r="E39">
        <v>62</v>
      </c>
      <c r="F39">
        <v>5</v>
      </c>
      <c r="G39">
        <v>95</v>
      </c>
      <c r="H39">
        <v>1</v>
      </c>
      <c r="I39">
        <v>67</v>
      </c>
      <c r="J39">
        <v>474</v>
      </c>
      <c r="K39">
        <v>0</v>
      </c>
    </row>
    <row r="40" spans="1:11" x14ac:dyDescent="0.25">
      <c r="A40">
        <v>38</v>
      </c>
      <c r="B40">
        <v>38</v>
      </c>
      <c r="C40">
        <v>32</v>
      </c>
      <c r="D40">
        <v>2</v>
      </c>
      <c r="E40">
        <v>66</v>
      </c>
      <c r="F40">
        <v>2</v>
      </c>
      <c r="G40">
        <v>98</v>
      </c>
      <c r="H40">
        <v>1</v>
      </c>
      <c r="I40">
        <v>68</v>
      </c>
      <c r="J40">
        <v>488</v>
      </c>
      <c r="K40">
        <v>0</v>
      </c>
    </row>
    <row r="41" spans="1:11" x14ac:dyDescent="0.25">
      <c r="A41">
        <v>39</v>
      </c>
      <c r="B41">
        <v>39</v>
      </c>
      <c r="C41">
        <v>32</v>
      </c>
      <c r="D41">
        <v>2</v>
      </c>
      <c r="E41">
        <v>66</v>
      </c>
      <c r="F41">
        <v>0</v>
      </c>
      <c r="G41">
        <v>100</v>
      </c>
      <c r="H41">
        <v>0</v>
      </c>
      <c r="I41">
        <v>68</v>
      </c>
      <c r="J41">
        <v>500</v>
      </c>
      <c r="K41">
        <v>0</v>
      </c>
    </row>
    <row r="42" spans="1:11" x14ac:dyDescent="0.25">
      <c r="A42">
        <v>40</v>
      </c>
      <c r="B42">
        <v>40</v>
      </c>
      <c r="C42">
        <v>31</v>
      </c>
      <c r="D42">
        <v>3</v>
      </c>
      <c r="E42">
        <v>66</v>
      </c>
      <c r="F42">
        <v>0</v>
      </c>
      <c r="G42">
        <v>100</v>
      </c>
      <c r="H42">
        <v>1</v>
      </c>
      <c r="I42">
        <v>69</v>
      </c>
      <c r="J42">
        <v>500</v>
      </c>
      <c r="K42">
        <v>1</v>
      </c>
    </row>
    <row r="43" spans="1:11" x14ac:dyDescent="0.25">
      <c r="A43">
        <v>41</v>
      </c>
      <c r="B43">
        <v>41</v>
      </c>
      <c r="C43">
        <v>31</v>
      </c>
      <c r="D43">
        <v>3</v>
      </c>
      <c r="E43">
        <v>66</v>
      </c>
      <c r="F43">
        <v>38</v>
      </c>
      <c r="G43">
        <v>62</v>
      </c>
      <c r="H43">
        <v>0</v>
      </c>
      <c r="I43">
        <v>69</v>
      </c>
      <c r="J43">
        <v>310</v>
      </c>
      <c r="K43">
        <v>1</v>
      </c>
    </row>
    <row r="44" spans="1:11" x14ac:dyDescent="0.25">
      <c r="A44">
        <v>42</v>
      </c>
      <c r="B44">
        <v>42</v>
      </c>
      <c r="C44">
        <v>31</v>
      </c>
      <c r="D44">
        <v>3</v>
      </c>
      <c r="E44">
        <v>66</v>
      </c>
      <c r="F44">
        <v>40</v>
      </c>
      <c r="G44">
        <v>60</v>
      </c>
      <c r="H44">
        <v>0</v>
      </c>
      <c r="I44">
        <v>69</v>
      </c>
      <c r="J44">
        <v>298</v>
      </c>
      <c r="K44">
        <v>0</v>
      </c>
    </row>
    <row r="45" spans="1:11" x14ac:dyDescent="0.25">
      <c r="A45">
        <v>43</v>
      </c>
      <c r="B45">
        <v>43</v>
      </c>
      <c r="C45">
        <v>31</v>
      </c>
      <c r="D45">
        <v>2</v>
      </c>
      <c r="E45">
        <v>67</v>
      </c>
      <c r="F45">
        <v>0</v>
      </c>
      <c r="G45">
        <v>100</v>
      </c>
      <c r="H45">
        <v>0</v>
      </c>
      <c r="I45">
        <v>69</v>
      </c>
      <c r="J45">
        <v>498</v>
      </c>
      <c r="K45">
        <v>1</v>
      </c>
    </row>
    <row r="46" spans="1:11" x14ac:dyDescent="0.25">
      <c r="A46">
        <v>44</v>
      </c>
      <c r="B46">
        <v>44</v>
      </c>
      <c r="C46">
        <v>31</v>
      </c>
      <c r="D46">
        <v>1</v>
      </c>
      <c r="E46">
        <v>68</v>
      </c>
      <c r="F46">
        <v>38</v>
      </c>
      <c r="G46">
        <v>62</v>
      </c>
      <c r="H46">
        <v>0</v>
      </c>
      <c r="I46">
        <v>69</v>
      </c>
      <c r="J46">
        <v>306</v>
      </c>
      <c r="K46">
        <v>0</v>
      </c>
    </row>
    <row r="47" spans="1:11" x14ac:dyDescent="0.25">
      <c r="A47">
        <v>45</v>
      </c>
      <c r="B47">
        <v>45</v>
      </c>
      <c r="C47">
        <v>31</v>
      </c>
      <c r="D47">
        <v>1</v>
      </c>
      <c r="E47">
        <v>68</v>
      </c>
      <c r="F47">
        <v>0</v>
      </c>
      <c r="G47">
        <v>100</v>
      </c>
      <c r="H47">
        <v>0</v>
      </c>
      <c r="I47">
        <v>69</v>
      </c>
      <c r="J47">
        <v>498</v>
      </c>
      <c r="K47">
        <v>0</v>
      </c>
    </row>
    <row r="48" spans="1:11" x14ac:dyDescent="0.25">
      <c r="A48">
        <v>46</v>
      </c>
      <c r="B48">
        <v>46</v>
      </c>
      <c r="C48">
        <v>31</v>
      </c>
      <c r="D48">
        <v>0</v>
      </c>
      <c r="E48">
        <v>69</v>
      </c>
      <c r="F48">
        <v>0</v>
      </c>
      <c r="G48">
        <v>100</v>
      </c>
      <c r="H48">
        <v>0</v>
      </c>
      <c r="I48">
        <v>69</v>
      </c>
      <c r="J48">
        <v>498</v>
      </c>
      <c r="K4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E64D-06D5-4C0C-9911-A3D079FEF579}">
  <dimension ref="A1:K51"/>
  <sheetViews>
    <sheetView topLeftCell="A22" workbookViewId="0">
      <selection sqref="A1:XFD1048576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98</v>
      </c>
      <c r="D3">
        <v>2</v>
      </c>
      <c r="E3">
        <v>0</v>
      </c>
      <c r="F3">
        <v>0</v>
      </c>
      <c r="G3">
        <v>100</v>
      </c>
      <c r="H3">
        <v>0</v>
      </c>
      <c r="I3">
        <v>2</v>
      </c>
      <c r="J3">
        <v>500</v>
      </c>
      <c r="K3">
        <v>0</v>
      </c>
    </row>
    <row r="4" spans="1:11" x14ac:dyDescent="0.25">
      <c r="A4">
        <v>2</v>
      </c>
      <c r="B4">
        <v>2</v>
      </c>
      <c r="C4">
        <v>97</v>
      </c>
      <c r="D4">
        <v>3</v>
      </c>
      <c r="E4">
        <v>0</v>
      </c>
      <c r="F4">
        <v>0</v>
      </c>
      <c r="G4">
        <v>100</v>
      </c>
      <c r="H4">
        <v>1</v>
      </c>
      <c r="I4">
        <v>3</v>
      </c>
      <c r="J4">
        <v>498</v>
      </c>
      <c r="K4">
        <v>0</v>
      </c>
    </row>
    <row r="5" spans="1:11" x14ac:dyDescent="0.25">
      <c r="A5">
        <v>3</v>
      </c>
      <c r="B5">
        <v>3</v>
      </c>
      <c r="C5">
        <v>95</v>
      </c>
      <c r="D5">
        <v>5</v>
      </c>
      <c r="E5">
        <v>0</v>
      </c>
      <c r="F5">
        <v>1</v>
      </c>
      <c r="G5">
        <v>99</v>
      </c>
      <c r="H5">
        <v>2</v>
      </c>
      <c r="I5">
        <v>5</v>
      </c>
      <c r="J5">
        <v>492</v>
      </c>
      <c r="K5">
        <v>2</v>
      </c>
    </row>
    <row r="6" spans="1:11" x14ac:dyDescent="0.25">
      <c r="A6">
        <v>4</v>
      </c>
      <c r="B6">
        <v>4</v>
      </c>
      <c r="C6">
        <v>95</v>
      </c>
      <c r="D6">
        <v>5</v>
      </c>
      <c r="E6">
        <v>0</v>
      </c>
      <c r="F6">
        <v>72</v>
      </c>
      <c r="G6">
        <v>28</v>
      </c>
      <c r="H6">
        <v>0</v>
      </c>
      <c r="I6">
        <v>5</v>
      </c>
      <c r="J6">
        <v>138</v>
      </c>
      <c r="K6">
        <v>0</v>
      </c>
    </row>
    <row r="7" spans="1:11" x14ac:dyDescent="0.25">
      <c r="A7">
        <v>5</v>
      </c>
      <c r="B7">
        <v>5</v>
      </c>
      <c r="C7">
        <v>94</v>
      </c>
      <c r="D7">
        <v>6</v>
      </c>
      <c r="E7">
        <v>0</v>
      </c>
      <c r="F7">
        <v>2</v>
      </c>
      <c r="G7">
        <v>98</v>
      </c>
      <c r="H7">
        <v>1</v>
      </c>
      <c r="I7">
        <v>6</v>
      </c>
      <c r="J7">
        <v>486</v>
      </c>
      <c r="K7">
        <v>1</v>
      </c>
    </row>
    <row r="8" spans="1:11" x14ac:dyDescent="0.25">
      <c r="A8">
        <v>6</v>
      </c>
      <c r="B8">
        <v>6</v>
      </c>
      <c r="C8">
        <v>93</v>
      </c>
      <c r="D8">
        <v>5</v>
      </c>
      <c r="E8">
        <v>2</v>
      </c>
      <c r="F8">
        <v>50</v>
      </c>
      <c r="G8">
        <v>50</v>
      </c>
      <c r="H8">
        <v>1</v>
      </c>
      <c r="I8">
        <v>7</v>
      </c>
      <c r="J8">
        <v>250</v>
      </c>
      <c r="K8">
        <v>2</v>
      </c>
    </row>
    <row r="9" spans="1:11" x14ac:dyDescent="0.25">
      <c r="A9">
        <v>7</v>
      </c>
      <c r="B9">
        <v>7</v>
      </c>
      <c r="C9">
        <v>91</v>
      </c>
      <c r="D9">
        <v>7</v>
      </c>
      <c r="E9">
        <v>2</v>
      </c>
      <c r="F9">
        <v>70</v>
      </c>
      <c r="G9">
        <v>30</v>
      </c>
      <c r="H9">
        <v>2</v>
      </c>
      <c r="I9">
        <v>9</v>
      </c>
      <c r="J9">
        <v>150</v>
      </c>
      <c r="K9">
        <v>0</v>
      </c>
    </row>
    <row r="10" spans="1:11" x14ac:dyDescent="0.25">
      <c r="A10">
        <v>8</v>
      </c>
      <c r="B10">
        <v>8</v>
      </c>
      <c r="C10">
        <v>83</v>
      </c>
      <c r="D10">
        <v>14</v>
      </c>
      <c r="E10">
        <v>3</v>
      </c>
      <c r="F10">
        <v>2</v>
      </c>
      <c r="G10">
        <v>98</v>
      </c>
      <c r="H10">
        <v>8</v>
      </c>
      <c r="I10">
        <v>17</v>
      </c>
      <c r="J10">
        <v>488</v>
      </c>
      <c r="K10">
        <v>1</v>
      </c>
    </row>
    <row r="11" spans="1:11" x14ac:dyDescent="0.25">
      <c r="A11">
        <v>9</v>
      </c>
      <c r="B11">
        <v>9</v>
      </c>
      <c r="C11">
        <v>81</v>
      </c>
      <c r="D11">
        <v>14</v>
      </c>
      <c r="E11">
        <v>5</v>
      </c>
      <c r="F11">
        <v>53</v>
      </c>
      <c r="G11">
        <v>47</v>
      </c>
      <c r="H11">
        <v>2</v>
      </c>
      <c r="I11">
        <v>19</v>
      </c>
      <c r="J11">
        <v>232</v>
      </c>
      <c r="K11">
        <v>1</v>
      </c>
    </row>
    <row r="12" spans="1:11" x14ac:dyDescent="0.25">
      <c r="A12">
        <v>10</v>
      </c>
      <c r="B12">
        <v>10</v>
      </c>
      <c r="C12">
        <v>77</v>
      </c>
      <c r="D12">
        <v>18</v>
      </c>
      <c r="E12">
        <v>5</v>
      </c>
      <c r="F12">
        <v>52</v>
      </c>
      <c r="G12">
        <v>48</v>
      </c>
      <c r="H12">
        <v>4</v>
      </c>
      <c r="I12">
        <v>23</v>
      </c>
      <c r="J12">
        <v>238</v>
      </c>
      <c r="K12">
        <v>2</v>
      </c>
    </row>
    <row r="13" spans="1:11" x14ac:dyDescent="0.25">
      <c r="A13">
        <v>11</v>
      </c>
      <c r="B13">
        <v>11</v>
      </c>
      <c r="C13">
        <v>75</v>
      </c>
      <c r="D13">
        <v>19</v>
      </c>
      <c r="E13">
        <v>6</v>
      </c>
      <c r="F13">
        <v>77</v>
      </c>
      <c r="G13">
        <v>23</v>
      </c>
      <c r="H13">
        <v>2</v>
      </c>
      <c r="I13">
        <v>25</v>
      </c>
      <c r="J13">
        <v>112</v>
      </c>
      <c r="K13">
        <v>8</v>
      </c>
    </row>
    <row r="14" spans="1:11" x14ac:dyDescent="0.25">
      <c r="A14">
        <v>12</v>
      </c>
      <c r="B14">
        <v>12</v>
      </c>
      <c r="C14">
        <v>75</v>
      </c>
      <c r="D14">
        <v>18</v>
      </c>
      <c r="E14">
        <v>7</v>
      </c>
      <c r="F14">
        <v>80</v>
      </c>
      <c r="G14">
        <v>20</v>
      </c>
      <c r="H14">
        <v>0</v>
      </c>
      <c r="I14">
        <v>25</v>
      </c>
      <c r="J14">
        <v>98</v>
      </c>
      <c r="K14">
        <v>2</v>
      </c>
    </row>
    <row r="15" spans="1:11" x14ac:dyDescent="0.25">
      <c r="A15">
        <v>13</v>
      </c>
      <c r="B15">
        <v>13</v>
      </c>
      <c r="C15">
        <v>72</v>
      </c>
      <c r="D15">
        <v>19</v>
      </c>
      <c r="E15">
        <v>9</v>
      </c>
      <c r="F15">
        <v>75</v>
      </c>
      <c r="G15">
        <v>25</v>
      </c>
      <c r="H15">
        <v>3</v>
      </c>
      <c r="I15">
        <v>28</v>
      </c>
      <c r="J15">
        <v>124</v>
      </c>
      <c r="K15">
        <v>4</v>
      </c>
    </row>
    <row r="16" spans="1:11" x14ac:dyDescent="0.25">
      <c r="A16">
        <v>14</v>
      </c>
      <c r="B16">
        <v>14</v>
      </c>
      <c r="C16">
        <v>71</v>
      </c>
      <c r="D16">
        <v>12</v>
      </c>
      <c r="E16">
        <v>17</v>
      </c>
      <c r="F16">
        <v>78</v>
      </c>
      <c r="G16">
        <v>22</v>
      </c>
      <c r="H16">
        <v>1</v>
      </c>
      <c r="I16">
        <v>29</v>
      </c>
      <c r="J16">
        <v>106</v>
      </c>
      <c r="K16">
        <v>2</v>
      </c>
    </row>
    <row r="17" spans="1:11" x14ac:dyDescent="0.25">
      <c r="A17">
        <v>15</v>
      </c>
      <c r="B17">
        <v>15</v>
      </c>
      <c r="C17">
        <v>67</v>
      </c>
      <c r="D17">
        <v>14</v>
      </c>
      <c r="E17">
        <v>19</v>
      </c>
      <c r="F17">
        <v>72</v>
      </c>
      <c r="G17">
        <v>28</v>
      </c>
      <c r="H17">
        <v>4</v>
      </c>
      <c r="I17">
        <v>33</v>
      </c>
      <c r="J17">
        <v>136</v>
      </c>
      <c r="K17">
        <v>0</v>
      </c>
    </row>
    <row r="18" spans="1:11" x14ac:dyDescent="0.25">
      <c r="A18">
        <v>16</v>
      </c>
      <c r="B18">
        <v>16</v>
      </c>
      <c r="C18">
        <v>57</v>
      </c>
      <c r="D18">
        <v>20</v>
      </c>
      <c r="E18">
        <v>23</v>
      </c>
      <c r="F18">
        <v>2</v>
      </c>
      <c r="G18">
        <v>98</v>
      </c>
      <c r="H18">
        <v>10</v>
      </c>
      <c r="I18">
        <v>43</v>
      </c>
      <c r="J18">
        <v>488</v>
      </c>
      <c r="K18">
        <v>3</v>
      </c>
    </row>
    <row r="19" spans="1:11" x14ac:dyDescent="0.25">
      <c r="A19">
        <v>17</v>
      </c>
      <c r="B19">
        <v>17</v>
      </c>
      <c r="C19">
        <v>56</v>
      </c>
      <c r="D19">
        <v>19</v>
      </c>
      <c r="E19">
        <v>25</v>
      </c>
      <c r="F19">
        <v>65</v>
      </c>
      <c r="G19">
        <v>35</v>
      </c>
      <c r="H19">
        <v>1</v>
      </c>
      <c r="I19">
        <v>44</v>
      </c>
      <c r="J19">
        <v>172</v>
      </c>
      <c r="K19">
        <v>1</v>
      </c>
    </row>
    <row r="20" spans="1:11" x14ac:dyDescent="0.25">
      <c r="A20">
        <v>18</v>
      </c>
      <c r="B20">
        <v>18</v>
      </c>
      <c r="C20">
        <v>56</v>
      </c>
      <c r="D20">
        <v>19</v>
      </c>
      <c r="E20">
        <v>25</v>
      </c>
      <c r="F20">
        <v>55</v>
      </c>
      <c r="G20">
        <v>45</v>
      </c>
      <c r="H20">
        <v>0</v>
      </c>
      <c r="I20">
        <v>44</v>
      </c>
      <c r="J20">
        <v>224</v>
      </c>
      <c r="K20">
        <v>4</v>
      </c>
    </row>
    <row r="21" spans="1:11" x14ac:dyDescent="0.25">
      <c r="A21">
        <v>19</v>
      </c>
      <c r="B21">
        <v>19</v>
      </c>
      <c r="C21">
        <v>56</v>
      </c>
      <c r="D21">
        <v>16</v>
      </c>
      <c r="E21">
        <v>28</v>
      </c>
      <c r="F21">
        <v>80</v>
      </c>
      <c r="G21">
        <v>20</v>
      </c>
      <c r="H21">
        <v>0</v>
      </c>
      <c r="I21">
        <v>44</v>
      </c>
      <c r="J21">
        <v>98</v>
      </c>
      <c r="K21">
        <v>10</v>
      </c>
    </row>
    <row r="22" spans="1:11" x14ac:dyDescent="0.25">
      <c r="A22">
        <v>20</v>
      </c>
      <c r="B22">
        <v>20</v>
      </c>
      <c r="C22">
        <v>56</v>
      </c>
      <c r="D22">
        <v>15</v>
      </c>
      <c r="E22">
        <v>29</v>
      </c>
      <c r="F22">
        <v>83</v>
      </c>
      <c r="G22">
        <v>17</v>
      </c>
      <c r="H22">
        <v>0</v>
      </c>
      <c r="I22">
        <v>44</v>
      </c>
      <c r="J22">
        <v>82</v>
      </c>
      <c r="K22">
        <v>1</v>
      </c>
    </row>
    <row r="23" spans="1:11" x14ac:dyDescent="0.25">
      <c r="A23">
        <v>21</v>
      </c>
      <c r="B23">
        <v>21</v>
      </c>
      <c r="C23">
        <v>56</v>
      </c>
      <c r="D23">
        <v>11</v>
      </c>
      <c r="E23">
        <v>33</v>
      </c>
      <c r="F23">
        <v>56</v>
      </c>
      <c r="G23">
        <v>44</v>
      </c>
      <c r="H23">
        <v>0</v>
      </c>
      <c r="I23">
        <v>44</v>
      </c>
      <c r="J23">
        <v>218</v>
      </c>
      <c r="K23">
        <v>0</v>
      </c>
    </row>
    <row r="24" spans="1:11" x14ac:dyDescent="0.25">
      <c r="A24">
        <v>22</v>
      </c>
      <c r="B24">
        <v>22</v>
      </c>
      <c r="C24">
        <v>53</v>
      </c>
      <c r="D24">
        <v>4</v>
      </c>
      <c r="E24">
        <v>43</v>
      </c>
      <c r="F24">
        <v>4</v>
      </c>
      <c r="G24">
        <v>96</v>
      </c>
      <c r="H24">
        <v>3</v>
      </c>
      <c r="I24">
        <v>47</v>
      </c>
      <c r="J24">
        <v>478</v>
      </c>
      <c r="K24">
        <v>0</v>
      </c>
    </row>
    <row r="25" spans="1:11" x14ac:dyDescent="0.25">
      <c r="A25">
        <v>23</v>
      </c>
      <c r="B25">
        <v>23</v>
      </c>
      <c r="C25">
        <v>53</v>
      </c>
      <c r="D25">
        <v>3</v>
      </c>
      <c r="E25">
        <v>44</v>
      </c>
      <c r="F25">
        <v>0</v>
      </c>
      <c r="G25">
        <v>100</v>
      </c>
      <c r="H25">
        <v>0</v>
      </c>
      <c r="I25">
        <v>47</v>
      </c>
      <c r="J25">
        <v>496</v>
      </c>
      <c r="K25">
        <v>0</v>
      </c>
    </row>
    <row r="26" spans="1:11" x14ac:dyDescent="0.25">
      <c r="A26">
        <v>24</v>
      </c>
      <c r="B26">
        <v>24</v>
      </c>
      <c r="C26">
        <v>51</v>
      </c>
      <c r="D26">
        <v>5</v>
      </c>
      <c r="E26">
        <v>44</v>
      </c>
      <c r="F26">
        <v>0</v>
      </c>
      <c r="G26">
        <v>100</v>
      </c>
      <c r="H26">
        <v>2</v>
      </c>
      <c r="I26">
        <v>49</v>
      </c>
      <c r="J26">
        <v>500</v>
      </c>
      <c r="K26">
        <v>0</v>
      </c>
    </row>
    <row r="27" spans="1:11" x14ac:dyDescent="0.25">
      <c r="A27">
        <v>25</v>
      </c>
      <c r="B27">
        <v>25</v>
      </c>
      <c r="C27">
        <v>47</v>
      </c>
      <c r="D27">
        <v>9</v>
      </c>
      <c r="E27">
        <v>44</v>
      </c>
      <c r="F27">
        <v>1</v>
      </c>
      <c r="G27">
        <v>99</v>
      </c>
      <c r="H27">
        <v>4</v>
      </c>
      <c r="I27">
        <v>53</v>
      </c>
      <c r="J27">
        <v>494</v>
      </c>
      <c r="K27">
        <v>3</v>
      </c>
    </row>
    <row r="28" spans="1:11" x14ac:dyDescent="0.25">
      <c r="A28">
        <v>26</v>
      </c>
      <c r="B28">
        <v>26</v>
      </c>
      <c r="C28">
        <v>45</v>
      </c>
      <c r="D28">
        <v>11</v>
      </c>
      <c r="E28">
        <v>44</v>
      </c>
      <c r="F28">
        <v>66</v>
      </c>
      <c r="G28">
        <v>34</v>
      </c>
      <c r="H28">
        <v>2</v>
      </c>
      <c r="I28">
        <v>55</v>
      </c>
      <c r="J28">
        <v>168</v>
      </c>
      <c r="K28">
        <v>0</v>
      </c>
    </row>
    <row r="29" spans="1:11" x14ac:dyDescent="0.25">
      <c r="A29">
        <v>27</v>
      </c>
      <c r="B29">
        <v>27</v>
      </c>
      <c r="C29">
        <v>40</v>
      </c>
      <c r="D29">
        <v>16</v>
      </c>
      <c r="E29">
        <v>44</v>
      </c>
      <c r="F29">
        <v>4</v>
      </c>
      <c r="G29">
        <v>96</v>
      </c>
      <c r="H29">
        <v>5</v>
      </c>
      <c r="I29">
        <v>60</v>
      </c>
      <c r="J29">
        <v>478</v>
      </c>
      <c r="K29">
        <v>2</v>
      </c>
    </row>
    <row r="30" spans="1:11" x14ac:dyDescent="0.25">
      <c r="A30">
        <v>28</v>
      </c>
      <c r="B30">
        <v>28</v>
      </c>
      <c r="C30">
        <v>39</v>
      </c>
      <c r="D30">
        <v>14</v>
      </c>
      <c r="E30">
        <v>47</v>
      </c>
      <c r="F30">
        <v>71</v>
      </c>
      <c r="G30">
        <v>29</v>
      </c>
      <c r="H30">
        <v>1</v>
      </c>
      <c r="I30">
        <v>61</v>
      </c>
      <c r="J30">
        <v>144</v>
      </c>
      <c r="K30">
        <v>4</v>
      </c>
    </row>
    <row r="31" spans="1:11" x14ac:dyDescent="0.25">
      <c r="A31">
        <v>29</v>
      </c>
      <c r="B31">
        <v>29</v>
      </c>
      <c r="C31">
        <v>38</v>
      </c>
      <c r="D31">
        <v>15</v>
      </c>
      <c r="E31">
        <v>47</v>
      </c>
      <c r="F31">
        <v>76</v>
      </c>
      <c r="G31">
        <v>24</v>
      </c>
      <c r="H31">
        <v>1</v>
      </c>
      <c r="I31">
        <v>62</v>
      </c>
      <c r="J31">
        <v>118</v>
      </c>
      <c r="K31">
        <v>2</v>
      </c>
    </row>
    <row r="32" spans="1:11" x14ac:dyDescent="0.25">
      <c r="A32">
        <v>30</v>
      </c>
      <c r="B32">
        <v>30</v>
      </c>
      <c r="C32">
        <v>38</v>
      </c>
      <c r="D32">
        <v>13</v>
      </c>
      <c r="E32">
        <v>49</v>
      </c>
      <c r="F32">
        <v>72</v>
      </c>
      <c r="G32">
        <v>28</v>
      </c>
      <c r="H32">
        <v>0</v>
      </c>
      <c r="I32">
        <v>62</v>
      </c>
      <c r="J32">
        <v>140</v>
      </c>
      <c r="K32">
        <v>5</v>
      </c>
    </row>
    <row r="33" spans="1:11" x14ac:dyDescent="0.25">
      <c r="A33">
        <v>31</v>
      </c>
      <c r="B33">
        <v>31</v>
      </c>
      <c r="C33">
        <v>38</v>
      </c>
      <c r="D33">
        <v>9</v>
      </c>
      <c r="E33">
        <v>53</v>
      </c>
      <c r="F33">
        <v>80</v>
      </c>
      <c r="G33">
        <v>20</v>
      </c>
      <c r="H33">
        <v>0</v>
      </c>
      <c r="I33">
        <v>62</v>
      </c>
      <c r="J33">
        <v>100</v>
      </c>
      <c r="K33">
        <v>1</v>
      </c>
    </row>
    <row r="34" spans="1:11" x14ac:dyDescent="0.25">
      <c r="A34">
        <v>32</v>
      </c>
      <c r="B34">
        <v>32</v>
      </c>
      <c r="C34">
        <v>37</v>
      </c>
      <c r="D34">
        <v>8</v>
      </c>
      <c r="E34">
        <v>55</v>
      </c>
      <c r="F34">
        <v>48</v>
      </c>
      <c r="G34">
        <v>52</v>
      </c>
      <c r="H34">
        <v>1</v>
      </c>
      <c r="I34">
        <v>63</v>
      </c>
      <c r="J34">
        <v>258</v>
      </c>
      <c r="K34">
        <v>1</v>
      </c>
    </row>
    <row r="35" spans="1:11" x14ac:dyDescent="0.25">
      <c r="A35">
        <v>33</v>
      </c>
      <c r="B35">
        <v>33</v>
      </c>
      <c r="C35">
        <v>37</v>
      </c>
      <c r="D35">
        <v>3</v>
      </c>
      <c r="E35">
        <v>60</v>
      </c>
      <c r="F35">
        <v>52</v>
      </c>
      <c r="G35">
        <v>48</v>
      </c>
      <c r="H35">
        <v>0</v>
      </c>
      <c r="I35">
        <v>63</v>
      </c>
      <c r="J35">
        <v>240</v>
      </c>
      <c r="K35">
        <v>0</v>
      </c>
    </row>
    <row r="36" spans="1:11" x14ac:dyDescent="0.25">
      <c r="A36">
        <v>34</v>
      </c>
      <c r="B36">
        <v>34</v>
      </c>
      <c r="C36">
        <v>37</v>
      </c>
      <c r="D36">
        <v>2</v>
      </c>
      <c r="E36">
        <v>61</v>
      </c>
      <c r="F36">
        <v>2</v>
      </c>
      <c r="G36">
        <v>98</v>
      </c>
      <c r="H36">
        <v>0</v>
      </c>
      <c r="I36">
        <v>63</v>
      </c>
      <c r="J36">
        <v>490</v>
      </c>
      <c r="K36">
        <v>0</v>
      </c>
    </row>
    <row r="37" spans="1:11" x14ac:dyDescent="0.25">
      <c r="A37">
        <v>35</v>
      </c>
      <c r="B37">
        <v>35</v>
      </c>
      <c r="C37">
        <v>37</v>
      </c>
      <c r="D37">
        <v>1</v>
      </c>
      <c r="E37">
        <v>62</v>
      </c>
      <c r="F37">
        <v>1</v>
      </c>
      <c r="G37">
        <v>99</v>
      </c>
      <c r="H37">
        <v>0</v>
      </c>
      <c r="I37">
        <v>63</v>
      </c>
      <c r="J37">
        <v>494</v>
      </c>
      <c r="K37">
        <v>1</v>
      </c>
    </row>
    <row r="38" spans="1:11" x14ac:dyDescent="0.25">
      <c r="A38">
        <v>36</v>
      </c>
      <c r="B38">
        <v>36</v>
      </c>
      <c r="C38">
        <v>37</v>
      </c>
      <c r="D38">
        <v>1</v>
      </c>
      <c r="E38">
        <v>62</v>
      </c>
      <c r="F38">
        <v>51</v>
      </c>
      <c r="G38">
        <v>49</v>
      </c>
      <c r="H38">
        <v>0</v>
      </c>
      <c r="I38">
        <v>63</v>
      </c>
      <c r="J38">
        <v>244</v>
      </c>
      <c r="K38">
        <v>0</v>
      </c>
    </row>
    <row r="39" spans="1:11" x14ac:dyDescent="0.25">
      <c r="A39">
        <v>37</v>
      </c>
      <c r="B39">
        <v>37</v>
      </c>
      <c r="C39">
        <v>37</v>
      </c>
      <c r="D39">
        <v>1</v>
      </c>
      <c r="E39">
        <v>62</v>
      </c>
      <c r="F39">
        <v>1</v>
      </c>
      <c r="G39">
        <v>99</v>
      </c>
      <c r="H39">
        <v>0</v>
      </c>
      <c r="I39">
        <v>63</v>
      </c>
      <c r="J39">
        <v>494</v>
      </c>
      <c r="K39">
        <v>0</v>
      </c>
    </row>
    <row r="40" spans="1:11" x14ac:dyDescent="0.25">
      <c r="A40">
        <v>38</v>
      </c>
      <c r="B40">
        <v>38</v>
      </c>
      <c r="C40">
        <v>36</v>
      </c>
      <c r="D40">
        <v>1</v>
      </c>
      <c r="E40">
        <v>63</v>
      </c>
      <c r="F40">
        <v>0</v>
      </c>
      <c r="G40">
        <v>100</v>
      </c>
      <c r="H40">
        <v>1</v>
      </c>
      <c r="I40">
        <v>64</v>
      </c>
      <c r="J40">
        <v>500</v>
      </c>
      <c r="K40">
        <v>0</v>
      </c>
    </row>
    <row r="41" spans="1:11" x14ac:dyDescent="0.25">
      <c r="A41">
        <v>39</v>
      </c>
      <c r="B41">
        <v>39</v>
      </c>
      <c r="C41">
        <v>36</v>
      </c>
      <c r="D41">
        <v>1</v>
      </c>
      <c r="E41">
        <v>63</v>
      </c>
      <c r="F41">
        <v>0</v>
      </c>
      <c r="G41">
        <v>100</v>
      </c>
      <c r="H41">
        <v>0</v>
      </c>
      <c r="I41">
        <v>64</v>
      </c>
      <c r="J41">
        <v>498</v>
      </c>
      <c r="K41">
        <v>0</v>
      </c>
    </row>
    <row r="42" spans="1:11" x14ac:dyDescent="0.25">
      <c r="A42">
        <v>40</v>
      </c>
      <c r="B42">
        <v>40</v>
      </c>
      <c r="C42">
        <v>36</v>
      </c>
      <c r="D42">
        <v>1</v>
      </c>
      <c r="E42">
        <v>63</v>
      </c>
      <c r="F42">
        <v>0</v>
      </c>
      <c r="G42">
        <v>100</v>
      </c>
      <c r="H42">
        <v>0</v>
      </c>
      <c r="I42">
        <v>64</v>
      </c>
      <c r="J42">
        <v>498</v>
      </c>
      <c r="K42">
        <v>0</v>
      </c>
    </row>
    <row r="43" spans="1:11" x14ac:dyDescent="0.25">
      <c r="A43">
        <v>41</v>
      </c>
      <c r="B43">
        <v>41</v>
      </c>
      <c r="C43">
        <v>35</v>
      </c>
      <c r="D43">
        <v>2</v>
      </c>
      <c r="E43">
        <v>63</v>
      </c>
      <c r="F43">
        <v>0</v>
      </c>
      <c r="G43">
        <v>100</v>
      </c>
      <c r="H43">
        <v>1</v>
      </c>
      <c r="I43">
        <v>65</v>
      </c>
      <c r="J43">
        <v>500</v>
      </c>
      <c r="K43">
        <v>1</v>
      </c>
    </row>
    <row r="44" spans="1:11" x14ac:dyDescent="0.25">
      <c r="A44">
        <v>42</v>
      </c>
      <c r="B44">
        <v>42</v>
      </c>
      <c r="C44">
        <v>35</v>
      </c>
      <c r="D44">
        <v>2</v>
      </c>
      <c r="E44">
        <v>63</v>
      </c>
      <c r="F44">
        <v>51</v>
      </c>
      <c r="G44">
        <v>49</v>
      </c>
      <c r="H44">
        <v>0</v>
      </c>
      <c r="I44">
        <v>65</v>
      </c>
      <c r="J44">
        <v>244</v>
      </c>
      <c r="K44">
        <v>0</v>
      </c>
    </row>
    <row r="45" spans="1:11" x14ac:dyDescent="0.25">
      <c r="A45">
        <v>43</v>
      </c>
      <c r="B45">
        <v>43</v>
      </c>
      <c r="C45">
        <v>35</v>
      </c>
      <c r="D45">
        <v>2</v>
      </c>
      <c r="E45">
        <v>63</v>
      </c>
      <c r="F45">
        <v>0</v>
      </c>
      <c r="G45">
        <v>100</v>
      </c>
      <c r="H45">
        <v>0</v>
      </c>
      <c r="I45">
        <v>65</v>
      </c>
      <c r="J45">
        <v>500</v>
      </c>
      <c r="K45">
        <v>0</v>
      </c>
    </row>
    <row r="46" spans="1:11" x14ac:dyDescent="0.25">
      <c r="A46">
        <v>44</v>
      </c>
      <c r="B46">
        <v>44</v>
      </c>
      <c r="C46">
        <v>35</v>
      </c>
      <c r="D46">
        <v>1</v>
      </c>
      <c r="E46">
        <v>64</v>
      </c>
      <c r="F46">
        <v>0</v>
      </c>
      <c r="G46">
        <v>100</v>
      </c>
      <c r="H46">
        <v>0</v>
      </c>
      <c r="I46">
        <v>65</v>
      </c>
      <c r="J46">
        <v>500</v>
      </c>
      <c r="K46">
        <v>1</v>
      </c>
    </row>
    <row r="47" spans="1:11" x14ac:dyDescent="0.25">
      <c r="A47">
        <v>45</v>
      </c>
      <c r="B47">
        <v>45</v>
      </c>
      <c r="C47">
        <v>35</v>
      </c>
      <c r="D47">
        <v>1</v>
      </c>
      <c r="E47">
        <v>64</v>
      </c>
      <c r="F47">
        <v>49</v>
      </c>
      <c r="G47">
        <v>51</v>
      </c>
      <c r="H47">
        <v>0</v>
      </c>
      <c r="I47">
        <v>65</v>
      </c>
      <c r="J47">
        <v>254</v>
      </c>
      <c r="K47">
        <v>0</v>
      </c>
    </row>
    <row r="48" spans="1:11" x14ac:dyDescent="0.25">
      <c r="A48">
        <v>46</v>
      </c>
      <c r="B48">
        <v>46</v>
      </c>
      <c r="C48">
        <v>35</v>
      </c>
      <c r="D48">
        <v>1</v>
      </c>
      <c r="E48">
        <v>64</v>
      </c>
      <c r="F48">
        <v>0</v>
      </c>
      <c r="G48">
        <v>100</v>
      </c>
      <c r="H48">
        <v>0</v>
      </c>
      <c r="I48">
        <v>65</v>
      </c>
      <c r="J48">
        <v>498</v>
      </c>
      <c r="K48">
        <v>0</v>
      </c>
    </row>
    <row r="49" spans="1:11" x14ac:dyDescent="0.25">
      <c r="A49">
        <v>47</v>
      </c>
      <c r="B49">
        <v>47</v>
      </c>
      <c r="C49">
        <v>34</v>
      </c>
      <c r="D49">
        <v>1</v>
      </c>
      <c r="E49">
        <v>65</v>
      </c>
      <c r="F49">
        <v>0</v>
      </c>
      <c r="G49">
        <v>100</v>
      </c>
      <c r="H49">
        <v>1</v>
      </c>
      <c r="I49">
        <v>66</v>
      </c>
      <c r="J49">
        <v>496</v>
      </c>
      <c r="K49">
        <v>0</v>
      </c>
    </row>
    <row r="50" spans="1:11" x14ac:dyDescent="0.25">
      <c r="A50">
        <v>48</v>
      </c>
      <c r="B50">
        <v>48</v>
      </c>
      <c r="C50">
        <v>34</v>
      </c>
      <c r="D50">
        <v>1</v>
      </c>
      <c r="E50">
        <v>65</v>
      </c>
      <c r="F50">
        <v>0</v>
      </c>
      <c r="G50">
        <v>100</v>
      </c>
      <c r="H50">
        <v>0</v>
      </c>
      <c r="I50">
        <v>66</v>
      </c>
      <c r="J50">
        <v>500</v>
      </c>
      <c r="K50">
        <v>0</v>
      </c>
    </row>
    <row r="51" spans="1:11" x14ac:dyDescent="0.25">
      <c r="A51">
        <v>49</v>
      </c>
      <c r="B51">
        <v>49</v>
      </c>
      <c r="C51">
        <v>34</v>
      </c>
      <c r="D51">
        <v>1</v>
      </c>
      <c r="E51">
        <v>65</v>
      </c>
      <c r="F51">
        <v>0</v>
      </c>
      <c r="G51">
        <v>100</v>
      </c>
      <c r="H51">
        <v>0</v>
      </c>
      <c r="I51">
        <v>66</v>
      </c>
      <c r="J51">
        <v>498</v>
      </c>
      <c r="K5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5889-129A-4282-8D35-A11161FFA0D3}">
  <dimension ref="A1:K51"/>
  <sheetViews>
    <sheetView topLeftCell="A25" workbookViewId="0">
      <selection activeCell="X4" sqref="X4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96</v>
      </c>
      <c r="D3">
        <v>4</v>
      </c>
      <c r="E3">
        <v>0</v>
      </c>
      <c r="F3">
        <v>0</v>
      </c>
      <c r="G3">
        <v>100</v>
      </c>
      <c r="H3">
        <v>2</v>
      </c>
      <c r="I3">
        <v>4</v>
      </c>
      <c r="J3">
        <v>498</v>
      </c>
      <c r="K3">
        <v>0</v>
      </c>
    </row>
    <row r="4" spans="1:11" x14ac:dyDescent="0.25">
      <c r="A4">
        <v>2</v>
      </c>
      <c r="B4">
        <v>2</v>
      </c>
      <c r="C4">
        <v>92</v>
      </c>
      <c r="D4">
        <v>8</v>
      </c>
      <c r="E4">
        <v>0</v>
      </c>
      <c r="F4">
        <v>0</v>
      </c>
      <c r="G4">
        <v>100</v>
      </c>
      <c r="H4">
        <v>4</v>
      </c>
      <c r="I4">
        <v>8</v>
      </c>
      <c r="J4">
        <v>498</v>
      </c>
      <c r="K4">
        <v>0</v>
      </c>
    </row>
    <row r="5" spans="1:11" x14ac:dyDescent="0.25">
      <c r="A5">
        <v>3</v>
      </c>
      <c r="B5">
        <v>3</v>
      </c>
      <c r="C5">
        <v>89</v>
      </c>
      <c r="D5">
        <v>11</v>
      </c>
      <c r="E5">
        <v>0</v>
      </c>
      <c r="F5">
        <v>1</v>
      </c>
      <c r="G5">
        <v>99</v>
      </c>
      <c r="H5">
        <v>3</v>
      </c>
      <c r="I5">
        <v>11</v>
      </c>
      <c r="J5">
        <v>494</v>
      </c>
      <c r="K5">
        <v>2</v>
      </c>
    </row>
    <row r="6" spans="1:11" x14ac:dyDescent="0.25">
      <c r="A6">
        <v>4</v>
      </c>
      <c r="B6">
        <v>4</v>
      </c>
      <c r="C6">
        <v>88</v>
      </c>
      <c r="D6">
        <v>12</v>
      </c>
      <c r="E6">
        <v>0</v>
      </c>
      <c r="F6">
        <v>68</v>
      </c>
      <c r="G6">
        <v>32</v>
      </c>
      <c r="H6">
        <v>1</v>
      </c>
      <c r="I6">
        <v>12</v>
      </c>
      <c r="J6">
        <v>158</v>
      </c>
      <c r="K6">
        <v>2</v>
      </c>
    </row>
    <row r="7" spans="1:11" x14ac:dyDescent="0.25">
      <c r="A7">
        <v>5</v>
      </c>
      <c r="B7">
        <v>5</v>
      </c>
      <c r="C7">
        <v>85</v>
      </c>
      <c r="D7">
        <v>15</v>
      </c>
      <c r="E7">
        <v>0</v>
      </c>
      <c r="F7">
        <v>72</v>
      </c>
      <c r="G7">
        <v>28</v>
      </c>
      <c r="H7">
        <v>3</v>
      </c>
      <c r="I7">
        <v>15</v>
      </c>
      <c r="J7">
        <v>140</v>
      </c>
      <c r="K7">
        <v>4</v>
      </c>
    </row>
    <row r="8" spans="1:11" x14ac:dyDescent="0.25">
      <c r="A8">
        <v>6</v>
      </c>
      <c r="B8">
        <v>6</v>
      </c>
      <c r="C8">
        <v>84</v>
      </c>
      <c r="D8">
        <v>14</v>
      </c>
      <c r="E8">
        <v>2</v>
      </c>
      <c r="F8">
        <v>72</v>
      </c>
      <c r="G8">
        <v>28</v>
      </c>
      <c r="H8">
        <v>1</v>
      </c>
      <c r="I8">
        <v>16</v>
      </c>
      <c r="J8">
        <v>136</v>
      </c>
      <c r="K8">
        <v>3</v>
      </c>
    </row>
    <row r="9" spans="1:11" x14ac:dyDescent="0.25">
      <c r="A9">
        <v>7</v>
      </c>
      <c r="B9">
        <v>7</v>
      </c>
      <c r="C9">
        <v>80</v>
      </c>
      <c r="D9">
        <v>16</v>
      </c>
      <c r="E9">
        <v>4</v>
      </c>
      <c r="F9">
        <v>67</v>
      </c>
      <c r="G9">
        <v>33</v>
      </c>
      <c r="H9">
        <v>4</v>
      </c>
      <c r="I9">
        <v>20</v>
      </c>
      <c r="J9">
        <v>164</v>
      </c>
      <c r="K9">
        <v>1</v>
      </c>
    </row>
    <row r="10" spans="1:11" x14ac:dyDescent="0.25">
      <c r="A10">
        <v>8</v>
      </c>
      <c r="B10">
        <v>8</v>
      </c>
      <c r="C10">
        <v>78</v>
      </c>
      <c r="D10">
        <v>14</v>
      </c>
      <c r="E10">
        <v>8</v>
      </c>
      <c r="F10">
        <v>48</v>
      </c>
      <c r="G10">
        <v>52</v>
      </c>
      <c r="H10">
        <v>2</v>
      </c>
      <c r="I10">
        <v>22</v>
      </c>
      <c r="J10">
        <v>258</v>
      </c>
      <c r="K10">
        <v>3</v>
      </c>
    </row>
    <row r="11" spans="1:11" x14ac:dyDescent="0.25">
      <c r="A11">
        <v>9</v>
      </c>
      <c r="B11">
        <v>9</v>
      </c>
      <c r="C11">
        <v>74</v>
      </c>
      <c r="D11">
        <v>15</v>
      </c>
      <c r="E11">
        <v>11</v>
      </c>
      <c r="F11">
        <v>67</v>
      </c>
      <c r="G11">
        <v>33</v>
      </c>
      <c r="H11">
        <v>4</v>
      </c>
      <c r="I11">
        <v>26</v>
      </c>
      <c r="J11">
        <v>164</v>
      </c>
      <c r="K11">
        <v>1</v>
      </c>
    </row>
    <row r="12" spans="1:11" x14ac:dyDescent="0.25">
      <c r="A12">
        <v>10</v>
      </c>
      <c r="B12">
        <v>10</v>
      </c>
      <c r="C12">
        <v>72</v>
      </c>
      <c r="D12">
        <v>16</v>
      </c>
      <c r="E12">
        <v>12</v>
      </c>
      <c r="F12">
        <v>43</v>
      </c>
      <c r="G12">
        <v>57</v>
      </c>
      <c r="H12">
        <v>2</v>
      </c>
      <c r="I12">
        <v>28</v>
      </c>
      <c r="J12">
        <v>284</v>
      </c>
      <c r="K12">
        <v>4</v>
      </c>
    </row>
    <row r="13" spans="1:11" x14ac:dyDescent="0.25">
      <c r="A13">
        <v>11</v>
      </c>
      <c r="B13">
        <v>11</v>
      </c>
      <c r="C13">
        <v>72</v>
      </c>
      <c r="D13">
        <v>13</v>
      </c>
      <c r="E13">
        <v>15</v>
      </c>
      <c r="F13">
        <v>76</v>
      </c>
      <c r="G13">
        <v>24</v>
      </c>
      <c r="H13">
        <v>0</v>
      </c>
      <c r="I13">
        <v>28</v>
      </c>
      <c r="J13">
        <v>118</v>
      </c>
      <c r="K13">
        <v>2</v>
      </c>
    </row>
    <row r="14" spans="1:11" x14ac:dyDescent="0.25">
      <c r="A14">
        <v>12</v>
      </c>
      <c r="B14">
        <v>12</v>
      </c>
      <c r="C14">
        <v>69</v>
      </c>
      <c r="D14">
        <v>15</v>
      </c>
      <c r="E14">
        <v>16</v>
      </c>
      <c r="F14">
        <v>72</v>
      </c>
      <c r="G14">
        <v>28</v>
      </c>
      <c r="H14">
        <v>3</v>
      </c>
      <c r="I14">
        <v>31</v>
      </c>
      <c r="J14">
        <v>138</v>
      </c>
      <c r="K14">
        <v>4</v>
      </c>
    </row>
    <row r="15" spans="1:11" x14ac:dyDescent="0.25">
      <c r="A15">
        <v>13</v>
      </c>
      <c r="B15">
        <v>13</v>
      </c>
      <c r="C15">
        <v>67</v>
      </c>
      <c r="D15">
        <v>13</v>
      </c>
      <c r="E15">
        <v>20</v>
      </c>
      <c r="F15">
        <v>77</v>
      </c>
      <c r="G15">
        <v>23</v>
      </c>
      <c r="H15">
        <v>2</v>
      </c>
      <c r="I15">
        <v>33</v>
      </c>
      <c r="J15">
        <v>114</v>
      </c>
      <c r="K15">
        <v>2</v>
      </c>
    </row>
    <row r="16" spans="1:11" x14ac:dyDescent="0.25">
      <c r="A16">
        <v>14</v>
      </c>
      <c r="B16">
        <v>14</v>
      </c>
      <c r="C16">
        <v>66</v>
      </c>
      <c r="D16">
        <v>12</v>
      </c>
      <c r="E16">
        <v>22</v>
      </c>
      <c r="F16">
        <v>72</v>
      </c>
      <c r="G16">
        <v>28</v>
      </c>
      <c r="H16">
        <v>1</v>
      </c>
      <c r="I16">
        <v>34</v>
      </c>
      <c r="J16">
        <v>138</v>
      </c>
      <c r="K16">
        <v>0</v>
      </c>
    </row>
    <row r="17" spans="1:11" x14ac:dyDescent="0.25">
      <c r="A17">
        <v>15</v>
      </c>
      <c r="B17">
        <v>15</v>
      </c>
      <c r="C17">
        <v>64</v>
      </c>
      <c r="D17">
        <v>10</v>
      </c>
      <c r="E17">
        <v>26</v>
      </c>
      <c r="F17">
        <v>6</v>
      </c>
      <c r="G17">
        <v>94</v>
      </c>
      <c r="H17">
        <v>2</v>
      </c>
      <c r="I17">
        <v>36</v>
      </c>
      <c r="J17">
        <v>466</v>
      </c>
      <c r="K17">
        <v>3</v>
      </c>
    </row>
    <row r="18" spans="1:11" x14ac:dyDescent="0.25">
      <c r="A18">
        <v>16</v>
      </c>
      <c r="B18">
        <v>16</v>
      </c>
      <c r="C18">
        <v>63</v>
      </c>
      <c r="D18">
        <v>9</v>
      </c>
      <c r="E18">
        <v>28</v>
      </c>
      <c r="F18">
        <v>70</v>
      </c>
      <c r="G18">
        <v>30</v>
      </c>
      <c r="H18">
        <v>1</v>
      </c>
      <c r="I18">
        <v>37</v>
      </c>
      <c r="J18">
        <v>150</v>
      </c>
      <c r="K18">
        <v>2</v>
      </c>
    </row>
    <row r="19" spans="1:11" x14ac:dyDescent="0.25">
      <c r="A19">
        <v>17</v>
      </c>
      <c r="B19">
        <v>17</v>
      </c>
      <c r="C19">
        <v>63</v>
      </c>
      <c r="D19">
        <v>9</v>
      </c>
      <c r="E19">
        <v>28</v>
      </c>
      <c r="F19">
        <v>75</v>
      </c>
      <c r="G19">
        <v>25</v>
      </c>
      <c r="H19">
        <v>0</v>
      </c>
      <c r="I19">
        <v>37</v>
      </c>
      <c r="J19">
        <v>124</v>
      </c>
      <c r="K19">
        <v>1</v>
      </c>
    </row>
    <row r="20" spans="1:11" x14ac:dyDescent="0.25">
      <c r="A20">
        <v>18</v>
      </c>
      <c r="B20">
        <v>18</v>
      </c>
      <c r="C20">
        <v>63</v>
      </c>
      <c r="D20">
        <v>6</v>
      </c>
      <c r="E20">
        <v>31</v>
      </c>
      <c r="F20">
        <v>48</v>
      </c>
      <c r="G20">
        <v>52</v>
      </c>
      <c r="H20">
        <v>0</v>
      </c>
      <c r="I20">
        <v>37</v>
      </c>
      <c r="J20">
        <v>260</v>
      </c>
      <c r="K20">
        <v>2</v>
      </c>
    </row>
    <row r="21" spans="1:11" x14ac:dyDescent="0.25">
      <c r="A21">
        <v>19</v>
      </c>
      <c r="B21">
        <v>19</v>
      </c>
      <c r="C21">
        <v>63</v>
      </c>
      <c r="D21">
        <v>4</v>
      </c>
      <c r="E21">
        <v>33</v>
      </c>
      <c r="F21">
        <v>72</v>
      </c>
      <c r="G21">
        <v>28</v>
      </c>
      <c r="H21">
        <v>0</v>
      </c>
      <c r="I21">
        <v>37</v>
      </c>
      <c r="J21">
        <v>138</v>
      </c>
      <c r="K21">
        <v>1</v>
      </c>
    </row>
    <row r="22" spans="1:11" x14ac:dyDescent="0.25">
      <c r="A22">
        <v>20</v>
      </c>
      <c r="B22">
        <v>20</v>
      </c>
      <c r="C22">
        <v>63</v>
      </c>
      <c r="D22">
        <v>3</v>
      </c>
      <c r="E22">
        <v>34</v>
      </c>
      <c r="F22">
        <v>45</v>
      </c>
      <c r="G22">
        <v>55</v>
      </c>
      <c r="H22">
        <v>0</v>
      </c>
      <c r="I22">
        <v>37</v>
      </c>
      <c r="J22">
        <v>274</v>
      </c>
      <c r="K22">
        <v>0</v>
      </c>
    </row>
    <row r="23" spans="1:11" x14ac:dyDescent="0.25">
      <c r="A23">
        <v>21</v>
      </c>
      <c r="B23">
        <v>21</v>
      </c>
      <c r="C23">
        <v>63</v>
      </c>
      <c r="D23">
        <v>1</v>
      </c>
      <c r="E23">
        <v>36</v>
      </c>
      <c r="F23">
        <v>3</v>
      </c>
      <c r="G23">
        <v>97</v>
      </c>
      <c r="H23">
        <v>0</v>
      </c>
      <c r="I23">
        <v>37</v>
      </c>
      <c r="J23">
        <v>484</v>
      </c>
      <c r="K23">
        <v>0</v>
      </c>
    </row>
    <row r="24" spans="1:11" x14ac:dyDescent="0.25">
      <c r="A24">
        <v>22</v>
      </c>
      <c r="B24">
        <v>22</v>
      </c>
      <c r="C24">
        <v>61</v>
      </c>
      <c r="D24">
        <v>2</v>
      </c>
      <c r="E24">
        <v>37</v>
      </c>
      <c r="F24">
        <v>0</v>
      </c>
      <c r="G24">
        <v>100</v>
      </c>
      <c r="H24">
        <v>2</v>
      </c>
      <c r="I24">
        <v>39</v>
      </c>
      <c r="J24">
        <v>500</v>
      </c>
      <c r="K24">
        <v>0</v>
      </c>
    </row>
    <row r="25" spans="1:11" x14ac:dyDescent="0.25">
      <c r="A25">
        <v>23</v>
      </c>
      <c r="B25">
        <v>23</v>
      </c>
      <c r="C25">
        <v>60</v>
      </c>
      <c r="D25">
        <v>3</v>
      </c>
      <c r="E25">
        <v>37</v>
      </c>
      <c r="F25">
        <v>0</v>
      </c>
      <c r="G25">
        <v>100</v>
      </c>
      <c r="H25">
        <v>1</v>
      </c>
      <c r="I25">
        <v>40</v>
      </c>
      <c r="J25">
        <v>500</v>
      </c>
      <c r="K25">
        <v>0</v>
      </c>
    </row>
    <row r="26" spans="1:11" x14ac:dyDescent="0.25">
      <c r="A26">
        <v>24</v>
      </c>
      <c r="B26">
        <v>24</v>
      </c>
      <c r="C26">
        <v>58</v>
      </c>
      <c r="D26">
        <v>5</v>
      </c>
      <c r="E26">
        <v>37</v>
      </c>
      <c r="F26">
        <v>0</v>
      </c>
      <c r="G26">
        <v>100</v>
      </c>
      <c r="H26">
        <v>2</v>
      </c>
      <c r="I26">
        <v>42</v>
      </c>
      <c r="J26">
        <v>500</v>
      </c>
      <c r="K26">
        <v>0</v>
      </c>
    </row>
    <row r="27" spans="1:11" x14ac:dyDescent="0.25">
      <c r="A27">
        <v>25</v>
      </c>
      <c r="B27">
        <v>25</v>
      </c>
      <c r="C27">
        <v>56</v>
      </c>
      <c r="D27">
        <v>7</v>
      </c>
      <c r="E27">
        <v>37</v>
      </c>
      <c r="F27">
        <v>0</v>
      </c>
      <c r="G27">
        <v>100</v>
      </c>
      <c r="H27">
        <v>2</v>
      </c>
      <c r="I27">
        <v>44</v>
      </c>
      <c r="J27">
        <v>498</v>
      </c>
      <c r="K27">
        <v>2</v>
      </c>
    </row>
    <row r="28" spans="1:11" x14ac:dyDescent="0.25">
      <c r="A28">
        <v>26</v>
      </c>
      <c r="B28">
        <v>26</v>
      </c>
      <c r="C28">
        <v>56</v>
      </c>
      <c r="D28">
        <v>7</v>
      </c>
      <c r="E28">
        <v>37</v>
      </c>
      <c r="F28">
        <v>69</v>
      </c>
      <c r="G28">
        <v>31</v>
      </c>
      <c r="H28">
        <v>0</v>
      </c>
      <c r="I28">
        <v>44</v>
      </c>
      <c r="J28">
        <v>154</v>
      </c>
      <c r="K28">
        <v>1</v>
      </c>
    </row>
    <row r="29" spans="1:11" x14ac:dyDescent="0.25">
      <c r="A29">
        <v>27</v>
      </c>
      <c r="B29">
        <v>27</v>
      </c>
      <c r="C29">
        <v>55</v>
      </c>
      <c r="D29">
        <v>8</v>
      </c>
      <c r="E29">
        <v>37</v>
      </c>
      <c r="F29">
        <v>42</v>
      </c>
      <c r="G29">
        <v>58</v>
      </c>
      <c r="H29">
        <v>1</v>
      </c>
      <c r="I29">
        <v>45</v>
      </c>
      <c r="J29">
        <v>290</v>
      </c>
      <c r="K29">
        <v>2</v>
      </c>
    </row>
    <row r="30" spans="1:11" x14ac:dyDescent="0.25">
      <c r="A30">
        <v>28</v>
      </c>
      <c r="B30">
        <v>28</v>
      </c>
      <c r="C30">
        <v>55</v>
      </c>
      <c r="D30">
        <v>6</v>
      </c>
      <c r="E30">
        <v>39</v>
      </c>
      <c r="F30">
        <v>68</v>
      </c>
      <c r="G30">
        <v>32</v>
      </c>
      <c r="H30">
        <v>0</v>
      </c>
      <c r="I30">
        <v>45</v>
      </c>
      <c r="J30">
        <v>158</v>
      </c>
      <c r="K30">
        <v>2</v>
      </c>
    </row>
    <row r="31" spans="1:11" x14ac:dyDescent="0.25">
      <c r="A31">
        <v>29</v>
      </c>
      <c r="B31">
        <v>29</v>
      </c>
      <c r="C31">
        <v>55</v>
      </c>
      <c r="D31">
        <v>5</v>
      </c>
      <c r="E31">
        <v>40</v>
      </c>
      <c r="F31">
        <v>67</v>
      </c>
      <c r="G31">
        <v>33</v>
      </c>
      <c r="H31">
        <v>0</v>
      </c>
      <c r="I31">
        <v>45</v>
      </c>
      <c r="J31">
        <v>164</v>
      </c>
      <c r="K31">
        <v>0</v>
      </c>
    </row>
    <row r="32" spans="1:11" x14ac:dyDescent="0.25">
      <c r="A32">
        <v>30</v>
      </c>
      <c r="B32">
        <v>30</v>
      </c>
      <c r="C32">
        <v>53</v>
      </c>
      <c r="D32">
        <v>5</v>
      </c>
      <c r="E32">
        <v>42</v>
      </c>
      <c r="F32">
        <v>3</v>
      </c>
      <c r="G32">
        <v>97</v>
      </c>
      <c r="H32">
        <v>2</v>
      </c>
      <c r="I32">
        <v>47</v>
      </c>
      <c r="J32">
        <v>484</v>
      </c>
      <c r="K32">
        <v>1</v>
      </c>
    </row>
    <row r="33" spans="1:11" x14ac:dyDescent="0.25">
      <c r="A33">
        <v>31</v>
      </c>
      <c r="B33">
        <v>31</v>
      </c>
      <c r="C33">
        <v>52</v>
      </c>
      <c r="D33">
        <v>4</v>
      </c>
      <c r="E33">
        <v>44</v>
      </c>
      <c r="F33">
        <v>40</v>
      </c>
      <c r="G33">
        <v>60</v>
      </c>
      <c r="H33">
        <v>1</v>
      </c>
      <c r="I33">
        <v>48</v>
      </c>
      <c r="J33">
        <v>298</v>
      </c>
      <c r="K33">
        <v>0</v>
      </c>
    </row>
    <row r="34" spans="1:11" x14ac:dyDescent="0.25">
      <c r="A34">
        <v>32</v>
      </c>
      <c r="B34">
        <v>32</v>
      </c>
      <c r="C34">
        <v>48</v>
      </c>
      <c r="D34">
        <v>8</v>
      </c>
      <c r="E34">
        <v>44</v>
      </c>
      <c r="F34">
        <v>0</v>
      </c>
      <c r="G34">
        <v>100</v>
      </c>
      <c r="H34">
        <v>4</v>
      </c>
      <c r="I34">
        <v>52</v>
      </c>
      <c r="J34">
        <v>498</v>
      </c>
      <c r="K34">
        <v>0</v>
      </c>
    </row>
    <row r="35" spans="1:11" x14ac:dyDescent="0.25">
      <c r="A35">
        <v>33</v>
      </c>
      <c r="B35">
        <v>33</v>
      </c>
      <c r="C35">
        <v>45</v>
      </c>
      <c r="D35">
        <v>10</v>
      </c>
      <c r="E35">
        <v>45</v>
      </c>
      <c r="F35">
        <v>0</v>
      </c>
      <c r="G35">
        <v>100</v>
      </c>
      <c r="H35">
        <v>3</v>
      </c>
      <c r="I35">
        <v>55</v>
      </c>
      <c r="J35">
        <v>498</v>
      </c>
      <c r="K35">
        <v>2</v>
      </c>
    </row>
    <row r="36" spans="1:11" x14ac:dyDescent="0.25">
      <c r="A36">
        <v>34</v>
      </c>
      <c r="B36">
        <v>34</v>
      </c>
      <c r="C36">
        <v>45</v>
      </c>
      <c r="D36">
        <v>10</v>
      </c>
      <c r="E36">
        <v>45</v>
      </c>
      <c r="F36">
        <v>69</v>
      </c>
      <c r="G36">
        <v>31</v>
      </c>
      <c r="H36">
        <v>0</v>
      </c>
      <c r="I36">
        <v>55</v>
      </c>
      <c r="J36">
        <v>152</v>
      </c>
      <c r="K36">
        <v>1</v>
      </c>
    </row>
    <row r="37" spans="1:11" x14ac:dyDescent="0.25">
      <c r="A37">
        <v>35</v>
      </c>
      <c r="B37">
        <v>35</v>
      </c>
      <c r="C37">
        <v>45</v>
      </c>
      <c r="D37">
        <v>10</v>
      </c>
      <c r="E37">
        <v>45</v>
      </c>
      <c r="F37">
        <v>44</v>
      </c>
      <c r="G37">
        <v>56</v>
      </c>
      <c r="H37">
        <v>0</v>
      </c>
      <c r="I37">
        <v>55</v>
      </c>
      <c r="J37">
        <v>280</v>
      </c>
      <c r="K37">
        <v>4</v>
      </c>
    </row>
    <row r="38" spans="1:11" x14ac:dyDescent="0.25">
      <c r="A38">
        <v>36</v>
      </c>
      <c r="B38">
        <v>36</v>
      </c>
      <c r="C38">
        <v>45</v>
      </c>
      <c r="D38">
        <v>8</v>
      </c>
      <c r="E38">
        <v>47</v>
      </c>
      <c r="F38">
        <v>75</v>
      </c>
      <c r="G38">
        <v>25</v>
      </c>
      <c r="H38">
        <v>0</v>
      </c>
      <c r="I38">
        <v>55</v>
      </c>
      <c r="J38">
        <v>124</v>
      </c>
      <c r="K38">
        <v>3</v>
      </c>
    </row>
    <row r="39" spans="1:11" x14ac:dyDescent="0.25">
      <c r="A39">
        <v>37</v>
      </c>
      <c r="B39">
        <v>37</v>
      </c>
      <c r="C39">
        <v>45</v>
      </c>
      <c r="D39">
        <v>7</v>
      </c>
      <c r="E39">
        <v>48</v>
      </c>
      <c r="F39">
        <v>71</v>
      </c>
      <c r="G39">
        <v>29</v>
      </c>
      <c r="H39">
        <v>0</v>
      </c>
      <c r="I39">
        <v>55</v>
      </c>
      <c r="J39">
        <v>144</v>
      </c>
      <c r="K39">
        <v>0</v>
      </c>
    </row>
    <row r="40" spans="1:11" x14ac:dyDescent="0.25">
      <c r="A40">
        <v>38</v>
      </c>
      <c r="B40">
        <v>38</v>
      </c>
      <c r="C40">
        <v>42</v>
      </c>
      <c r="D40">
        <v>6</v>
      </c>
      <c r="E40">
        <v>52</v>
      </c>
      <c r="F40">
        <v>3</v>
      </c>
      <c r="G40">
        <v>97</v>
      </c>
      <c r="H40">
        <v>3</v>
      </c>
      <c r="I40">
        <v>58</v>
      </c>
      <c r="J40">
        <v>484</v>
      </c>
      <c r="K40">
        <v>0</v>
      </c>
    </row>
    <row r="41" spans="1:11" x14ac:dyDescent="0.25">
      <c r="A41">
        <v>39</v>
      </c>
      <c r="B41">
        <v>39</v>
      </c>
      <c r="C41">
        <v>37</v>
      </c>
      <c r="D41">
        <v>8</v>
      </c>
      <c r="E41">
        <v>55</v>
      </c>
      <c r="F41">
        <v>0</v>
      </c>
      <c r="G41">
        <v>100</v>
      </c>
      <c r="H41">
        <v>5</v>
      </c>
      <c r="I41">
        <v>63</v>
      </c>
      <c r="J41">
        <v>498</v>
      </c>
      <c r="K41">
        <v>0</v>
      </c>
    </row>
    <row r="42" spans="1:11" x14ac:dyDescent="0.25">
      <c r="A42">
        <v>40</v>
      </c>
      <c r="B42">
        <v>40</v>
      </c>
      <c r="C42">
        <v>33</v>
      </c>
      <c r="D42">
        <v>12</v>
      </c>
      <c r="E42">
        <v>55</v>
      </c>
      <c r="F42">
        <v>0</v>
      </c>
      <c r="G42">
        <v>100</v>
      </c>
      <c r="H42">
        <v>4</v>
      </c>
      <c r="I42">
        <v>67</v>
      </c>
      <c r="J42">
        <v>496</v>
      </c>
      <c r="K42">
        <v>0</v>
      </c>
    </row>
    <row r="43" spans="1:11" x14ac:dyDescent="0.25">
      <c r="A43">
        <v>41</v>
      </c>
      <c r="B43">
        <v>41</v>
      </c>
      <c r="C43">
        <v>30</v>
      </c>
      <c r="D43">
        <v>15</v>
      </c>
      <c r="E43">
        <v>55</v>
      </c>
      <c r="F43">
        <v>2</v>
      </c>
      <c r="G43">
        <v>98</v>
      </c>
      <c r="H43">
        <v>3</v>
      </c>
      <c r="I43">
        <v>70</v>
      </c>
      <c r="J43">
        <v>490</v>
      </c>
      <c r="K43">
        <v>3</v>
      </c>
    </row>
    <row r="44" spans="1:11" x14ac:dyDescent="0.25">
      <c r="A44">
        <v>42</v>
      </c>
      <c r="B44">
        <v>42</v>
      </c>
      <c r="C44">
        <v>30</v>
      </c>
      <c r="D44">
        <v>15</v>
      </c>
      <c r="E44">
        <v>55</v>
      </c>
      <c r="F44">
        <v>68</v>
      </c>
      <c r="G44">
        <v>32</v>
      </c>
      <c r="H44">
        <v>0</v>
      </c>
      <c r="I44">
        <v>70</v>
      </c>
      <c r="J44">
        <v>160</v>
      </c>
      <c r="K44">
        <v>5</v>
      </c>
    </row>
    <row r="45" spans="1:11" x14ac:dyDescent="0.25">
      <c r="A45">
        <v>43</v>
      </c>
      <c r="B45">
        <v>43</v>
      </c>
      <c r="C45">
        <v>30</v>
      </c>
      <c r="D45">
        <v>15</v>
      </c>
      <c r="E45">
        <v>55</v>
      </c>
      <c r="F45">
        <v>69</v>
      </c>
      <c r="G45">
        <v>31</v>
      </c>
      <c r="H45">
        <v>0</v>
      </c>
      <c r="I45">
        <v>70</v>
      </c>
      <c r="J45">
        <v>154</v>
      </c>
      <c r="K45">
        <v>4</v>
      </c>
    </row>
    <row r="46" spans="1:11" x14ac:dyDescent="0.25">
      <c r="A46">
        <v>44</v>
      </c>
      <c r="B46">
        <v>44</v>
      </c>
      <c r="C46">
        <v>30</v>
      </c>
      <c r="D46">
        <v>12</v>
      </c>
      <c r="E46">
        <v>58</v>
      </c>
      <c r="F46">
        <v>74</v>
      </c>
      <c r="G46">
        <v>26</v>
      </c>
      <c r="H46">
        <v>0</v>
      </c>
      <c r="I46">
        <v>70</v>
      </c>
      <c r="J46">
        <v>128</v>
      </c>
      <c r="K46">
        <v>3</v>
      </c>
    </row>
    <row r="47" spans="1:11" x14ac:dyDescent="0.25">
      <c r="A47">
        <v>45</v>
      </c>
      <c r="B47">
        <v>45</v>
      </c>
      <c r="C47">
        <v>29</v>
      </c>
      <c r="D47">
        <v>8</v>
      </c>
      <c r="E47">
        <v>63</v>
      </c>
      <c r="F47">
        <v>67</v>
      </c>
      <c r="G47">
        <v>33</v>
      </c>
      <c r="H47">
        <v>1</v>
      </c>
      <c r="I47">
        <v>71</v>
      </c>
      <c r="J47">
        <v>162</v>
      </c>
      <c r="K47">
        <v>0</v>
      </c>
    </row>
    <row r="48" spans="1:11" x14ac:dyDescent="0.25">
      <c r="A48">
        <v>46</v>
      </c>
      <c r="B48">
        <v>46</v>
      </c>
      <c r="C48">
        <v>29</v>
      </c>
      <c r="D48">
        <v>4</v>
      </c>
      <c r="E48">
        <v>67</v>
      </c>
      <c r="F48">
        <v>7</v>
      </c>
      <c r="G48">
        <v>93</v>
      </c>
      <c r="H48">
        <v>0</v>
      </c>
      <c r="I48">
        <v>71</v>
      </c>
      <c r="J48">
        <v>462</v>
      </c>
      <c r="K48">
        <v>0</v>
      </c>
    </row>
    <row r="49" spans="1:11" x14ac:dyDescent="0.25">
      <c r="A49">
        <v>47</v>
      </c>
      <c r="B49">
        <v>47</v>
      </c>
      <c r="C49">
        <v>28</v>
      </c>
      <c r="D49">
        <v>2</v>
      </c>
      <c r="E49">
        <v>70</v>
      </c>
      <c r="F49">
        <v>0</v>
      </c>
      <c r="G49">
        <v>100</v>
      </c>
      <c r="H49">
        <v>1</v>
      </c>
      <c r="I49">
        <v>72</v>
      </c>
      <c r="J49">
        <v>500</v>
      </c>
      <c r="K49">
        <v>0</v>
      </c>
    </row>
    <row r="50" spans="1:11" x14ac:dyDescent="0.25">
      <c r="A50">
        <v>48</v>
      </c>
      <c r="B50">
        <v>48</v>
      </c>
      <c r="C50">
        <v>28</v>
      </c>
      <c r="D50">
        <v>2</v>
      </c>
      <c r="E50">
        <v>70</v>
      </c>
      <c r="F50">
        <v>0</v>
      </c>
      <c r="G50">
        <v>100</v>
      </c>
      <c r="H50">
        <v>0</v>
      </c>
      <c r="I50">
        <v>72</v>
      </c>
      <c r="J50">
        <v>496</v>
      </c>
      <c r="K50">
        <v>1</v>
      </c>
    </row>
    <row r="51" spans="1:11" x14ac:dyDescent="0.25">
      <c r="A51">
        <v>49</v>
      </c>
      <c r="B51">
        <v>49</v>
      </c>
      <c r="C51">
        <v>28</v>
      </c>
      <c r="D51">
        <v>2</v>
      </c>
      <c r="E51">
        <v>70</v>
      </c>
      <c r="F51">
        <v>39</v>
      </c>
      <c r="G51">
        <v>61</v>
      </c>
      <c r="H51">
        <v>0</v>
      </c>
      <c r="I51">
        <v>72</v>
      </c>
      <c r="J51">
        <v>300</v>
      </c>
      <c r="K5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D31B-D0C1-491D-87FE-78C62AE34D70}">
  <dimension ref="A1:K28"/>
  <sheetViews>
    <sheetView workbookViewId="0">
      <selection activeCell="I40" sqref="I40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96</v>
      </c>
      <c r="D3">
        <v>4</v>
      </c>
      <c r="E3">
        <v>0</v>
      </c>
      <c r="F3">
        <v>0</v>
      </c>
      <c r="G3">
        <v>100</v>
      </c>
      <c r="H3">
        <v>2</v>
      </c>
      <c r="I3">
        <v>4</v>
      </c>
      <c r="J3">
        <v>498</v>
      </c>
      <c r="K3">
        <v>0</v>
      </c>
    </row>
    <row r="4" spans="1:11" x14ac:dyDescent="0.25">
      <c r="A4">
        <v>2</v>
      </c>
      <c r="B4">
        <v>2</v>
      </c>
      <c r="C4">
        <v>91</v>
      </c>
      <c r="D4">
        <v>9</v>
      </c>
      <c r="E4">
        <v>0</v>
      </c>
      <c r="F4">
        <v>0</v>
      </c>
      <c r="G4">
        <v>100</v>
      </c>
      <c r="H4">
        <v>5</v>
      </c>
      <c r="I4">
        <v>9</v>
      </c>
      <c r="J4">
        <v>498</v>
      </c>
      <c r="K4">
        <v>0</v>
      </c>
    </row>
    <row r="5" spans="1:11" x14ac:dyDescent="0.25">
      <c r="A5">
        <v>3</v>
      </c>
      <c r="B5">
        <v>3</v>
      </c>
      <c r="C5">
        <v>83</v>
      </c>
      <c r="D5">
        <v>17</v>
      </c>
      <c r="E5">
        <v>0</v>
      </c>
      <c r="F5">
        <v>0</v>
      </c>
      <c r="G5">
        <v>100</v>
      </c>
      <c r="H5">
        <v>8</v>
      </c>
      <c r="I5">
        <v>17</v>
      </c>
      <c r="J5">
        <v>498</v>
      </c>
      <c r="K5">
        <v>2</v>
      </c>
    </row>
    <row r="6" spans="1:11" x14ac:dyDescent="0.25">
      <c r="A6">
        <v>4</v>
      </c>
      <c r="B6">
        <v>4</v>
      </c>
      <c r="C6">
        <v>82</v>
      </c>
      <c r="D6">
        <v>18</v>
      </c>
      <c r="E6">
        <v>0</v>
      </c>
      <c r="F6">
        <v>66</v>
      </c>
      <c r="G6">
        <v>34</v>
      </c>
      <c r="H6">
        <v>1</v>
      </c>
      <c r="I6">
        <v>18</v>
      </c>
      <c r="J6">
        <v>170</v>
      </c>
      <c r="K6">
        <v>2</v>
      </c>
    </row>
    <row r="7" spans="1:11" x14ac:dyDescent="0.25">
      <c r="A7">
        <v>5</v>
      </c>
      <c r="B7">
        <v>5</v>
      </c>
      <c r="C7">
        <v>73</v>
      </c>
      <c r="D7">
        <v>27</v>
      </c>
      <c r="E7">
        <v>0</v>
      </c>
      <c r="F7">
        <v>66</v>
      </c>
      <c r="G7">
        <v>34</v>
      </c>
      <c r="H7">
        <v>9</v>
      </c>
      <c r="I7">
        <v>27</v>
      </c>
      <c r="J7">
        <v>166</v>
      </c>
      <c r="K7">
        <v>5</v>
      </c>
    </row>
    <row r="8" spans="1:11" x14ac:dyDescent="0.25">
      <c r="A8">
        <v>6</v>
      </c>
      <c r="B8">
        <v>6</v>
      </c>
      <c r="C8">
        <v>68</v>
      </c>
      <c r="D8">
        <v>30</v>
      </c>
      <c r="E8">
        <v>2</v>
      </c>
      <c r="F8">
        <v>80</v>
      </c>
      <c r="G8">
        <v>20</v>
      </c>
      <c r="H8">
        <v>5</v>
      </c>
      <c r="I8">
        <v>32</v>
      </c>
      <c r="J8">
        <v>100</v>
      </c>
      <c r="K8">
        <v>8</v>
      </c>
    </row>
    <row r="9" spans="1:11" x14ac:dyDescent="0.25">
      <c r="A9">
        <v>7</v>
      </c>
      <c r="B9">
        <v>7</v>
      </c>
      <c r="C9">
        <v>64</v>
      </c>
      <c r="D9">
        <v>32</v>
      </c>
      <c r="E9">
        <v>4</v>
      </c>
      <c r="F9">
        <v>80</v>
      </c>
      <c r="G9">
        <v>20</v>
      </c>
      <c r="H9">
        <v>4</v>
      </c>
      <c r="I9">
        <v>36</v>
      </c>
      <c r="J9">
        <v>98</v>
      </c>
      <c r="K9">
        <v>1</v>
      </c>
    </row>
    <row r="10" spans="1:11" x14ac:dyDescent="0.25">
      <c r="A10">
        <v>8</v>
      </c>
      <c r="B10">
        <v>8</v>
      </c>
      <c r="C10">
        <v>54</v>
      </c>
      <c r="D10">
        <v>37</v>
      </c>
      <c r="E10">
        <v>9</v>
      </c>
      <c r="F10">
        <v>53</v>
      </c>
      <c r="G10">
        <v>47</v>
      </c>
      <c r="H10">
        <v>10</v>
      </c>
      <c r="I10">
        <v>46</v>
      </c>
      <c r="J10">
        <v>230</v>
      </c>
      <c r="K10">
        <v>9</v>
      </c>
    </row>
    <row r="11" spans="1:11" x14ac:dyDescent="0.25">
      <c r="A11">
        <v>9</v>
      </c>
      <c r="B11">
        <v>9</v>
      </c>
      <c r="C11">
        <v>52</v>
      </c>
      <c r="D11">
        <v>31</v>
      </c>
      <c r="E11">
        <v>17</v>
      </c>
      <c r="F11">
        <v>91</v>
      </c>
      <c r="G11">
        <v>9</v>
      </c>
      <c r="H11">
        <v>2</v>
      </c>
      <c r="I11">
        <v>48</v>
      </c>
      <c r="J11">
        <v>44</v>
      </c>
      <c r="K11">
        <v>5</v>
      </c>
    </row>
    <row r="12" spans="1:11" x14ac:dyDescent="0.25">
      <c r="A12">
        <v>10</v>
      </c>
      <c r="B12">
        <v>10</v>
      </c>
      <c r="C12">
        <v>50</v>
      </c>
      <c r="D12">
        <v>32</v>
      </c>
      <c r="E12">
        <v>18</v>
      </c>
      <c r="F12">
        <v>88</v>
      </c>
      <c r="G12">
        <v>12</v>
      </c>
      <c r="H12">
        <v>2</v>
      </c>
      <c r="I12">
        <v>50</v>
      </c>
      <c r="J12">
        <v>60</v>
      </c>
      <c r="K12">
        <v>4</v>
      </c>
    </row>
    <row r="13" spans="1:11" x14ac:dyDescent="0.25">
      <c r="A13">
        <v>11</v>
      </c>
      <c r="B13">
        <v>11</v>
      </c>
      <c r="C13">
        <v>49</v>
      </c>
      <c r="D13">
        <v>24</v>
      </c>
      <c r="E13">
        <v>27</v>
      </c>
      <c r="F13">
        <v>82</v>
      </c>
      <c r="G13">
        <v>18</v>
      </c>
      <c r="H13">
        <v>1</v>
      </c>
      <c r="I13">
        <v>51</v>
      </c>
      <c r="J13">
        <v>88</v>
      </c>
      <c r="K13">
        <v>10</v>
      </c>
    </row>
    <row r="14" spans="1:11" x14ac:dyDescent="0.25">
      <c r="A14">
        <v>12</v>
      </c>
      <c r="B14">
        <v>12</v>
      </c>
      <c r="C14">
        <v>49</v>
      </c>
      <c r="D14">
        <v>19</v>
      </c>
      <c r="E14">
        <v>32</v>
      </c>
      <c r="F14">
        <v>84</v>
      </c>
      <c r="G14">
        <v>16</v>
      </c>
      <c r="H14">
        <v>0</v>
      </c>
      <c r="I14">
        <v>51</v>
      </c>
      <c r="J14">
        <v>78</v>
      </c>
      <c r="K14">
        <v>2</v>
      </c>
    </row>
    <row r="15" spans="1:11" x14ac:dyDescent="0.25">
      <c r="A15">
        <v>13</v>
      </c>
      <c r="B15">
        <v>13</v>
      </c>
      <c r="C15">
        <v>49</v>
      </c>
      <c r="D15">
        <v>15</v>
      </c>
      <c r="E15">
        <v>36</v>
      </c>
      <c r="F15">
        <v>74</v>
      </c>
      <c r="G15">
        <v>26</v>
      </c>
      <c r="H15">
        <v>0</v>
      </c>
      <c r="I15">
        <v>51</v>
      </c>
      <c r="J15">
        <v>128</v>
      </c>
      <c r="K15">
        <v>2</v>
      </c>
    </row>
    <row r="16" spans="1:11" x14ac:dyDescent="0.25">
      <c r="A16">
        <v>14</v>
      </c>
      <c r="B16">
        <v>14</v>
      </c>
      <c r="C16">
        <v>49</v>
      </c>
      <c r="D16">
        <v>5</v>
      </c>
      <c r="E16">
        <v>46</v>
      </c>
      <c r="F16">
        <v>72</v>
      </c>
      <c r="G16">
        <v>28</v>
      </c>
      <c r="H16">
        <v>0</v>
      </c>
      <c r="I16">
        <v>51</v>
      </c>
      <c r="J16">
        <v>138</v>
      </c>
      <c r="K16">
        <v>1</v>
      </c>
    </row>
    <row r="17" spans="1:11" x14ac:dyDescent="0.25">
      <c r="A17">
        <v>15</v>
      </c>
      <c r="B17">
        <v>15</v>
      </c>
      <c r="C17">
        <v>49</v>
      </c>
      <c r="D17">
        <v>3</v>
      </c>
      <c r="E17">
        <v>48</v>
      </c>
      <c r="F17">
        <v>42</v>
      </c>
      <c r="G17">
        <v>58</v>
      </c>
      <c r="H17">
        <v>0</v>
      </c>
      <c r="I17">
        <v>51</v>
      </c>
      <c r="J17">
        <v>286</v>
      </c>
      <c r="K17">
        <v>0</v>
      </c>
    </row>
    <row r="18" spans="1:11" x14ac:dyDescent="0.25">
      <c r="A18">
        <v>16</v>
      </c>
      <c r="B18">
        <v>16</v>
      </c>
      <c r="C18">
        <v>48</v>
      </c>
      <c r="D18">
        <v>2</v>
      </c>
      <c r="E18">
        <v>50</v>
      </c>
      <c r="F18">
        <v>2</v>
      </c>
      <c r="G18">
        <v>98</v>
      </c>
      <c r="H18">
        <v>1</v>
      </c>
      <c r="I18">
        <v>52</v>
      </c>
      <c r="J18">
        <v>490</v>
      </c>
      <c r="K18">
        <v>0</v>
      </c>
    </row>
    <row r="19" spans="1:11" x14ac:dyDescent="0.25">
      <c r="A19">
        <v>17</v>
      </c>
      <c r="B19">
        <v>17</v>
      </c>
      <c r="C19">
        <v>48</v>
      </c>
      <c r="D19">
        <v>1</v>
      </c>
      <c r="E19">
        <v>51</v>
      </c>
      <c r="F19">
        <v>0</v>
      </c>
      <c r="G19">
        <v>100</v>
      </c>
      <c r="H19">
        <v>0</v>
      </c>
      <c r="I19">
        <v>52</v>
      </c>
      <c r="J19">
        <v>498</v>
      </c>
      <c r="K19">
        <v>0</v>
      </c>
    </row>
    <row r="20" spans="1:11" x14ac:dyDescent="0.25">
      <c r="A20">
        <v>18</v>
      </c>
      <c r="B20">
        <v>18</v>
      </c>
      <c r="C20">
        <v>48</v>
      </c>
      <c r="D20">
        <v>1</v>
      </c>
      <c r="E20">
        <v>51</v>
      </c>
      <c r="F20">
        <v>0</v>
      </c>
      <c r="G20">
        <v>100</v>
      </c>
      <c r="H20">
        <v>0</v>
      </c>
      <c r="I20">
        <v>52</v>
      </c>
      <c r="J20">
        <v>500</v>
      </c>
      <c r="K20">
        <v>0</v>
      </c>
    </row>
    <row r="21" spans="1:11" x14ac:dyDescent="0.25">
      <c r="A21">
        <v>19</v>
      </c>
      <c r="B21">
        <v>19</v>
      </c>
      <c r="C21">
        <v>47</v>
      </c>
      <c r="D21">
        <v>2</v>
      </c>
      <c r="E21">
        <v>51</v>
      </c>
      <c r="F21">
        <v>0</v>
      </c>
      <c r="G21">
        <v>100</v>
      </c>
      <c r="H21">
        <v>1</v>
      </c>
      <c r="I21">
        <v>53</v>
      </c>
      <c r="J21">
        <v>498</v>
      </c>
      <c r="K21">
        <v>1</v>
      </c>
    </row>
    <row r="22" spans="1:11" x14ac:dyDescent="0.25">
      <c r="A22">
        <v>20</v>
      </c>
      <c r="B22">
        <v>20</v>
      </c>
      <c r="C22">
        <v>46</v>
      </c>
      <c r="D22">
        <v>3</v>
      </c>
      <c r="E22">
        <v>51</v>
      </c>
      <c r="F22">
        <v>38</v>
      </c>
      <c r="G22">
        <v>62</v>
      </c>
      <c r="H22">
        <v>1</v>
      </c>
      <c r="I22">
        <v>54</v>
      </c>
      <c r="J22">
        <v>308</v>
      </c>
      <c r="K22">
        <v>0</v>
      </c>
    </row>
    <row r="23" spans="1:11" x14ac:dyDescent="0.25">
      <c r="A23">
        <v>21</v>
      </c>
      <c r="B23">
        <v>21</v>
      </c>
      <c r="C23">
        <v>46</v>
      </c>
      <c r="D23">
        <v>3</v>
      </c>
      <c r="E23">
        <v>51</v>
      </c>
      <c r="F23">
        <v>1</v>
      </c>
      <c r="G23">
        <v>99</v>
      </c>
      <c r="H23">
        <v>0</v>
      </c>
      <c r="I23">
        <v>54</v>
      </c>
      <c r="J23">
        <v>494</v>
      </c>
      <c r="K23">
        <v>0</v>
      </c>
    </row>
    <row r="24" spans="1:11" x14ac:dyDescent="0.25">
      <c r="A24">
        <v>22</v>
      </c>
      <c r="B24">
        <v>22</v>
      </c>
      <c r="C24">
        <v>46</v>
      </c>
      <c r="D24">
        <v>2</v>
      </c>
      <c r="E24">
        <v>52</v>
      </c>
      <c r="F24">
        <v>1</v>
      </c>
      <c r="G24">
        <v>99</v>
      </c>
      <c r="H24">
        <v>0</v>
      </c>
      <c r="I24">
        <v>54</v>
      </c>
      <c r="J24">
        <v>490</v>
      </c>
      <c r="K24">
        <v>1</v>
      </c>
    </row>
    <row r="25" spans="1:11" x14ac:dyDescent="0.25">
      <c r="A25">
        <v>23</v>
      </c>
      <c r="B25">
        <v>23</v>
      </c>
      <c r="C25">
        <v>46</v>
      </c>
      <c r="D25">
        <v>2</v>
      </c>
      <c r="E25">
        <v>52</v>
      </c>
      <c r="F25">
        <v>39</v>
      </c>
      <c r="G25">
        <v>61</v>
      </c>
      <c r="H25">
        <v>0</v>
      </c>
      <c r="I25">
        <v>54</v>
      </c>
      <c r="J25">
        <v>304</v>
      </c>
      <c r="K25">
        <v>1</v>
      </c>
    </row>
    <row r="26" spans="1:11" x14ac:dyDescent="0.25">
      <c r="A26">
        <v>24</v>
      </c>
      <c r="B26">
        <v>24</v>
      </c>
      <c r="C26">
        <v>46</v>
      </c>
      <c r="D26">
        <v>2</v>
      </c>
      <c r="E26">
        <v>52</v>
      </c>
      <c r="F26">
        <v>38</v>
      </c>
      <c r="G26">
        <v>62</v>
      </c>
      <c r="H26">
        <v>0</v>
      </c>
      <c r="I26">
        <v>54</v>
      </c>
      <c r="J26">
        <v>308</v>
      </c>
      <c r="K26">
        <v>0</v>
      </c>
    </row>
    <row r="27" spans="1:11" x14ac:dyDescent="0.25">
      <c r="A27">
        <v>25</v>
      </c>
      <c r="B27">
        <v>25</v>
      </c>
      <c r="C27">
        <v>46</v>
      </c>
      <c r="D27">
        <v>1</v>
      </c>
      <c r="E27">
        <v>53</v>
      </c>
      <c r="F27">
        <v>2</v>
      </c>
      <c r="G27">
        <v>98</v>
      </c>
      <c r="H27">
        <v>0</v>
      </c>
      <c r="I27">
        <v>54</v>
      </c>
      <c r="J27">
        <v>488</v>
      </c>
      <c r="K27">
        <v>0</v>
      </c>
    </row>
    <row r="28" spans="1:11" x14ac:dyDescent="0.25">
      <c r="A28">
        <v>26</v>
      </c>
      <c r="B28">
        <v>26</v>
      </c>
      <c r="C28">
        <v>46</v>
      </c>
      <c r="D28">
        <v>0</v>
      </c>
      <c r="E28">
        <v>54</v>
      </c>
      <c r="F28">
        <v>1</v>
      </c>
      <c r="G28">
        <v>99</v>
      </c>
      <c r="H28">
        <v>0</v>
      </c>
      <c r="I28">
        <v>54</v>
      </c>
      <c r="J28">
        <v>494</v>
      </c>
      <c r="K2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0721-221D-4427-AADA-9A697803F8B0}">
  <dimension ref="A1:K51"/>
  <sheetViews>
    <sheetView workbookViewId="0">
      <selection activeCell="K3" sqref="K3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98</v>
      </c>
      <c r="D3">
        <v>2</v>
      </c>
      <c r="E3">
        <v>0</v>
      </c>
      <c r="F3">
        <v>0</v>
      </c>
      <c r="G3">
        <v>100</v>
      </c>
      <c r="H3">
        <v>0</v>
      </c>
      <c r="I3">
        <v>2</v>
      </c>
      <c r="J3">
        <v>498</v>
      </c>
      <c r="K3">
        <v>0</v>
      </c>
    </row>
    <row r="4" spans="1:11" x14ac:dyDescent="0.25">
      <c r="A4">
        <v>2</v>
      </c>
      <c r="B4">
        <v>2</v>
      </c>
      <c r="C4">
        <v>97</v>
      </c>
      <c r="D4">
        <v>3</v>
      </c>
      <c r="E4">
        <v>0</v>
      </c>
      <c r="F4">
        <v>1</v>
      </c>
      <c r="G4">
        <v>99</v>
      </c>
      <c r="H4">
        <v>1</v>
      </c>
      <c r="I4">
        <v>3</v>
      </c>
      <c r="J4">
        <v>494</v>
      </c>
      <c r="K4">
        <v>0</v>
      </c>
    </row>
    <row r="5" spans="1:11" x14ac:dyDescent="0.25">
      <c r="A5">
        <v>3</v>
      </c>
      <c r="B5">
        <v>3</v>
      </c>
      <c r="C5">
        <v>93</v>
      </c>
      <c r="D5">
        <v>7</v>
      </c>
      <c r="E5">
        <v>0</v>
      </c>
      <c r="F5">
        <v>0</v>
      </c>
      <c r="G5">
        <v>100</v>
      </c>
      <c r="H5">
        <v>4</v>
      </c>
      <c r="I5">
        <v>7</v>
      </c>
      <c r="J5">
        <v>498</v>
      </c>
      <c r="K5">
        <v>2</v>
      </c>
    </row>
    <row r="6" spans="1:11" x14ac:dyDescent="0.25">
      <c r="A6">
        <v>4</v>
      </c>
      <c r="B6">
        <v>4</v>
      </c>
      <c r="C6">
        <v>89</v>
      </c>
      <c r="D6">
        <v>11</v>
      </c>
      <c r="E6">
        <v>0</v>
      </c>
      <c r="F6">
        <v>81</v>
      </c>
      <c r="G6">
        <v>19</v>
      </c>
      <c r="H6">
        <v>4</v>
      </c>
      <c r="I6">
        <v>11</v>
      </c>
      <c r="J6">
        <v>92</v>
      </c>
      <c r="K6">
        <v>0</v>
      </c>
    </row>
    <row r="7" spans="1:11" x14ac:dyDescent="0.25">
      <c r="A7">
        <v>5</v>
      </c>
      <c r="B7">
        <v>5</v>
      </c>
      <c r="C7">
        <v>80</v>
      </c>
      <c r="D7">
        <v>20</v>
      </c>
      <c r="E7">
        <v>0</v>
      </c>
      <c r="F7">
        <v>2</v>
      </c>
      <c r="G7">
        <v>98</v>
      </c>
      <c r="H7">
        <v>9</v>
      </c>
      <c r="I7">
        <v>20</v>
      </c>
      <c r="J7">
        <v>490</v>
      </c>
      <c r="K7">
        <v>1</v>
      </c>
    </row>
    <row r="8" spans="1:11" x14ac:dyDescent="0.25">
      <c r="A8">
        <v>6</v>
      </c>
      <c r="B8">
        <v>6</v>
      </c>
      <c r="C8">
        <v>75</v>
      </c>
      <c r="D8">
        <v>23</v>
      </c>
      <c r="E8">
        <v>2</v>
      </c>
      <c r="F8">
        <v>77</v>
      </c>
      <c r="G8">
        <v>23</v>
      </c>
      <c r="H8">
        <v>5</v>
      </c>
      <c r="I8">
        <v>25</v>
      </c>
      <c r="J8">
        <v>114</v>
      </c>
      <c r="K8">
        <v>4</v>
      </c>
    </row>
    <row r="9" spans="1:11" x14ac:dyDescent="0.25">
      <c r="A9">
        <v>7</v>
      </c>
      <c r="B9">
        <v>7</v>
      </c>
      <c r="C9">
        <v>72</v>
      </c>
      <c r="D9">
        <v>26</v>
      </c>
      <c r="E9">
        <v>2</v>
      </c>
      <c r="F9">
        <v>86</v>
      </c>
      <c r="G9">
        <v>14</v>
      </c>
      <c r="H9">
        <v>3</v>
      </c>
      <c r="I9">
        <v>28</v>
      </c>
      <c r="J9">
        <v>70</v>
      </c>
      <c r="K9">
        <v>4</v>
      </c>
    </row>
    <row r="10" spans="1:11" x14ac:dyDescent="0.25">
      <c r="A10">
        <v>8</v>
      </c>
      <c r="B10">
        <v>8</v>
      </c>
      <c r="C10">
        <v>69</v>
      </c>
      <c r="D10">
        <v>28</v>
      </c>
      <c r="E10">
        <v>3</v>
      </c>
      <c r="F10">
        <v>85</v>
      </c>
      <c r="G10">
        <v>15</v>
      </c>
      <c r="H10">
        <v>3</v>
      </c>
      <c r="I10">
        <v>31</v>
      </c>
      <c r="J10">
        <v>74</v>
      </c>
      <c r="K10">
        <v>9</v>
      </c>
    </row>
    <row r="11" spans="1:11" x14ac:dyDescent="0.25">
      <c r="A11">
        <v>9</v>
      </c>
      <c r="B11">
        <v>9</v>
      </c>
      <c r="C11">
        <v>68</v>
      </c>
      <c r="D11">
        <v>25</v>
      </c>
      <c r="E11">
        <v>7</v>
      </c>
      <c r="F11">
        <v>90</v>
      </c>
      <c r="G11">
        <v>10</v>
      </c>
      <c r="H11">
        <v>1</v>
      </c>
      <c r="I11">
        <v>32</v>
      </c>
      <c r="J11">
        <v>48</v>
      </c>
      <c r="K11">
        <v>5</v>
      </c>
    </row>
    <row r="12" spans="1:11" x14ac:dyDescent="0.25">
      <c r="A12">
        <v>10</v>
      </c>
      <c r="B12">
        <v>10</v>
      </c>
      <c r="C12">
        <v>66</v>
      </c>
      <c r="D12">
        <v>23</v>
      </c>
      <c r="E12">
        <v>11</v>
      </c>
      <c r="F12">
        <v>87</v>
      </c>
      <c r="G12">
        <v>13</v>
      </c>
      <c r="H12">
        <v>2</v>
      </c>
      <c r="I12">
        <v>34</v>
      </c>
      <c r="J12">
        <v>62</v>
      </c>
      <c r="K12">
        <v>3</v>
      </c>
    </row>
    <row r="13" spans="1:11" x14ac:dyDescent="0.25">
      <c r="A13">
        <v>11</v>
      </c>
      <c r="B13">
        <v>11</v>
      </c>
      <c r="C13">
        <v>65</v>
      </c>
      <c r="D13">
        <v>15</v>
      </c>
      <c r="E13">
        <v>20</v>
      </c>
      <c r="F13">
        <v>86</v>
      </c>
      <c r="G13">
        <v>14</v>
      </c>
      <c r="H13">
        <v>1</v>
      </c>
      <c r="I13">
        <v>35</v>
      </c>
      <c r="J13">
        <v>68</v>
      </c>
      <c r="K13">
        <v>3</v>
      </c>
    </row>
    <row r="14" spans="1:11" x14ac:dyDescent="0.25">
      <c r="A14">
        <v>12</v>
      </c>
      <c r="B14">
        <v>12</v>
      </c>
      <c r="C14">
        <v>65</v>
      </c>
      <c r="D14">
        <v>10</v>
      </c>
      <c r="E14">
        <v>25</v>
      </c>
      <c r="F14">
        <v>86</v>
      </c>
      <c r="G14">
        <v>14</v>
      </c>
      <c r="H14">
        <v>0</v>
      </c>
      <c r="I14">
        <v>35</v>
      </c>
      <c r="J14">
        <v>68</v>
      </c>
      <c r="K14">
        <v>1</v>
      </c>
    </row>
    <row r="15" spans="1:11" x14ac:dyDescent="0.25">
      <c r="A15">
        <v>13</v>
      </c>
      <c r="B15">
        <v>13</v>
      </c>
      <c r="C15">
        <v>65</v>
      </c>
      <c r="D15">
        <v>7</v>
      </c>
      <c r="E15">
        <v>28</v>
      </c>
      <c r="F15">
        <v>80</v>
      </c>
      <c r="G15">
        <v>20</v>
      </c>
      <c r="H15">
        <v>0</v>
      </c>
      <c r="I15">
        <v>35</v>
      </c>
      <c r="J15">
        <v>98</v>
      </c>
      <c r="K15">
        <v>2</v>
      </c>
    </row>
    <row r="16" spans="1:11" x14ac:dyDescent="0.25">
      <c r="A16">
        <v>14</v>
      </c>
      <c r="B16">
        <v>14</v>
      </c>
      <c r="C16">
        <v>65</v>
      </c>
      <c r="D16">
        <v>4</v>
      </c>
      <c r="E16">
        <v>31</v>
      </c>
      <c r="F16">
        <v>87</v>
      </c>
      <c r="G16">
        <v>13</v>
      </c>
      <c r="H16">
        <v>0</v>
      </c>
      <c r="I16">
        <v>35</v>
      </c>
      <c r="J16">
        <v>60</v>
      </c>
      <c r="K16">
        <v>1</v>
      </c>
    </row>
    <row r="17" spans="1:11" x14ac:dyDescent="0.25">
      <c r="A17">
        <v>15</v>
      </c>
      <c r="B17">
        <v>15</v>
      </c>
      <c r="C17">
        <v>65</v>
      </c>
      <c r="D17">
        <v>3</v>
      </c>
      <c r="E17">
        <v>32</v>
      </c>
      <c r="F17">
        <v>75</v>
      </c>
      <c r="G17">
        <v>25</v>
      </c>
      <c r="H17">
        <v>0</v>
      </c>
      <c r="I17">
        <v>35</v>
      </c>
      <c r="J17">
        <v>124</v>
      </c>
      <c r="K17">
        <v>0</v>
      </c>
    </row>
    <row r="18" spans="1:11" x14ac:dyDescent="0.25">
      <c r="A18">
        <v>16</v>
      </c>
      <c r="B18">
        <v>16</v>
      </c>
      <c r="C18">
        <v>63</v>
      </c>
      <c r="D18">
        <v>3</v>
      </c>
      <c r="E18">
        <v>34</v>
      </c>
      <c r="F18">
        <v>0</v>
      </c>
      <c r="G18">
        <v>100</v>
      </c>
      <c r="H18">
        <v>2</v>
      </c>
      <c r="I18">
        <v>37</v>
      </c>
      <c r="J18">
        <v>500</v>
      </c>
      <c r="K18">
        <v>0</v>
      </c>
    </row>
    <row r="19" spans="1:11" x14ac:dyDescent="0.25">
      <c r="A19">
        <v>17</v>
      </c>
      <c r="B19">
        <v>17</v>
      </c>
      <c r="C19">
        <v>62</v>
      </c>
      <c r="D19">
        <v>3</v>
      </c>
      <c r="E19">
        <v>35</v>
      </c>
      <c r="F19">
        <v>0</v>
      </c>
      <c r="G19">
        <v>100</v>
      </c>
      <c r="H19">
        <v>1</v>
      </c>
      <c r="I19">
        <v>38</v>
      </c>
      <c r="J19">
        <v>498</v>
      </c>
      <c r="K19">
        <v>0</v>
      </c>
    </row>
    <row r="20" spans="1:11" x14ac:dyDescent="0.25">
      <c r="A20">
        <v>18</v>
      </c>
      <c r="B20">
        <v>18</v>
      </c>
      <c r="C20">
        <v>62</v>
      </c>
      <c r="D20">
        <v>3</v>
      </c>
      <c r="E20">
        <v>35</v>
      </c>
      <c r="F20">
        <v>0</v>
      </c>
      <c r="G20">
        <v>100</v>
      </c>
      <c r="H20">
        <v>0</v>
      </c>
      <c r="I20">
        <v>38</v>
      </c>
      <c r="J20">
        <v>500</v>
      </c>
      <c r="K20">
        <v>0</v>
      </c>
    </row>
    <row r="21" spans="1:11" x14ac:dyDescent="0.25">
      <c r="A21">
        <v>19</v>
      </c>
      <c r="B21">
        <v>19</v>
      </c>
      <c r="C21">
        <v>61</v>
      </c>
      <c r="D21">
        <v>4</v>
      </c>
      <c r="E21">
        <v>35</v>
      </c>
      <c r="F21">
        <v>0</v>
      </c>
      <c r="G21">
        <v>100</v>
      </c>
      <c r="H21">
        <v>1</v>
      </c>
      <c r="I21">
        <v>39</v>
      </c>
      <c r="J21">
        <v>498</v>
      </c>
      <c r="K21">
        <v>2</v>
      </c>
    </row>
    <row r="22" spans="1:11" x14ac:dyDescent="0.25">
      <c r="A22">
        <v>20</v>
      </c>
      <c r="B22">
        <v>20</v>
      </c>
      <c r="C22">
        <v>61</v>
      </c>
      <c r="D22">
        <v>4</v>
      </c>
      <c r="E22">
        <v>35</v>
      </c>
      <c r="F22">
        <v>82</v>
      </c>
      <c r="G22">
        <v>18</v>
      </c>
      <c r="H22">
        <v>0</v>
      </c>
      <c r="I22">
        <v>39</v>
      </c>
      <c r="J22">
        <v>86</v>
      </c>
      <c r="K22">
        <v>1</v>
      </c>
    </row>
    <row r="23" spans="1:11" x14ac:dyDescent="0.25">
      <c r="A23">
        <v>21</v>
      </c>
      <c r="B23">
        <v>21</v>
      </c>
      <c r="C23">
        <v>61</v>
      </c>
      <c r="D23">
        <v>4</v>
      </c>
      <c r="E23">
        <v>35</v>
      </c>
      <c r="F23">
        <v>77</v>
      </c>
      <c r="G23">
        <v>23</v>
      </c>
      <c r="H23">
        <v>0</v>
      </c>
      <c r="I23">
        <v>39</v>
      </c>
      <c r="J23">
        <v>112</v>
      </c>
      <c r="K23">
        <v>0</v>
      </c>
    </row>
    <row r="24" spans="1:11" x14ac:dyDescent="0.25">
      <c r="A24">
        <v>22</v>
      </c>
      <c r="B24">
        <v>22</v>
      </c>
      <c r="C24">
        <v>57</v>
      </c>
      <c r="D24">
        <v>6</v>
      </c>
      <c r="E24">
        <v>37</v>
      </c>
      <c r="F24">
        <v>1</v>
      </c>
      <c r="G24">
        <v>99</v>
      </c>
      <c r="H24">
        <v>4</v>
      </c>
      <c r="I24">
        <v>43</v>
      </c>
      <c r="J24">
        <v>494</v>
      </c>
      <c r="K24">
        <v>1</v>
      </c>
    </row>
    <row r="25" spans="1:11" x14ac:dyDescent="0.25">
      <c r="A25">
        <v>23</v>
      </c>
      <c r="B25">
        <v>23</v>
      </c>
      <c r="C25">
        <v>57</v>
      </c>
      <c r="D25">
        <v>5</v>
      </c>
      <c r="E25">
        <v>38</v>
      </c>
      <c r="F25">
        <v>78</v>
      </c>
      <c r="G25">
        <v>22</v>
      </c>
      <c r="H25">
        <v>0</v>
      </c>
      <c r="I25">
        <v>43</v>
      </c>
      <c r="J25">
        <v>110</v>
      </c>
      <c r="K25">
        <v>0</v>
      </c>
    </row>
    <row r="26" spans="1:11" x14ac:dyDescent="0.25">
      <c r="A26">
        <v>24</v>
      </c>
      <c r="B26">
        <v>24</v>
      </c>
      <c r="C26">
        <v>57</v>
      </c>
      <c r="D26">
        <v>5</v>
      </c>
      <c r="E26">
        <v>38</v>
      </c>
      <c r="F26">
        <v>1</v>
      </c>
      <c r="G26">
        <v>99</v>
      </c>
      <c r="H26">
        <v>0</v>
      </c>
      <c r="I26">
        <v>43</v>
      </c>
      <c r="J26">
        <v>494</v>
      </c>
      <c r="K26">
        <v>0</v>
      </c>
    </row>
    <row r="27" spans="1:11" x14ac:dyDescent="0.25">
      <c r="A27">
        <v>25</v>
      </c>
      <c r="B27">
        <v>25</v>
      </c>
      <c r="C27">
        <v>55</v>
      </c>
      <c r="D27">
        <v>6</v>
      </c>
      <c r="E27">
        <v>39</v>
      </c>
      <c r="F27">
        <v>1</v>
      </c>
      <c r="G27">
        <v>99</v>
      </c>
      <c r="H27">
        <v>2</v>
      </c>
      <c r="I27">
        <v>45</v>
      </c>
      <c r="J27">
        <v>494</v>
      </c>
      <c r="K27">
        <v>4</v>
      </c>
    </row>
    <row r="28" spans="1:11" x14ac:dyDescent="0.25">
      <c r="A28">
        <v>26</v>
      </c>
      <c r="B28">
        <v>26</v>
      </c>
      <c r="C28">
        <v>55</v>
      </c>
      <c r="D28">
        <v>6</v>
      </c>
      <c r="E28">
        <v>39</v>
      </c>
      <c r="F28">
        <v>84</v>
      </c>
      <c r="G28">
        <v>16</v>
      </c>
      <c r="H28">
        <v>0</v>
      </c>
      <c r="I28">
        <v>45</v>
      </c>
      <c r="J28">
        <v>78</v>
      </c>
      <c r="K28">
        <v>0</v>
      </c>
    </row>
    <row r="29" spans="1:11" x14ac:dyDescent="0.25">
      <c r="A29">
        <v>27</v>
      </c>
      <c r="B29">
        <v>27</v>
      </c>
      <c r="C29">
        <v>55</v>
      </c>
      <c r="D29">
        <v>6</v>
      </c>
      <c r="E29">
        <v>39</v>
      </c>
      <c r="F29">
        <v>5</v>
      </c>
      <c r="G29">
        <v>95</v>
      </c>
      <c r="H29">
        <v>0</v>
      </c>
      <c r="I29">
        <v>45</v>
      </c>
      <c r="J29">
        <v>474</v>
      </c>
      <c r="K29">
        <v>0</v>
      </c>
    </row>
    <row r="30" spans="1:11" x14ac:dyDescent="0.25">
      <c r="A30">
        <v>28</v>
      </c>
      <c r="B30">
        <v>28</v>
      </c>
      <c r="C30">
        <v>50</v>
      </c>
      <c r="D30">
        <v>7</v>
      </c>
      <c r="E30">
        <v>43</v>
      </c>
      <c r="F30">
        <v>1</v>
      </c>
      <c r="G30">
        <v>99</v>
      </c>
      <c r="H30">
        <v>5</v>
      </c>
      <c r="I30">
        <v>50</v>
      </c>
      <c r="J30">
        <v>494</v>
      </c>
      <c r="K30">
        <v>2</v>
      </c>
    </row>
    <row r="31" spans="1:11" x14ac:dyDescent="0.25">
      <c r="A31">
        <v>29</v>
      </c>
      <c r="B31">
        <v>29</v>
      </c>
      <c r="C31">
        <v>50</v>
      </c>
      <c r="D31">
        <v>7</v>
      </c>
      <c r="E31">
        <v>43</v>
      </c>
      <c r="F31">
        <v>83</v>
      </c>
      <c r="G31">
        <v>17</v>
      </c>
      <c r="H31">
        <v>0</v>
      </c>
      <c r="I31">
        <v>50</v>
      </c>
      <c r="J31">
        <v>82</v>
      </c>
      <c r="K31">
        <v>0</v>
      </c>
    </row>
    <row r="32" spans="1:11" x14ac:dyDescent="0.25">
      <c r="A32">
        <v>30</v>
      </c>
      <c r="B32">
        <v>30</v>
      </c>
      <c r="C32">
        <v>46</v>
      </c>
      <c r="D32">
        <v>11</v>
      </c>
      <c r="E32">
        <v>43</v>
      </c>
      <c r="F32">
        <v>2</v>
      </c>
      <c r="G32">
        <v>98</v>
      </c>
      <c r="H32">
        <v>4</v>
      </c>
      <c r="I32">
        <v>54</v>
      </c>
      <c r="J32">
        <v>490</v>
      </c>
      <c r="K32">
        <v>0</v>
      </c>
    </row>
    <row r="33" spans="1:11" x14ac:dyDescent="0.25">
      <c r="A33">
        <v>31</v>
      </c>
      <c r="B33">
        <v>31</v>
      </c>
      <c r="C33">
        <v>40</v>
      </c>
      <c r="D33">
        <v>15</v>
      </c>
      <c r="E33">
        <v>45</v>
      </c>
      <c r="F33">
        <v>0</v>
      </c>
      <c r="G33">
        <v>100</v>
      </c>
      <c r="H33">
        <v>6</v>
      </c>
      <c r="I33">
        <v>60</v>
      </c>
      <c r="J33">
        <v>500</v>
      </c>
      <c r="K33">
        <v>5</v>
      </c>
    </row>
    <row r="34" spans="1:11" x14ac:dyDescent="0.25">
      <c r="A34">
        <v>32</v>
      </c>
      <c r="B34">
        <v>32</v>
      </c>
      <c r="C34">
        <v>40</v>
      </c>
      <c r="D34">
        <v>15</v>
      </c>
      <c r="E34">
        <v>45</v>
      </c>
      <c r="F34">
        <v>82</v>
      </c>
      <c r="G34">
        <v>18</v>
      </c>
      <c r="H34">
        <v>0</v>
      </c>
      <c r="I34">
        <v>60</v>
      </c>
      <c r="J34">
        <v>86</v>
      </c>
      <c r="K34">
        <v>0</v>
      </c>
    </row>
    <row r="35" spans="1:11" x14ac:dyDescent="0.25">
      <c r="A35">
        <v>33</v>
      </c>
      <c r="B35">
        <v>33</v>
      </c>
      <c r="C35">
        <v>39</v>
      </c>
      <c r="D35">
        <v>16</v>
      </c>
      <c r="E35">
        <v>45</v>
      </c>
      <c r="F35">
        <v>3</v>
      </c>
      <c r="G35">
        <v>97</v>
      </c>
      <c r="H35">
        <v>1</v>
      </c>
      <c r="I35">
        <v>61</v>
      </c>
      <c r="J35">
        <v>484</v>
      </c>
      <c r="K35">
        <v>4</v>
      </c>
    </row>
    <row r="36" spans="1:11" x14ac:dyDescent="0.25">
      <c r="A36">
        <v>34</v>
      </c>
      <c r="B36">
        <v>34</v>
      </c>
      <c r="C36">
        <v>39</v>
      </c>
      <c r="D36">
        <v>11</v>
      </c>
      <c r="E36">
        <v>50</v>
      </c>
      <c r="F36">
        <v>85</v>
      </c>
      <c r="G36">
        <v>15</v>
      </c>
      <c r="H36">
        <v>0</v>
      </c>
      <c r="I36">
        <v>61</v>
      </c>
      <c r="J36">
        <v>72</v>
      </c>
      <c r="K36">
        <v>6</v>
      </c>
    </row>
    <row r="37" spans="1:11" x14ac:dyDescent="0.25">
      <c r="A37">
        <v>35</v>
      </c>
      <c r="B37">
        <v>35</v>
      </c>
      <c r="C37">
        <v>39</v>
      </c>
      <c r="D37">
        <v>11</v>
      </c>
      <c r="E37">
        <v>50</v>
      </c>
      <c r="F37">
        <v>81</v>
      </c>
      <c r="G37">
        <v>19</v>
      </c>
      <c r="H37">
        <v>0</v>
      </c>
      <c r="I37">
        <v>61</v>
      </c>
      <c r="J37">
        <v>92</v>
      </c>
      <c r="K37">
        <v>0</v>
      </c>
    </row>
    <row r="38" spans="1:11" x14ac:dyDescent="0.25">
      <c r="A38">
        <v>36</v>
      </c>
      <c r="B38">
        <v>36</v>
      </c>
      <c r="C38">
        <v>33</v>
      </c>
      <c r="D38">
        <v>13</v>
      </c>
      <c r="E38">
        <v>54</v>
      </c>
      <c r="F38">
        <v>7</v>
      </c>
      <c r="G38">
        <v>93</v>
      </c>
      <c r="H38">
        <v>6</v>
      </c>
      <c r="I38">
        <v>67</v>
      </c>
      <c r="J38">
        <v>462</v>
      </c>
      <c r="K38">
        <v>1</v>
      </c>
    </row>
    <row r="39" spans="1:11" x14ac:dyDescent="0.25">
      <c r="A39">
        <v>37</v>
      </c>
      <c r="B39">
        <v>37</v>
      </c>
      <c r="C39">
        <v>33</v>
      </c>
      <c r="D39">
        <v>7</v>
      </c>
      <c r="E39">
        <v>60</v>
      </c>
      <c r="F39">
        <v>74</v>
      </c>
      <c r="G39">
        <v>26</v>
      </c>
      <c r="H39">
        <v>0</v>
      </c>
      <c r="I39">
        <v>67</v>
      </c>
      <c r="J39">
        <v>128</v>
      </c>
      <c r="K39">
        <v>0</v>
      </c>
    </row>
    <row r="40" spans="1:11" x14ac:dyDescent="0.25">
      <c r="A40">
        <v>38</v>
      </c>
      <c r="B40">
        <v>38</v>
      </c>
      <c r="C40">
        <v>31</v>
      </c>
      <c r="D40">
        <v>9</v>
      </c>
      <c r="E40">
        <v>60</v>
      </c>
      <c r="F40">
        <v>1</v>
      </c>
      <c r="G40">
        <v>99</v>
      </c>
      <c r="H40">
        <v>2</v>
      </c>
      <c r="I40">
        <v>69</v>
      </c>
      <c r="J40">
        <v>492</v>
      </c>
      <c r="K40">
        <v>0</v>
      </c>
    </row>
    <row r="41" spans="1:11" x14ac:dyDescent="0.25">
      <c r="A41">
        <v>39</v>
      </c>
      <c r="B41">
        <v>39</v>
      </c>
      <c r="C41">
        <v>28</v>
      </c>
      <c r="D41">
        <v>11</v>
      </c>
      <c r="E41">
        <v>61</v>
      </c>
      <c r="F41">
        <v>1</v>
      </c>
      <c r="G41">
        <v>99</v>
      </c>
      <c r="H41">
        <v>3</v>
      </c>
      <c r="I41">
        <v>72</v>
      </c>
      <c r="J41">
        <v>494</v>
      </c>
      <c r="K41">
        <v>6</v>
      </c>
    </row>
    <row r="42" spans="1:11" x14ac:dyDescent="0.25">
      <c r="A42">
        <v>40</v>
      </c>
      <c r="B42">
        <v>40</v>
      </c>
      <c r="C42">
        <v>28</v>
      </c>
      <c r="D42">
        <v>11</v>
      </c>
      <c r="E42">
        <v>61</v>
      </c>
      <c r="F42">
        <v>83</v>
      </c>
      <c r="G42">
        <v>17</v>
      </c>
      <c r="H42">
        <v>0</v>
      </c>
      <c r="I42">
        <v>72</v>
      </c>
      <c r="J42">
        <v>84</v>
      </c>
      <c r="K42">
        <v>0</v>
      </c>
    </row>
    <row r="43" spans="1:11" x14ac:dyDescent="0.25">
      <c r="A43">
        <v>41</v>
      </c>
      <c r="B43">
        <v>41</v>
      </c>
      <c r="C43">
        <v>26</v>
      </c>
      <c r="D43">
        <v>13</v>
      </c>
      <c r="E43">
        <v>61</v>
      </c>
      <c r="F43">
        <v>5</v>
      </c>
      <c r="G43">
        <v>95</v>
      </c>
      <c r="H43">
        <v>2</v>
      </c>
      <c r="I43">
        <v>74</v>
      </c>
      <c r="J43">
        <v>472</v>
      </c>
      <c r="K43">
        <v>2</v>
      </c>
    </row>
    <row r="44" spans="1:11" x14ac:dyDescent="0.25">
      <c r="A44">
        <v>42</v>
      </c>
      <c r="B44">
        <v>42</v>
      </c>
      <c r="C44">
        <v>26</v>
      </c>
      <c r="D44">
        <v>7</v>
      </c>
      <c r="E44">
        <v>67</v>
      </c>
      <c r="F44">
        <v>83</v>
      </c>
      <c r="G44">
        <v>17</v>
      </c>
      <c r="H44">
        <v>0</v>
      </c>
      <c r="I44">
        <v>74</v>
      </c>
      <c r="J44">
        <v>82</v>
      </c>
      <c r="K44">
        <v>3</v>
      </c>
    </row>
    <row r="45" spans="1:11" x14ac:dyDescent="0.25">
      <c r="A45">
        <v>43</v>
      </c>
      <c r="B45">
        <v>43</v>
      </c>
      <c r="C45">
        <v>26</v>
      </c>
      <c r="D45">
        <v>7</v>
      </c>
      <c r="E45">
        <v>67</v>
      </c>
      <c r="F45">
        <v>83</v>
      </c>
      <c r="G45">
        <v>17</v>
      </c>
      <c r="H45">
        <v>0</v>
      </c>
      <c r="I45">
        <v>74</v>
      </c>
      <c r="J45">
        <v>80</v>
      </c>
      <c r="K45">
        <v>0</v>
      </c>
    </row>
    <row r="46" spans="1:11" x14ac:dyDescent="0.25">
      <c r="A46">
        <v>44</v>
      </c>
      <c r="B46">
        <v>44</v>
      </c>
      <c r="C46">
        <v>25</v>
      </c>
      <c r="D46">
        <v>6</v>
      </c>
      <c r="E46">
        <v>69</v>
      </c>
      <c r="F46">
        <v>2</v>
      </c>
      <c r="G46">
        <v>98</v>
      </c>
      <c r="H46">
        <v>1</v>
      </c>
      <c r="I46">
        <v>75</v>
      </c>
      <c r="J46">
        <v>488</v>
      </c>
      <c r="K46">
        <v>2</v>
      </c>
    </row>
    <row r="47" spans="1:11" x14ac:dyDescent="0.25">
      <c r="A47">
        <v>45</v>
      </c>
      <c r="B47">
        <v>45</v>
      </c>
      <c r="C47">
        <v>25</v>
      </c>
      <c r="D47">
        <v>3</v>
      </c>
      <c r="E47">
        <v>72</v>
      </c>
      <c r="F47">
        <v>83</v>
      </c>
      <c r="G47">
        <v>17</v>
      </c>
      <c r="H47">
        <v>0</v>
      </c>
      <c r="I47">
        <v>75</v>
      </c>
      <c r="J47">
        <v>84</v>
      </c>
      <c r="K47">
        <v>0</v>
      </c>
    </row>
    <row r="48" spans="1:11" x14ac:dyDescent="0.25">
      <c r="A48">
        <v>46</v>
      </c>
      <c r="B48">
        <v>46</v>
      </c>
      <c r="C48">
        <v>24</v>
      </c>
      <c r="D48">
        <v>4</v>
      </c>
      <c r="E48">
        <v>72</v>
      </c>
      <c r="F48">
        <v>1</v>
      </c>
      <c r="G48">
        <v>99</v>
      </c>
      <c r="H48">
        <v>1</v>
      </c>
      <c r="I48">
        <v>76</v>
      </c>
      <c r="J48">
        <v>494</v>
      </c>
      <c r="K48">
        <v>0</v>
      </c>
    </row>
    <row r="49" spans="1:11" x14ac:dyDescent="0.25">
      <c r="A49">
        <v>47</v>
      </c>
      <c r="B49">
        <v>47</v>
      </c>
      <c r="C49">
        <v>22</v>
      </c>
      <c r="D49">
        <v>4</v>
      </c>
      <c r="E49">
        <v>74</v>
      </c>
      <c r="F49">
        <v>0</v>
      </c>
      <c r="G49">
        <v>100</v>
      </c>
      <c r="H49">
        <v>2</v>
      </c>
      <c r="I49">
        <v>78</v>
      </c>
      <c r="J49">
        <v>500</v>
      </c>
      <c r="K49">
        <v>1</v>
      </c>
    </row>
    <row r="50" spans="1:11" x14ac:dyDescent="0.25">
      <c r="A50">
        <v>48</v>
      </c>
      <c r="B50">
        <v>48</v>
      </c>
      <c r="C50">
        <v>22</v>
      </c>
      <c r="D50">
        <v>4</v>
      </c>
      <c r="E50">
        <v>74</v>
      </c>
      <c r="F50">
        <v>77</v>
      </c>
      <c r="G50">
        <v>23</v>
      </c>
      <c r="H50">
        <v>0</v>
      </c>
      <c r="I50">
        <v>78</v>
      </c>
      <c r="J50">
        <v>114</v>
      </c>
      <c r="K50">
        <v>0</v>
      </c>
    </row>
    <row r="51" spans="1:11" x14ac:dyDescent="0.25">
      <c r="A51">
        <v>49</v>
      </c>
      <c r="B51">
        <v>49</v>
      </c>
      <c r="C51">
        <v>22</v>
      </c>
      <c r="D51">
        <v>4</v>
      </c>
      <c r="E51">
        <v>74</v>
      </c>
      <c r="F51">
        <v>0</v>
      </c>
      <c r="G51">
        <v>100</v>
      </c>
      <c r="H51">
        <v>0</v>
      </c>
      <c r="I51">
        <v>78</v>
      </c>
      <c r="J51">
        <v>500</v>
      </c>
      <c r="K5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401B-580D-4DD6-9DC7-2DAB401A9939}">
  <dimension ref="A1:K51"/>
  <sheetViews>
    <sheetView topLeftCell="A16" workbookViewId="0">
      <selection activeCell="D51" sqref="D51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98</v>
      </c>
      <c r="D3">
        <v>2</v>
      </c>
      <c r="E3">
        <v>0</v>
      </c>
      <c r="F3">
        <v>0</v>
      </c>
      <c r="G3">
        <v>100</v>
      </c>
      <c r="H3">
        <v>0</v>
      </c>
      <c r="I3">
        <v>2</v>
      </c>
      <c r="J3">
        <v>498</v>
      </c>
      <c r="K3">
        <v>0</v>
      </c>
    </row>
    <row r="4" spans="1:11" x14ac:dyDescent="0.25">
      <c r="A4">
        <v>2</v>
      </c>
      <c r="B4">
        <v>2</v>
      </c>
      <c r="C4">
        <v>95</v>
      </c>
      <c r="D4">
        <v>5</v>
      </c>
      <c r="E4">
        <v>0</v>
      </c>
      <c r="F4">
        <v>0</v>
      </c>
      <c r="G4">
        <v>100</v>
      </c>
      <c r="H4">
        <v>3</v>
      </c>
      <c r="I4">
        <v>5</v>
      </c>
      <c r="J4">
        <v>498</v>
      </c>
      <c r="K4">
        <v>0</v>
      </c>
    </row>
    <row r="5" spans="1:11" x14ac:dyDescent="0.25">
      <c r="A5">
        <v>3</v>
      </c>
      <c r="B5">
        <v>3</v>
      </c>
      <c r="C5">
        <v>90</v>
      </c>
      <c r="D5">
        <v>10</v>
      </c>
      <c r="E5">
        <v>0</v>
      </c>
      <c r="F5">
        <v>0</v>
      </c>
      <c r="G5">
        <v>100</v>
      </c>
      <c r="H5">
        <v>5</v>
      </c>
      <c r="I5">
        <v>10</v>
      </c>
      <c r="J5">
        <v>498</v>
      </c>
      <c r="K5">
        <v>2</v>
      </c>
    </row>
    <row r="6" spans="1:11" x14ac:dyDescent="0.25">
      <c r="A6">
        <v>4</v>
      </c>
      <c r="B6">
        <v>4</v>
      </c>
      <c r="C6">
        <v>87</v>
      </c>
      <c r="D6">
        <v>13</v>
      </c>
      <c r="E6">
        <v>0</v>
      </c>
      <c r="F6">
        <v>89</v>
      </c>
      <c r="G6">
        <v>11</v>
      </c>
      <c r="H6">
        <v>3</v>
      </c>
      <c r="I6">
        <v>13</v>
      </c>
      <c r="J6">
        <v>54</v>
      </c>
      <c r="K6">
        <v>0</v>
      </c>
    </row>
    <row r="7" spans="1:11" x14ac:dyDescent="0.25">
      <c r="A7">
        <v>5</v>
      </c>
      <c r="B7">
        <v>5</v>
      </c>
      <c r="C7">
        <v>78</v>
      </c>
      <c r="D7">
        <v>22</v>
      </c>
      <c r="E7">
        <v>0</v>
      </c>
      <c r="F7">
        <v>2</v>
      </c>
      <c r="G7">
        <v>98</v>
      </c>
      <c r="H7">
        <v>9</v>
      </c>
      <c r="I7">
        <v>22</v>
      </c>
      <c r="J7">
        <v>490</v>
      </c>
      <c r="K7">
        <v>3</v>
      </c>
    </row>
    <row r="8" spans="1:11" x14ac:dyDescent="0.25">
      <c r="A8">
        <v>6</v>
      </c>
      <c r="B8">
        <v>6</v>
      </c>
      <c r="C8">
        <v>74</v>
      </c>
      <c r="D8">
        <v>24</v>
      </c>
      <c r="E8">
        <v>2</v>
      </c>
      <c r="F8">
        <v>80</v>
      </c>
      <c r="G8">
        <v>20</v>
      </c>
      <c r="H8">
        <v>4</v>
      </c>
      <c r="I8">
        <v>26</v>
      </c>
      <c r="J8">
        <v>100</v>
      </c>
      <c r="K8">
        <v>5</v>
      </c>
    </row>
    <row r="9" spans="1:11" x14ac:dyDescent="0.25">
      <c r="A9">
        <v>7</v>
      </c>
      <c r="B9">
        <v>7</v>
      </c>
      <c r="C9">
        <v>71</v>
      </c>
      <c r="D9">
        <v>27</v>
      </c>
      <c r="E9">
        <v>2</v>
      </c>
      <c r="F9">
        <v>87</v>
      </c>
      <c r="G9">
        <v>13</v>
      </c>
      <c r="H9">
        <v>3</v>
      </c>
      <c r="I9">
        <v>29</v>
      </c>
      <c r="J9">
        <v>62</v>
      </c>
      <c r="K9">
        <v>3</v>
      </c>
    </row>
    <row r="10" spans="1:11" x14ac:dyDescent="0.25">
      <c r="A10">
        <v>8</v>
      </c>
      <c r="B10">
        <v>8</v>
      </c>
      <c r="C10">
        <v>66</v>
      </c>
      <c r="D10">
        <v>29</v>
      </c>
      <c r="E10">
        <v>5</v>
      </c>
      <c r="F10">
        <v>86</v>
      </c>
      <c r="G10">
        <v>14</v>
      </c>
      <c r="H10">
        <v>5</v>
      </c>
      <c r="I10">
        <v>34</v>
      </c>
      <c r="J10">
        <v>68</v>
      </c>
      <c r="K10">
        <v>9</v>
      </c>
    </row>
    <row r="11" spans="1:11" x14ac:dyDescent="0.25">
      <c r="A11">
        <v>9</v>
      </c>
      <c r="B11">
        <v>9</v>
      </c>
      <c r="C11">
        <v>62</v>
      </c>
      <c r="D11">
        <v>28</v>
      </c>
      <c r="E11">
        <v>10</v>
      </c>
      <c r="F11">
        <v>86</v>
      </c>
      <c r="G11">
        <v>14</v>
      </c>
      <c r="H11">
        <v>4</v>
      </c>
      <c r="I11">
        <v>38</v>
      </c>
      <c r="J11">
        <v>68</v>
      </c>
      <c r="K11">
        <v>4</v>
      </c>
    </row>
    <row r="12" spans="1:11" x14ac:dyDescent="0.25">
      <c r="A12">
        <v>10</v>
      </c>
      <c r="B12">
        <v>10</v>
      </c>
      <c r="C12">
        <v>61</v>
      </c>
      <c r="D12">
        <v>26</v>
      </c>
      <c r="E12">
        <v>13</v>
      </c>
      <c r="F12">
        <v>82</v>
      </c>
      <c r="G12">
        <v>18</v>
      </c>
      <c r="H12">
        <v>1</v>
      </c>
      <c r="I12">
        <v>39</v>
      </c>
      <c r="J12">
        <v>88</v>
      </c>
      <c r="K12">
        <v>3</v>
      </c>
    </row>
    <row r="13" spans="1:11" x14ac:dyDescent="0.25">
      <c r="A13">
        <v>11</v>
      </c>
      <c r="B13">
        <v>11</v>
      </c>
      <c r="C13">
        <v>61</v>
      </c>
      <c r="D13">
        <v>17</v>
      </c>
      <c r="E13">
        <v>22</v>
      </c>
      <c r="F13">
        <v>90</v>
      </c>
      <c r="G13">
        <v>10</v>
      </c>
      <c r="H13">
        <v>0</v>
      </c>
      <c r="I13">
        <v>39</v>
      </c>
      <c r="J13">
        <v>50</v>
      </c>
      <c r="K13">
        <v>5</v>
      </c>
    </row>
    <row r="14" spans="1:11" x14ac:dyDescent="0.25">
      <c r="A14">
        <v>12</v>
      </c>
      <c r="B14">
        <v>12</v>
      </c>
      <c r="C14">
        <v>61</v>
      </c>
      <c r="D14">
        <v>13</v>
      </c>
      <c r="E14">
        <v>26</v>
      </c>
      <c r="F14">
        <v>86</v>
      </c>
      <c r="G14">
        <v>14</v>
      </c>
      <c r="H14">
        <v>0</v>
      </c>
      <c r="I14">
        <v>39</v>
      </c>
      <c r="J14">
        <v>68</v>
      </c>
      <c r="K14">
        <v>4</v>
      </c>
    </row>
    <row r="15" spans="1:11" x14ac:dyDescent="0.25">
      <c r="A15">
        <v>13</v>
      </c>
      <c r="B15">
        <v>13</v>
      </c>
      <c r="C15">
        <v>61</v>
      </c>
      <c r="D15">
        <v>10</v>
      </c>
      <c r="E15">
        <v>29</v>
      </c>
      <c r="F15">
        <v>87</v>
      </c>
      <c r="G15">
        <v>13</v>
      </c>
      <c r="H15">
        <v>0</v>
      </c>
      <c r="I15">
        <v>39</v>
      </c>
      <c r="J15">
        <v>64</v>
      </c>
      <c r="K15">
        <v>1</v>
      </c>
    </row>
    <row r="16" spans="1:11" x14ac:dyDescent="0.25">
      <c r="A16">
        <v>14</v>
      </c>
      <c r="B16">
        <v>14</v>
      </c>
      <c r="C16">
        <v>61</v>
      </c>
      <c r="D16">
        <v>5</v>
      </c>
      <c r="E16">
        <v>34</v>
      </c>
      <c r="F16">
        <v>77</v>
      </c>
      <c r="G16">
        <v>23</v>
      </c>
      <c r="H16">
        <v>0</v>
      </c>
      <c r="I16">
        <v>39</v>
      </c>
      <c r="J16">
        <v>114</v>
      </c>
      <c r="K16">
        <v>0</v>
      </c>
    </row>
    <row r="17" spans="1:11" x14ac:dyDescent="0.25">
      <c r="A17">
        <v>15</v>
      </c>
      <c r="B17">
        <v>15</v>
      </c>
      <c r="C17">
        <v>58</v>
      </c>
      <c r="D17">
        <v>4</v>
      </c>
      <c r="E17">
        <v>38</v>
      </c>
      <c r="F17">
        <v>0</v>
      </c>
      <c r="G17">
        <v>100</v>
      </c>
      <c r="H17">
        <v>3</v>
      </c>
      <c r="I17">
        <v>42</v>
      </c>
      <c r="J17">
        <v>500</v>
      </c>
      <c r="K17">
        <v>0</v>
      </c>
    </row>
    <row r="18" spans="1:11" x14ac:dyDescent="0.25">
      <c r="A18">
        <v>16</v>
      </c>
      <c r="B18">
        <v>16</v>
      </c>
      <c r="C18">
        <v>57</v>
      </c>
      <c r="D18">
        <v>4</v>
      </c>
      <c r="E18">
        <v>39</v>
      </c>
      <c r="F18">
        <v>0</v>
      </c>
      <c r="G18">
        <v>100</v>
      </c>
      <c r="H18">
        <v>1</v>
      </c>
      <c r="I18">
        <v>43</v>
      </c>
      <c r="J18">
        <v>498</v>
      </c>
      <c r="K18">
        <v>0</v>
      </c>
    </row>
    <row r="19" spans="1:11" x14ac:dyDescent="0.25">
      <c r="A19">
        <v>17</v>
      </c>
      <c r="B19">
        <v>17</v>
      </c>
      <c r="C19">
        <v>57</v>
      </c>
      <c r="D19">
        <v>4</v>
      </c>
      <c r="E19">
        <v>39</v>
      </c>
      <c r="F19">
        <v>0</v>
      </c>
      <c r="G19">
        <v>100</v>
      </c>
      <c r="H19">
        <v>0</v>
      </c>
      <c r="I19">
        <v>43</v>
      </c>
      <c r="J19">
        <v>498</v>
      </c>
      <c r="K19">
        <v>0</v>
      </c>
    </row>
    <row r="20" spans="1:11" x14ac:dyDescent="0.25">
      <c r="A20">
        <v>18</v>
      </c>
      <c r="B20">
        <v>18</v>
      </c>
      <c r="C20">
        <v>55</v>
      </c>
      <c r="D20">
        <v>6</v>
      </c>
      <c r="E20">
        <v>39</v>
      </c>
      <c r="F20">
        <v>0</v>
      </c>
      <c r="G20">
        <v>100</v>
      </c>
      <c r="H20">
        <v>2</v>
      </c>
      <c r="I20">
        <v>45</v>
      </c>
      <c r="J20">
        <v>498</v>
      </c>
      <c r="K20">
        <v>3</v>
      </c>
    </row>
    <row r="21" spans="1:11" x14ac:dyDescent="0.25">
      <c r="A21">
        <v>19</v>
      </c>
      <c r="B21">
        <v>19</v>
      </c>
      <c r="C21">
        <v>55</v>
      </c>
      <c r="D21">
        <v>6</v>
      </c>
      <c r="E21">
        <v>39</v>
      </c>
      <c r="F21">
        <v>80</v>
      </c>
      <c r="G21">
        <v>20</v>
      </c>
      <c r="H21">
        <v>0</v>
      </c>
      <c r="I21">
        <v>45</v>
      </c>
      <c r="J21">
        <v>96</v>
      </c>
      <c r="K21">
        <v>1</v>
      </c>
    </row>
    <row r="22" spans="1:11" x14ac:dyDescent="0.25">
      <c r="A22">
        <v>20</v>
      </c>
      <c r="B22">
        <v>20</v>
      </c>
      <c r="C22">
        <v>55</v>
      </c>
      <c r="D22">
        <v>6</v>
      </c>
      <c r="E22">
        <v>39</v>
      </c>
      <c r="F22">
        <v>70</v>
      </c>
      <c r="G22">
        <v>30</v>
      </c>
      <c r="H22">
        <v>0</v>
      </c>
      <c r="I22">
        <v>45</v>
      </c>
      <c r="J22">
        <v>148</v>
      </c>
      <c r="K22">
        <v>0</v>
      </c>
    </row>
    <row r="23" spans="1:11" x14ac:dyDescent="0.25">
      <c r="A23">
        <v>21</v>
      </c>
      <c r="B23">
        <v>21</v>
      </c>
      <c r="C23">
        <v>53</v>
      </c>
      <c r="D23">
        <v>5</v>
      </c>
      <c r="E23">
        <v>42</v>
      </c>
      <c r="F23">
        <v>1</v>
      </c>
      <c r="G23">
        <v>99</v>
      </c>
      <c r="H23">
        <v>2</v>
      </c>
      <c r="I23">
        <v>47</v>
      </c>
      <c r="J23">
        <v>492</v>
      </c>
      <c r="K23">
        <v>2</v>
      </c>
    </row>
    <row r="24" spans="1:11" x14ac:dyDescent="0.25">
      <c r="A24">
        <v>22</v>
      </c>
      <c r="B24">
        <v>22</v>
      </c>
      <c r="C24">
        <v>53</v>
      </c>
      <c r="D24">
        <v>4</v>
      </c>
      <c r="E24">
        <v>43</v>
      </c>
      <c r="F24">
        <v>87</v>
      </c>
      <c r="G24">
        <v>13</v>
      </c>
      <c r="H24">
        <v>0</v>
      </c>
      <c r="I24">
        <v>47</v>
      </c>
      <c r="J24">
        <v>64</v>
      </c>
      <c r="K24">
        <v>0</v>
      </c>
    </row>
    <row r="25" spans="1:11" x14ac:dyDescent="0.25">
      <c r="A25">
        <v>23</v>
      </c>
      <c r="B25">
        <v>23</v>
      </c>
      <c r="C25">
        <v>53</v>
      </c>
      <c r="D25">
        <v>4</v>
      </c>
      <c r="E25">
        <v>43</v>
      </c>
      <c r="F25">
        <v>2</v>
      </c>
      <c r="G25">
        <v>98</v>
      </c>
      <c r="H25">
        <v>0</v>
      </c>
      <c r="I25">
        <v>47</v>
      </c>
      <c r="J25">
        <v>486</v>
      </c>
      <c r="K25">
        <v>0</v>
      </c>
    </row>
    <row r="26" spans="1:11" x14ac:dyDescent="0.25">
      <c r="A26">
        <v>24</v>
      </c>
      <c r="B26">
        <v>24</v>
      </c>
      <c r="C26">
        <v>52</v>
      </c>
      <c r="D26">
        <v>3</v>
      </c>
      <c r="E26">
        <v>45</v>
      </c>
      <c r="F26">
        <v>0</v>
      </c>
      <c r="G26">
        <v>100</v>
      </c>
      <c r="H26">
        <v>1</v>
      </c>
      <c r="I26">
        <v>48</v>
      </c>
      <c r="J26">
        <v>498</v>
      </c>
      <c r="K26">
        <v>2</v>
      </c>
    </row>
    <row r="27" spans="1:11" x14ac:dyDescent="0.25">
      <c r="A27">
        <v>25</v>
      </c>
      <c r="B27">
        <v>25</v>
      </c>
      <c r="C27">
        <v>52</v>
      </c>
      <c r="D27">
        <v>3</v>
      </c>
      <c r="E27">
        <v>45</v>
      </c>
      <c r="F27">
        <v>90</v>
      </c>
      <c r="G27">
        <v>10</v>
      </c>
      <c r="H27">
        <v>0</v>
      </c>
      <c r="I27">
        <v>48</v>
      </c>
      <c r="J27">
        <v>48</v>
      </c>
      <c r="K27">
        <v>0</v>
      </c>
    </row>
    <row r="28" spans="1:11" x14ac:dyDescent="0.25">
      <c r="A28">
        <v>26</v>
      </c>
      <c r="B28">
        <v>26</v>
      </c>
      <c r="C28">
        <v>51</v>
      </c>
      <c r="D28">
        <v>4</v>
      </c>
      <c r="E28">
        <v>45</v>
      </c>
      <c r="F28">
        <v>2</v>
      </c>
      <c r="G28">
        <v>98</v>
      </c>
      <c r="H28">
        <v>1</v>
      </c>
      <c r="I28">
        <v>49</v>
      </c>
      <c r="J28">
        <v>490</v>
      </c>
      <c r="K28">
        <v>0</v>
      </c>
    </row>
    <row r="29" spans="1:11" x14ac:dyDescent="0.25">
      <c r="A29">
        <v>27</v>
      </c>
      <c r="B29">
        <v>27</v>
      </c>
      <c r="C29">
        <v>49</v>
      </c>
      <c r="D29">
        <v>4</v>
      </c>
      <c r="E29">
        <v>47</v>
      </c>
      <c r="F29">
        <v>0</v>
      </c>
      <c r="G29">
        <v>100</v>
      </c>
      <c r="H29">
        <v>2</v>
      </c>
      <c r="I29">
        <v>51</v>
      </c>
      <c r="J29">
        <v>498</v>
      </c>
      <c r="K29">
        <v>1</v>
      </c>
    </row>
    <row r="30" spans="1:11" x14ac:dyDescent="0.25">
      <c r="A30">
        <v>28</v>
      </c>
      <c r="B30">
        <v>28</v>
      </c>
      <c r="C30">
        <v>49</v>
      </c>
      <c r="D30">
        <v>4</v>
      </c>
      <c r="E30">
        <v>47</v>
      </c>
      <c r="F30">
        <v>68</v>
      </c>
      <c r="G30">
        <v>32</v>
      </c>
      <c r="H30">
        <v>0</v>
      </c>
      <c r="I30">
        <v>51</v>
      </c>
      <c r="J30">
        <v>160</v>
      </c>
      <c r="K30">
        <v>0</v>
      </c>
    </row>
    <row r="31" spans="1:11" x14ac:dyDescent="0.25">
      <c r="A31">
        <v>29</v>
      </c>
      <c r="B31">
        <v>29</v>
      </c>
      <c r="C31">
        <v>48</v>
      </c>
      <c r="D31">
        <v>5</v>
      </c>
      <c r="E31">
        <v>47</v>
      </c>
      <c r="F31">
        <v>0</v>
      </c>
      <c r="G31">
        <v>100</v>
      </c>
      <c r="H31">
        <v>1</v>
      </c>
      <c r="I31">
        <v>52</v>
      </c>
      <c r="J31">
        <v>496</v>
      </c>
      <c r="K31">
        <v>1</v>
      </c>
    </row>
    <row r="32" spans="1:11" x14ac:dyDescent="0.25">
      <c r="A32">
        <v>30</v>
      </c>
      <c r="B32">
        <v>30</v>
      </c>
      <c r="C32">
        <v>48</v>
      </c>
      <c r="D32">
        <v>4</v>
      </c>
      <c r="E32">
        <v>48</v>
      </c>
      <c r="F32">
        <v>68</v>
      </c>
      <c r="G32">
        <v>32</v>
      </c>
      <c r="H32">
        <v>0</v>
      </c>
      <c r="I32">
        <v>52</v>
      </c>
      <c r="J32">
        <v>158</v>
      </c>
      <c r="K32">
        <v>2</v>
      </c>
    </row>
    <row r="33" spans="1:11" x14ac:dyDescent="0.25">
      <c r="A33">
        <v>31</v>
      </c>
      <c r="B33">
        <v>31</v>
      </c>
      <c r="C33">
        <v>48</v>
      </c>
      <c r="D33">
        <v>4</v>
      </c>
      <c r="E33">
        <v>48</v>
      </c>
      <c r="F33">
        <v>87</v>
      </c>
      <c r="G33">
        <v>13</v>
      </c>
      <c r="H33">
        <v>0</v>
      </c>
      <c r="I33">
        <v>52</v>
      </c>
      <c r="J33">
        <v>64</v>
      </c>
      <c r="K33">
        <v>0</v>
      </c>
    </row>
    <row r="34" spans="1:11" x14ac:dyDescent="0.25">
      <c r="A34">
        <v>32</v>
      </c>
      <c r="B34">
        <v>32</v>
      </c>
      <c r="C34">
        <v>47</v>
      </c>
      <c r="D34">
        <v>4</v>
      </c>
      <c r="E34">
        <v>49</v>
      </c>
      <c r="F34">
        <v>2</v>
      </c>
      <c r="G34">
        <v>98</v>
      </c>
      <c r="H34">
        <v>1</v>
      </c>
      <c r="I34">
        <v>53</v>
      </c>
      <c r="J34">
        <v>488</v>
      </c>
      <c r="K34">
        <v>1</v>
      </c>
    </row>
    <row r="35" spans="1:11" x14ac:dyDescent="0.25">
      <c r="A35">
        <v>33</v>
      </c>
      <c r="B35">
        <v>33</v>
      </c>
      <c r="C35">
        <v>47</v>
      </c>
      <c r="D35">
        <v>2</v>
      </c>
      <c r="E35">
        <v>51</v>
      </c>
      <c r="F35">
        <v>72</v>
      </c>
      <c r="G35">
        <v>28</v>
      </c>
      <c r="H35">
        <v>0</v>
      </c>
      <c r="I35">
        <v>53</v>
      </c>
      <c r="J35">
        <v>138</v>
      </c>
      <c r="K35">
        <v>0</v>
      </c>
    </row>
    <row r="36" spans="1:11" x14ac:dyDescent="0.25">
      <c r="A36">
        <v>34</v>
      </c>
      <c r="B36">
        <v>34</v>
      </c>
      <c r="C36">
        <v>47</v>
      </c>
      <c r="D36">
        <v>2</v>
      </c>
      <c r="E36">
        <v>51</v>
      </c>
      <c r="F36">
        <v>1</v>
      </c>
      <c r="G36">
        <v>99</v>
      </c>
      <c r="H36">
        <v>0</v>
      </c>
      <c r="I36">
        <v>53</v>
      </c>
      <c r="J36">
        <v>494</v>
      </c>
      <c r="K36">
        <v>0</v>
      </c>
    </row>
    <row r="37" spans="1:11" x14ac:dyDescent="0.25">
      <c r="A37">
        <v>35</v>
      </c>
      <c r="B37">
        <v>35</v>
      </c>
      <c r="C37">
        <v>45</v>
      </c>
      <c r="D37">
        <v>3</v>
      </c>
      <c r="E37">
        <v>52</v>
      </c>
      <c r="F37">
        <v>0</v>
      </c>
      <c r="G37">
        <v>100</v>
      </c>
      <c r="H37">
        <v>2</v>
      </c>
      <c r="I37">
        <v>55</v>
      </c>
      <c r="J37">
        <v>498</v>
      </c>
      <c r="K37">
        <v>1</v>
      </c>
    </row>
    <row r="38" spans="1:11" x14ac:dyDescent="0.25">
      <c r="A38">
        <v>36</v>
      </c>
      <c r="B38">
        <v>36</v>
      </c>
      <c r="C38">
        <v>45</v>
      </c>
      <c r="D38">
        <v>3</v>
      </c>
      <c r="E38">
        <v>52</v>
      </c>
      <c r="F38">
        <v>70</v>
      </c>
      <c r="G38">
        <v>30</v>
      </c>
      <c r="H38">
        <v>0</v>
      </c>
      <c r="I38">
        <v>55</v>
      </c>
      <c r="J38">
        <v>146</v>
      </c>
      <c r="K38">
        <v>0</v>
      </c>
    </row>
    <row r="39" spans="1:11" x14ac:dyDescent="0.25">
      <c r="A39">
        <v>37</v>
      </c>
      <c r="B39">
        <v>37</v>
      </c>
      <c r="C39">
        <v>45</v>
      </c>
      <c r="D39">
        <v>3</v>
      </c>
      <c r="E39">
        <v>52</v>
      </c>
      <c r="F39">
        <v>1</v>
      </c>
      <c r="G39">
        <v>99</v>
      </c>
      <c r="H39">
        <v>0</v>
      </c>
      <c r="I39">
        <v>55</v>
      </c>
      <c r="J39">
        <v>494</v>
      </c>
      <c r="K39">
        <v>0</v>
      </c>
    </row>
    <row r="40" spans="1:11" x14ac:dyDescent="0.25">
      <c r="A40">
        <v>38</v>
      </c>
      <c r="B40">
        <v>38</v>
      </c>
      <c r="C40">
        <v>44</v>
      </c>
      <c r="D40">
        <v>3</v>
      </c>
      <c r="E40">
        <v>53</v>
      </c>
      <c r="F40">
        <v>0</v>
      </c>
      <c r="G40">
        <v>100</v>
      </c>
      <c r="H40">
        <v>1</v>
      </c>
      <c r="I40">
        <v>56</v>
      </c>
      <c r="J40">
        <v>498</v>
      </c>
      <c r="K40">
        <v>2</v>
      </c>
    </row>
    <row r="41" spans="1:11" x14ac:dyDescent="0.25">
      <c r="A41">
        <v>39</v>
      </c>
      <c r="B41">
        <v>39</v>
      </c>
      <c r="C41">
        <v>44</v>
      </c>
      <c r="D41">
        <v>3</v>
      </c>
      <c r="E41">
        <v>53</v>
      </c>
      <c r="F41">
        <v>89</v>
      </c>
      <c r="G41">
        <v>11</v>
      </c>
      <c r="H41">
        <v>0</v>
      </c>
      <c r="I41">
        <v>56</v>
      </c>
      <c r="J41">
        <v>54</v>
      </c>
      <c r="K41">
        <v>0</v>
      </c>
    </row>
    <row r="42" spans="1:11" x14ac:dyDescent="0.25">
      <c r="A42">
        <v>40</v>
      </c>
      <c r="B42">
        <v>40</v>
      </c>
      <c r="C42">
        <v>42</v>
      </c>
      <c r="D42">
        <v>5</v>
      </c>
      <c r="E42">
        <v>53</v>
      </c>
      <c r="F42">
        <v>1</v>
      </c>
      <c r="G42">
        <v>99</v>
      </c>
      <c r="H42">
        <v>2</v>
      </c>
      <c r="I42">
        <v>58</v>
      </c>
      <c r="J42">
        <v>494</v>
      </c>
      <c r="K42">
        <v>0</v>
      </c>
    </row>
    <row r="43" spans="1:11" x14ac:dyDescent="0.25">
      <c r="A43">
        <v>41</v>
      </c>
      <c r="B43">
        <v>41</v>
      </c>
      <c r="C43">
        <v>39</v>
      </c>
      <c r="D43">
        <v>6</v>
      </c>
      <c r="E43">
        <v>55</v>
      </c>
      <c r="F43">
        <v>0</v>
      </c>
      <c r="G43">
        <v>100</v>
      </c>
      <c r="H43">
        <v>3</v>
      </c>
      <c r="I43">
        <v>61</v>
      </c>
      <c r="J43">
        <v>498</v>
      </c>
      <c r="K43">
        <v>1</v>
      </c>
    </row>
    <row r="44" spans="1:11" x14ac:dyDescent="0.25">
      <c r="A44">
        <v>42</v>
      </c>
      <c r="B44">
        <v>42</v>
      </c>
      <c r="C44">
        <v>39</v>
      </c>
      <c r="D44">
        <v>6</v>
      </c>
      <c r="E44">
        <v>55</v>
      </c>
      <c r="F44">
        <v>72</v>
      </c>
      <c r="G44">
        <v>28</v>
      </c>
      <c r="H44">
        <v>0</v>
      </c>
      <c r="I44">
        <v>61</v>
      </c>
      <c r="J44">
        <v>138</v>
      </c>
      <c r="K44">
        <v>0</v>
      </c>
    </row>
    <row r="45" spans="1:11" x14ac:dyDescent="0.25">
      <c r="A45">
        <v>43</v>
      </c>
      <c r="B45">
        <v>43</v>
      </c>
      <c r="C45">
        <v>38</v>
      </c>
      <c r="D45">
        <v>7</v>
      </c>
      <c r="E45">
        <v>55</v>
      </c>
      <c r="F45">
        <v>1</v>
      </c>
      <c r="G45">
        <v>99</v>
      </c>
      <c r="H45">
        <v>1</v>
      </c>
      <c r="I45">
        <v>62</v>
      </c>
      <c r="J45">
        <v>494</v>
      </c>
      <c r="K45">
        <v>2</v>
      </c>
    </row>
    <row r="46" spans="1:11" x14ac:dyDescent="0.25">
      <c r="A46">
        <v>44</v>
      </c>
      <c r="B46">
        <v>44</v>
      </c>
      <c r="C46">
        <v>38</v>
      </c>
      <c r="D46">
        <v>6</v>
      </c>
      <c r="E46">
        <v>56</v>
      </c>
      <c r="F46">
        <v>88</v>
      </c>
      <c r="G46">
        <v>12</v>
      </c>
      <c r="H46">
        <v>0</v>
      </c>
      <c r="I46">
        <v>62</v>
      </c>
      <c r="J46">
        <v>56</v>
      </c>
      <c r="K46">
        <v>3</v>
      </c>
    </row>
    <row r="47" spans="1:11" x14ac:dyDescent="0.25">
      <c r="A47">
        <v>45</v>
      </c>
      <c r="B47">
        <v>45</v>
      </c>
      <c r="C47">
        <v>38</v>
      </c>
      <c r="D47">
        <v>6</v>
      </c>
      <c r="E47">
        <v>56</v>
      </c>
      <c r="F47">
        <v>82</v>
      </c>
      <c r="G47">
        <v>18</v>
      </c>
      <c r="H47">
        <v>0</v>
      </c>
      <c r="I47">
        <v>62</v>
      </c>
      <c r="J47">
        <v>88</v>
      </c>
      <c r="K47">
        <v>0</v>
      </c>
    </row>
    <row r="48" spans="1:11" x14ac:dyDescent="0.25">
      <c r="A48">
        <v>46</v>
      </c>
      <c r="B48">
        <v>46</v>
      </c>
      <c r="C48">
        <v>36</v>
      </c>
      <c r="D48">
        <v>6</v>
      </c>
      <c r="E48">
        <v>58</v>
      </c>
      <c r="F48">
        <v>1</v>
      </c>
      <c r="G48">
        <v>99</v>
      </c>
      <c r="H48">
        <v>2</v>
      </c>
      <c r="I48">
        <v>64</v>
      </c>
      <c r="J48">
        <v>492</v>
      </c>
      <c r="K48">
        <v>1</v>
      </c>
    </row>
    <row r="49" spans="1:11" x14ac:dyDescent="0.25">
      <c r="A49">
        <v>47</v>
      </c>
      <c r="B49">
        <v>47</v>
      </c>
      <c r="C49">
        <v>36</v>
      </c>
      <c r="D49">
        <v>3</v>
      </c>
      <c r="E49">
        <v>61</v>
      </c>
      <c r="F49">
        <v>72</v>
      </c>
      <c r="G49">
        <v>28</v>
      </c>
      <c r="H49">
        <v>0</v>
      </c>
      <c r="I49">
        <v>64</v>
      </c>
      <c r="J49">
        <v>140</v>
      </c>
      <c r="K49">
        <v>0</v>
      </c>
    </row>
    <row r="50" spans="1:11" x14ac:dyDescent="0.25">
      <c r="A50">
        <v>48</v>
      </c>
      <c r="B50">
        <v>48</v>
      </c>
      <c r="C50">
        <v>32</v>
      </c>
      <c r="D50">
        <v>7</v>
      </c>
      <c r="E50">
        <v>61</v>
      </c>
      <c r="F50">
        <v>0</v>
      </c>
      <c r="G50">
        <v>100</v>
      </c>
      <c r="H50">
        <v>4</v>
      </c>
      <c r="I50">
        <v>68</v>
      </c>
      <c r="J50">
        <v>500</v>
      </c>
      <c r="K50">
        <v>0</v>
      </c>
    </row>
    <row r="51" spans="1:11" x14ac:dyDescent="0.25">
      <c r="A51">
        <v>49</v>
      </c>
      <c r="B51">
        <v>49</v>
      </c>
      <c r="C51">
        <v>30</v>
      </c>
      <c r="D51">
        <v>8</v>
      </c>
      <c r="E51">
        <v>62</v>
      </c>
      <c r="F51">
        <v>0</v>
      </c>
      <c r="G51">
        <v>100</v>
      </c>
      <c r="H51">
        <v>2</v>
      </c>
      <c r="I51">
        <v>70</v>
      </c>
      <c r="J51">
        <v>500</v>
      </c>
      <c r="K51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6046-E062-4F86-94DC-8A809C82EA7A}">
  <dimension ref="A1:K37"/>
  <sheetViews>
    <sheetView workbookViewId="0">
      <selection sqref="A1:XFD1048576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97</v>
      </c>
      <c r="D3">
        <v>3</v>
      </c>
      <c r="E3">
        <v>0</v>
      </c>
      <c r="F3">
        <v>2</v>
      </c>
      <c r="G3">
        <v>98</v>
      </c>
      <c r="H3">
        <v>1</v>
      </c>
      <c r="I3">
        <v>3</v>
      </c>
      <c r="J3">
        <v>488</v>
      </c>
      <c r="K3">
        <v>0</v>
      </c>
    </row>
    <row r="4" spans="1:11" x14ac:dyDescent="0.25">
      <c r="A4">
        <v>2</v>
      </c>
      <c r="B4">
        <v>2</v>
      </c>
      <c r="C4">
        <v>96</v>
      </c>
      <c r="D4">
        <v>4</v>
      </c>
      <c r="E4">
        <v>0</v>
      </c>
      <c r="F4">
        <v>2</v>
      </c>
      <c r="G4">
        <v>98</v>
      </c>
      <c r="H4">
        <v>1</v>
      </c>
      <c r="I4">
        <v>4</v>
      </c>
      <c r="J4">
        <v>490</v>
      </c>
      <c r="K4">
        <v>0</v>
      </c>
    </row>
    <row r="5" spans="1:11" x14ac:dyDescent="0.25">
      <c r="A5">
        <v>3</v>
      </c>
      <c r="B5">
        <v>3</v>
      </c>
      <c r="C5">
        <v>90</v>
      </c>
      <c r="D5">
        <v>10</v>
      </c>
      <c r="E5">
        <v>0</v>
      </c>
      <c r="F5">
        <v>2</v>
      </c>
      <c r="G5">
        <v>98</v>
      </c>
      <c r="H5">
        <v>6</v>
      </c>
      <c r="I5">
        <v>10</v>
      </c>
      <c r="J5">
        <v>488</v>
      </c>
      <c r="K5">
        <v>2</v>
      </c>
    </row>
    <row r="6" spans="1:11" x14ac:dyDescent="0.25">
      <c r="A6">
        <v>4</v>
      </c>
      <c r="B6">
        <v>4</v>
      </c>
      <c r="C6">
        <v>90</v>
      </c>
      <c r="D6">
        <v>10</v>
      </c>
      <c r="E6">
        <v>0</v>
      </c>
      <c r="F6">
        <v>95</v>
      </c>
      <c r="G6">
        <v>5</v>
      </c>
      <c r="H6">
        <v>0</v>
      </c>
      <c r="I6">
        <v>10</v>
      </c>
      <c r="J6">
        <v>20</v>
      </c>
      <c r="K6">
        <v>1</v>
      </c>
    </row>
    <row r="7" spans="1:11" x14ac:dyDescent="0.25">
      <c r="A7">
        <v>5</v>
      </c>
      <c r="B7">
        <v>5</v>
      </c>
      <c r="C7">
        <v>90</v>
      </c>
      <c r="D7">
        <v>10</v>
      </c>
      <c r="E7">
        <v>0</v>
      </c>
      <c r="F7">
        <v>83</v>
      </c>
      <c r="G7">
        <v>17</v>
      </c>
      <c r="H7">
        <v>0</v>
      </c>
      <c r="I7">
        <v>10</v>
      </c>
      <c r="J7">
        <v>82</v>
      </c>
      <c r="K7">
        <v>1</v>
      </c>
    </row>
    <row r="8" spans="1:11" x14ac:dyDescent="0.25">
      <c r="A8">
        <v>6</v>
      </c>
      <c r="B8">
        <v>6</v>
      </c>
      <c r="C8">
        <v>90</v>
      </c>
      <c r="D8">
        <v>8</v>
      </c>
      <c r="E8">
        <v>2</v>
      </c>
      <c r="F8">
        <v>84</v>
      </c>
      <c r="G8">
        <v>16</v>
      </c>
      <c r="H8">
        <v>0</v>
      </c>
      <c r="I8">
        <v>10</v>
      </c>
      <c r="J8">
        <v>78</v>
      </c>
      <c r="K8">
        <v>6</v>
      </c>
    </row>
    <row r="9" spans="1:11" x14ac:dyDescent="0.25">
      <c r="A9">
        <v>7</v>
      </c>
      <c r="B9">
        <v>7</v>
      </c>
      <c r="C9">
        <v>90</v>
      </c>
      <c r="D9">
        <v>7</v>
      </c>
      <c r="E9">
        <v>3</v>
      </c>
      <c r="F9">
        <v>90</v>
      </c>
      <c r="G9">
        <v>10</v>
      </c>
      <c r="H9">
        <v>0</v>
      </c>
      <c r="I9">
        <v>10</v>
      </c>
      <c r="J9">
        <v>48</v>
      </c>
      <c r="K9">
        <v>0</v>
      </c>
    </row>
    <row r="10" spans="1:11" x14ac:dyDescent="0.25">
      <c r="A10">
        <v>8</v>
      </c>
      <c r="B10">
        <v>8</v>
      </c>
      <c r="C10">
        <v>87</v>
      </c>
      <c r="D10">
        <v>9</v>
      </c>
      <c r="E10">
        <v>4</v>
      </c>
      <c r="F10">
        <v>7</v>
      </c>
      <c r="G10">
        <v>93</v>
      </c>
      <c r="H10">
        <v>3</v>
      </c>
      <c r="I10">
        <v>13</v>
      </c>
      <c r="J10">
        <v>464</v>
      </c>
      <c r="K10">
        <v>0</v>
      </c>
    </row>
    <row r="11" spans="1:11" x14ac:dyDescent="0.25">
      <c r="A11">
        <v>9</v>
      </c>
      <c r="B11">
        <v>9</v>
      </c>
      <c r="C11">
        <v>82</v>
      </c>
      <c r="D11">
        <v>8</v>
      </c>
      <c r="E11">
        <v>10</v>
      </c>
      <c r="F11">
        <v>1</v>
      </c>
      <c r="G11">
        <v>99</v>
      </c>
      <c r="H11">
        <v>5</v>
      </c>
      <c r="I11">
        <v>18</v>
      </c>
      <c r="J11">
        <v>494</v>
      </c>
      <c r="K11">
        <v>0</v>
      </c>
    </row>
    <row r="12" spans="1:11" x14ac:dyDescent="0.25">
      <c r="A12">
        <v>10</v>
      </c>
      <c r="B12">
        <v>10</v>
      </c>
      <c r="C12">
        <v>73</v>
      </c>
      <c r="D12">
        <v>17</v>
      </c>
      <c r="E12">
        <v>10</v>
      </c>
      <c r="F12">
        <v>2</v>
      </c>
      <c r="G12">
        <v>98</v>
      </c>
      <c r="H12">
        <v>9</v>
      </c>
      <c r="I12">
        <v>27</v>
      </c>
      <c r="J12">
        <v>490</v>
      </c>
      <c r="K12">
        <v>0</v>
      </c>
    </row>
    <row r="13" spans="1:11" x14ac:dyDescent="0.25">
      <c r="A13">
        <v>11</v>
      </c>
      <c r="B13">
        <v>11</v>
      </c>
      <c r="C13">
        <v>62</v>
      </c>
      <c r="D13">
        <v>28</v>
      </c>
      <c r="E13">
        <v>10</v>
      </c>
      <c r="F13">
        <v>2</v>
      </c>
      <c r="G13">
        <v>98</v>
      </c>
      <c r="H13">
        <v>11</v>
      </c>
      <c r="I13">
        <v>38</v>
      </c>
      <c r="J13">
        <v>486</v>
      </c>
      <c r="K13">
        <v>3</v>
      </c>
    </row>
    <row r="14" spans="1:11" x14ac:dyDescent="0.25">
      <c r="A14">
        <v>12</v>
      </c>
      <c r="B14">
        <v>12</v>
      </c>
      <c r="C14">
        <v>61</v>
      </c>
      <c r="D14">
        <v>29</v>
      </c>
      <c r="E14">
        <v>10</v>
      </c>
      <c r="F14">
        <v>85</v>
      </c>
      <c r="G14">
        <v>15</v>
      </c>
      <c r="H14">
        <v>1</v>
      </c>
      <c r="I14">
        <v>39</v>
      </c>
      <c r="J14">
        <v>72</v>
      </c>
      <c r="K14">
        <v>5</v>
      </c>
    </row>
    <row r="15" spans="1:11" x14ac:dyDescent="0.25">
      <c r="A15">
        <v>13</v>
      </c>
      <c r="B15">
        <v>13</v>
      </c>
      <c r="C15">
        <v>59</v>
      </c>
      <c r="D15">
        <v>31</v>
      </c>
      <c r="E15">
        <v>10</v>
      </c>
      <c r="F15">
        <v>89</v>
      </c>
      <c r="G15">
        <v>11</v>
      </c>
      <c r="H15">
        <v>2</v>
      </c>
      <c r="I15">
        <v>41</v>
      </c>
      <c r="J15">
        <v>52</v>
      </c>
      <c r="K15">
        <v>9</v>
      </c>
    </row>
    <row r="16" spans="1:11" x14ac:dyDescent="0.25">
      <c r="A16">
        <v>14</v>
      </c>
      <c r="B16">
        <v>14</v>
      </c>
      <c r="C16">
        <v>56</v>
      </c>
      <c r="D16">
        <v>31</v>
      </c>
      <c r="E16">
        <v>13</v>
      </c>
      <c r="F16">
        <v>88</v>
      </c>
      <c r="G16">
        <v>12</v>
      </c>
      <c r="H16">
        <v>3</v>
      </c>
      <c r="I16">
        <v>44</v>
      </c>
      <c r="J16">
        <v>58</v>
      </c>
      <c r="K16">
        <v>11</v>
      </c>
    </row>
    <row r="17" spans="1:11" x14ac:dyDescent="0.25">
      <c r="A17">
        <v>15</v>
      </c>
      <c r="B17">
        <v>15</v>
      </c>
      <c r="C17">
        <v>54</v>
      </c>
      <c r="D17">
        <v>28</v>
      </c>
      <c r="E17">
        <v>18</v>
      </c>
      <c r="F17">
        <v>92</v>
      </c>
      <c r="G17">
        <v>8</v>
      </c>
      <c r="H17">
        <v>2</v>
      </c>
      <c r="I17">
        <v>46</v>
      </c>
      <c r="J17">
        <v>38</v>
      </c>
      <c r="K17">
        <v>1</v>
      </c>
    </row>
    <row r="18" spans="1:11" x14ac:dyDescent="0.25">
      <c r="A18">
        <v>16</v>
      </c>
      <c r="B18">
        <v>16</v>
      </c>
      <c r="C18">
        <v>53</v>
      </c>
      <c r="D18">
        <v>20</v>
      </c>
      <c r="E18">
        <v>27</v>
      </c>
      <c r="F18">
        <v>84</v>
      </c>
      <c r="G18">
        <v>16</v>
      </c>
      <c r="H18">
        <v>1</v>
      </c>
      <c r="I18">
        <v>47</v>
      </c>
      <c r="J18">
        <v>78</v>
      </c>
      <c r="K18">
        <v>2</v>
      </c>
    </row>
    <row r="19" spans="1:11" x14ac:dyDescent="0.25">
      <c r="A19">
        <v>17</v>
      </c>
      <c r="B19">
        <v>17</v>
      </c>
      <c r="C19">
        <v>53</v>
      </c>
      <c r="D19">
        <v>9</v>
      </c>
      <c r="E19">
        <v>38</v>
      </c>
      <c r="F19">
        <v>98</v>
      </c>
      <c r="G19">
        <v>2</v>
      </c>
      <c r="H19">
        <v>0</v>
      </c>
      <c r="I19">
        <v>47</v>
      </c>
      <c r="J19">
        <v>2</v>
      </c>
      <c r="K19">
        <v>3</v>
      </c>
    </row>
    <row r="20" spans="1:11" x14ac:dyDescent="0.25">
      <c r="A20">
        <v>18</v>
      </c>
      <c r="B20">
        <v>18</v>
      </c>
      <c r="C20">
        <v>53</v>
      </c>
      <c r="D20">
        <v>8</v>
      </c>
      <c r="E20">
        <v>39</v>
      </c>
      <c r="F20">
        <v>87</v>
      </c>
      <c r="G20">
        <v>13</v>
      </c>
      <c r="H20">
        <v>0</v>
      </c>
      <c r="I20">
        <v>47</v>
      </c>
      <c r="J20">
        <v>62</v>
      </c>
      <c r="K20">
        <v>2</v>
      </c>
    </row>
    <row r="21" spans="1:11" x14ac:dyDescent="0.25">
      <c r="A21">
        <v>19</v>
      </c>
      <c r="B21">
        <v>19</v>
      </c>
      <c r="C21">
        <v>53</v>
      </c>
      <c r="D21">
        <v>6</v>
      </c>
      <c r="E21">
        <v>41</v>
      </c>
      <c r="F21">
        <v>99</v>
      </c>
      <c r="G21">
        <v>1</v>
      </c>
      <c r="H21">
        <v>0</v>
      </c>
      <c r="I21">
        <v>47</v>
      </c>
      <c r="J21">
        <v>0</v>
      </c>
      <c r="K21">
        <v>1</v>
      </c>
    </row>
    <row r="22" spans="1:11" x14ac:dyDescent="0.25">
      <c r="A22">
        <v>20</v>
      </c>
      <c r="B22">
        <v>20</v>
      </c>
      <c r="C22">
        <v>53</v>
      </c>
      <c r="D22">
        <v>3</v>
      </c>
      <c r="E22">
        <v>44</v>
      </c>
      <c r="F22">
        <v>85</v>
      </c>
      <c r="G22">
        <v>15</v>
      </c>
      <c r="H22">
        <v>0</v>
      </c>
      <c r="I22">
        <v>47</v>
      </c>
      <c r="J22">
        <v>74</v>
      </c>
      <c r="K22">
        <v>0</v>
      </c>
    </row>
    <row r="23" spans="1:11" x14ac:dyDescent="0.25">
      <c r="A23">
        <v>21</v>
      </c>
      <c r="B23">
        <v>21</v>
      </c>
      <c r="C23">
        <v>52</v>
      </c>
      <c r="D23">
        <v>2</v>
      </c>
      <c r="E23">
        <v>46</v>
      </c>
      <c r="F23">
        <v>3</v>
      </c>
      <c r="G23">
        <v>97</v>
      </c>
      <c r="H23">
        <v>1</v>
      </c>
      <c r="I23">
        <v>48</v>
      </c>
      <c r="J23">
        <v>484</v>
      </c>
      <c r="K23">
        <v>0</v>
      </c>
    </row>
    <row r="24" spans="1:11" x14ac:dyDescent="0.25">
      <c r="A24">
        <v>22</v>
      </c>
      <c r="B24">
        <v>22</v>
      </c>
      <c r="C24">
        <v>52</v>
      </c>
      <c r="D24">
        <v>1</v>
      </c>
      <c r="E24">
        <v>47</v>
      </c>
      <c r="F24">
        <v>2</v>
      </c>
      <c r="G24">
        <v>98</v>
      </c>
      <c r="H24">
        <v>0</v>
      </c>
      <c r="I24">
        <v>48</v>
      </c>
      <c r="J24">
        <v>488</v>
      </c>
      <c r="K24">
        <v>0</v>
      </c>
    </row>
    <row r="25" spans="1:11" x14ac:dyDescent="0.25">
      <c r="A25">
        <v>23</v>
      </c>
      <c r="B25">
        <v>23</v>
      </c>
      <c r="C25">
        <v>52</v>
      </c>
      <c r="D25">
        <v>1</v>
      </c>
      <c r="E25">
        <v>47</v>
      </c>
      <c r="F25">
        <v>2</v>
      </c>
      <c r="G25">
        <v>98</v>
      </c>
      <c r="H25">
        <v>0</v>
      </c>
      <c r="I25">
        <v>48</v>
      </c>
      <c r="J25">
        <v>488</v>
      </c>
      <c r="K25">
        <v>0</v>
      </c>
    </row>
    <row r="26" spans="1:11" x14ac:dyDescent="0.25">
      <c r="A26">
        <v>24</v>
      </c>
      <c r="B26">
        <v>24</v>
      </c>
      <c r="C26">
        <v>52</v>
      </c>
      <c r="D26">
        <v>1</v>
      </c>
      <c r="E26">
        <v>47</v>
      </c>
      <c r="F26">
        <v>2</v>
      </c>
      <c r="G26">
        <v>98</v>
      </c>
      <c r="H26">
        <v>0</v>
      </c>
      <c r="I26">
        <v>48</v>
      </c>
      <c r="J26">
        <v>490</v>
      </c>
      <c r="K26">
        <v>1</v>
      </c>
    </row>
    <row r="27" spans="1:11" x14ac:dyDescent="0.25">
      <c r="A27">
        <v>25</v>
      </c>
      <c r="B27">
        <v>25</v>
      </c>
      <c r="C27">
        <v>52</v>
      </c>
      <c r="D27">
        <v>1</v>
      </c>
      <c r="E27">
        <v>47</v>
      </c>
      <c r="F27">
        <v>83</v>
      </c>
      <c r="G27">
        <v>17</v>
      </c>
      <c r="H27">
        <v>0</v>
      </c>
      <c r="I27">
        <v>48</v>
      </c>
      <c r="J27">
        <v>84</v>
      </c>
      <c r="K27">
        <v>0</v>
      </c>
    </row>
    <row r="28" spans="1:11" x14ac:dyDescent="0.25">
      <c r="A28">
        <v>26</v>
      </c>
      <c r="B28">
        <v>26</v>
      </c>
      <c r="C28">
        <v>51</v>
      </c>
      <c r="D28">
        <v>2</v>
      </c>
      <c r="E28">
        <v>47</v>
      </c>
      <c r="F28">
        <v>2</v>
      </c>
      <c r="G28">
        <v>98</v>
      </c>
      <c r="H28">
        <v>1</v>
      </c>
      <c r="I28">
        <v>49</v>
      </c>
      <c r="J28">
        <v>490</v>
      </c>
      <c r="K28">
        <v>0</v>
      </c>
    </row>
    <row r="29" spans="1:11" x14ac:dyDescent="0.25">
      <c r="A29">
        <v>27</v>
      </c>
      <c r="B29">
        <v>27</v>
      </c>
      <c r="C29">
        <v>49</v>
      </c>
      <c r="D29">
        <v>3</v>
      </c>
      <c r="E29">
        <v>48</v>
      </c>
      <c r="F29">
        <v>1</v>
      </c>
      <c r="G29">
        <v>99</v>
      </c>
      <c r="H29">
        <v>2</v>
      </c>
      <c r="I29">
        <v>51</v>
      </c>
      <c r="J29">
        <v>494</v>
      </c>
      <c r="K29">
        <v>0</v>
      </c>
    </row>
    <row r="30" spans="1:11" x14ac:dyDescent="0.25">
      <c r="A30">
        <v>28</v>
      </c>
      <c r="B30">
        <v>28</v>
      </c>
      <c r="C30">
        <v>49</v>
      </c>
      <c r="D30">
        <v>3</v>
      </c>
      <c r="E30">
        <v>48</v>
      </c>
      <c r="F30">
        <v>2</v>
      </c>
      <c r="G30">
        <v>98</v>
      </c>
      <c r="H30">
        <v>0</v>
      </c>
      <c r="I30">
        <v>51</v>
      </c>
      <c r="J30">
        <v>488</v>
      </c>
      <c r="K30">
        <v>0</v>
      </c>
    </row>
    <row r="31" spans="1:11" x14ac:dyDescent="0.25">
      <c r="A31">
        <v>29</v>
      </c>
      <c r="B31">
        <v>29</v>
      </c>
      <c r="C31">
        <v>48</v>
      </c>
      <c r="D31">
        <v>4</v>
      </c>
      <c r="E31">
        <v>48</v>
      </c>
      <c r="F31">
        <v>2</v>
      </c>
      <c r="G31">
        <v>98</v>
      </c>
      <c r="H31">
        <v>1</v>
      </c>
      <c r="I31">
        <v>52</v>
      </c>
      <c r="J31">
        <v>488</v>
      </c>
      <c r="K31">
        <v>1</v>
      </c>
    </row>
    <row r="32" spans="1:11" x14ac:dyDescent="0.25">
      <c r="A32">
        <v>30</v>
      </c>
      <c r="B32">
        <v>30</v>
      </c>
      <c r="C32">
        <v>48</v>
      </c>
      <c r="D32">
        <v>4</v>
      </c>
      <c r="E32">
        <v>48</v>
      </c>
      <c r="F32">
        <v>82</v>
      </c>
      <c r="G32">
        <v>18</v>
      </c>
      <c r="H32">
        <v>0</v>
      </c>
      <c r="I32">
        <v>52</v>
      </c>
      <c r="J32">
        <v>90</v>
      </c>
      <c r="K32">
        <v>2</v>
      </c>
    </row>
    <row r="33" spans="1:11" x14ac:dyDescent="0.25">
      <c r="A33">
        <v>31</v>
      </c>
      <c r="B33">
        <v>31</v>
      </c>
      <c r="C33">
        <v>48</v>
      </c>
      <c r="D33">
        <v>4</v>
      </c>
      <c r="E33">
        <v>48</v>
      </c>
      <c r="F33">
        <v>95</v>
      </c>
      <c r="G33">
        <v>5</v>
      </c>
      <c r="H33">
        <v>0</v>
      </c>
      <c r="I33">
        <v>52</v>
      </c>
      <c r="J33">
        <v>20</v>
      </c>
      <c r="K33">
        <v>0</v>
      </c>
    </row>
    <row r="34" spans="1:11" x14ac:dyDescent="0.25">
      <c r="A34">
        <v>32</v>
      </c>
      <c r="B34">
        <v>32</v>
      </c>
      <c r="C34">
        <v>48</v>
      </c>
      <c r="D34">
        <v>3</v>
      </c>
      <c r="E34">
        <v>49</v>
      </c>
      <c r="F34">
        <v>3</v>
      </c>
      <c r="G34">
        <v>97</v>
      </c>
      <c r="H34">
        <v>0</v>
      </c>
      <c r="I34">
        <v>52</v>
      </c>
      <c r="J34">
        <v>484</v>
      </c>
      <c r="K34">
        <v>1</v>
      </c>
    </row>
    <row r="35" spans="1:11" x14ac:dyDescent="0.25">
      <c r="A35">
        <v>33</v>
      </c>
      <c r="B35">
        <v>33</v>
      </c>
      <c r="C35">
        <v>48</v>
      </c>
      <c r="D35">
        <v>1</v>
      </c>
      <c r="E35">
        <v>51</v>
      </c>
      <c r="F35">
        <v>80</v>
      </c>
      <c r="G35">
        <v>20</v>
      </c>
      <c r="H35">
        <v>0</v>
      </c>
      <c r="I35">
        <v>52</v>
      </c>
      <c r="J35">
        <v>98</v>
      </c>
      <c r="K35">
        <v>0</v>
      </c>
    </row>
    <row r="36" spans="1:11" x14ac:dyDescent="0.25">
      <c r="A36">
        <v>34</v>
      </c>
      <c r="B36">
        <v>34</v>
      </c>
      <c r="C36">
        <v>48</v>
      </c>
      <c r="D36">
        <v>1</v>
      </c>
      <c r="E36">
        <v>51</v>
      </c>
      <c r="F36">
        <v>3</v>
      </c>
      <c r="G36">
        <v>97</v>
      </c>
      <c r="H36">
        <v>0</v>
      </c>
      <c r="I36">
        <v>52</v>
      </c>
      <c r="J36">
        <v>482</v>
      </c>
      <c r="K36">
        <v>0</v>
      </c>
    </row>
    <row r="37" spans="1:11" x14ac:dyDescent="0.25">
      <c r="A37">
        <v>35</v>
      </c>
      <c r="B37">
        <v>35</v>
      </c>
      <c r="C37">
        <v>48</v>
      </c>
      <c r="D37">
        <v>0</v>
      </c>
      <c r="E37">
        <v>52</v>
      </c>
      <c r="F37">
        <v>2</v>
      </c>
      <c r="G37">
        <v>98</v>
      </c>
      <c r="H37">
        <v>0</v>
      </c>
      <c r="I37">
        <v>52</v>
      </c>
      <c r="J37">
        <v>488</v>
      </c>
      <c r="K3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0DF1-6425-451E-A347-66A8C3088DD3}">
  <dimension ref="A1:K42"/>
  <sheetViews>
    <sheetView workbookViewId="0">
      <selection sqref="A1:XFD1048576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96</v>
      </c>
      <c r="D3">
        <v>4</v>
      </c>
      <c r="E3">
        <v>0</v>
      </c>
      <c r="F3">
        <v>2</v>
      </c>
      <c r="G3">
        <v>98</v>
      </c>
      <c r="H3">
        <v>2</v>
      </c>
      <c r="I3">
        <v>4</v>
      </c>
      <c r="J3">
        <v>490</v>
      </c>
      <c r="K3">
        <v>0</v>
      </c>
    </row>
    <row r="4" spans="1:11" x14ac:dyDescent="0.25">
      <c r="A4">
        <v>2</v>
      </c>
      <c r="B4">
        <v>2</v>
      </c>
      <c r="C4">
        <v>93</v>
      </c>
      <c r="D4">
        <v>7</v>
      </c>
      <c r="E4">
        <v>0</v>
      </c>
      <c r="F4">
        <v>2</v>
      </c>
      <c r="G4">
        <v>98</v>
      </c>
      <c r="H4">
        <v>3</v>
      </c>
      <c r="I4">
        <v>7</v>
      </c>
      <c r="J4">
        <v>488</v>
      </c>
      <c r="K4">
        <v>0</v>
      </c>
    </row>
    <row r="5" spans="1:11" x14ac:dyDescent="0.25">
      <c r="A5">
        <v>3</v>
      </c>
      <c r="B5">
        <v>3</v>
      </c>
      <c r="C5">
        <v>87</v>
      </c>
      <c r="D5">
        <v>13</v>
      </c>
      <c r="E5">
        <v>0</v>
      </c>
      <c r="F5">
        <v>3</v>
      </c>
      <c r="G5">
        <v>97</v>
      </c>
      <c r="H5">
        <v>6</v>
      </c>
      <c r="I5">
        <v>13</v>
      </c>
      <c r="J5">
        <v>484</v>
      </c>
      <c r="K5">
        <v>2</v>
      </c>
    </row>
    <row r="6" spans="1:11" x14ac:dyDescent="0.25">
      <c r="A6">
        <v>4</v>
      </c>
      <c r="B6">
        <v>4</v>
      </c>
      <c r="C6">
        <v>87</v>
      </c>
      <c r="D6">
        <v>13</v>
      </c>
      <c r="E6">
        <v>0</v>
      </c>
      <c r="F6">
        <v>86</v>
      </c>
      <c r="G6">
        <v>14</v>
      </c>
      <c r="H6">
        <v>0</v>
      </c>
      <c r="I6">
        <v>13</v>
      </c>
      <c r="J6">
        <v>70</v>
      </c>
      <c r="K6">
        <v>2</v>
      </c>
    </row>
    <row r="7" spans="1:11" x14ac:dyDescent="0.25">
      <c r="A7">
        <v>5</v>
      </c>
      <c r="B7">
        <v>5</v>
      </c>
      <c r="C7">
        <v>87</v>
      </c>
      <c r="D7">
        <v>13</v>
      </c>
      <c r="E7">
        <v>0</v>
      </c>
      <c r="F7">
        <v>86</v>
      </c>
      <c r="G7">
        <v>14</v>
      </c>
      <c r="H7">
        <v>0</v>
      </c>
      <c r="I7">
        <v>13</v>
      </c>
      <c r="J7">
        <v>70</v>
      </c>
      <c r="K7">
        <v>3</v>
      </c>
    </row>
    <row r="8" spans="1:11" x14ac:dyDescent="0.25">
      <c r="A8">
        <v>6</v>
      </c>
      <c r="B8">
        <v>6</v>
      </c>
      <c r="C8">
        <v>87</v>
      </c>
      <c r="D8">
        <v>11</v>
      </c>
      <c r="E8">
        <v>2</v>
      </c>
      <c r="F8">
        <v>85</v>
      </c>
      <c r="G8">
        <v>15</v>
      </c>
      <c r="H8">
        <v>0</v>
      </c>
      <c r="I8">
        <v>13</v>
      </c>
      <c r="J8">
        <v>74</v>
      </c>
      <c r="K8">
        <v>6</v>
      </c>
    </row>
    <row r="9" spans="1:11" x14ac:dyDescent="0.25">
      <c r="A9">
        <v>7</v>
      </c>
      <c r="B9">
        <v>7</v>
      </c>
      <c r="C9">
        <v>84</v>
      </c>
      <c r="D9">
        <v>12</v>
      </c>
      <c r="E9">
        <v>4</v>
      </c>
      <c r="F9">
        <v>86</v>
      </c>
      <c r="G9">
        <v>14</v>
      </c>
      <c r="H9">
        <v>3</v>
      </c>
      <c r="I9">
        <v>16</v>
      </c>
      <c r="J9">
        <v>68</v>
      </c>
      <c r="K9">
        <v>0</v>
      </c>
    </row>
    <row r="10" spans="1:11" x14ac:dyDescent="0.25">
      <c r="A10">
        <v>8</v>
      </c>
      <c r="B10">
        <v>8</v>
      </c>
      <c r="C10">
        <v>80</v>
      </c>
      <c r="D10">
        <v>13</v>
      </c>
      <c r="E10">
        <v>7</v>
      </c>
      <c r="F10">
        <v>7</v>
      </c>
      <c r="G10">
        <v>93</v>
      </c>
      <c r="H10">
        <v>4</v>
      </c>
      <c r="I10">
        <v>20</v>
      </c>
      <c r="J10">
        <v>464</v>
      </c>
      <c r="K10">
        <v>0</v>
      </c>
    </row>
    <row r="11" spans="1:11" x14ac:dyDescent="0.25">
      <c r="A11">
        <v>9</v>
      </c>
      <c r="B11">
        <v>9</v>
      </c>
      <c r="C11">
        <v>70</v>
      </c>
      <c r="D11">
        <v>17</v>
      </c>
      <c r="E11">
        <v>13</v>
      </c>
      <c r="F11">
        <v>2</v>
      </c>
      <c r="G11">
        <v>98</v>
      </c>
      <c r="H11">
        <v>10</v>
      </c>
      <c r="I11">
        <v>30</v>
      </c>
      <c r="J11">
        <v>490</v>
      </c>
      <c r="K11">
        <v>0</v>
      </c>
    </row>
    <row r="12" spans="1:11" x14ac:dyDescent="0.25">
      <c r="A12">
        <v>10</v>
      </c>
      <c r="B12">
        <v>10</v>
      </c>
      <c r="C12">
        <v>61</v>
      </c>
      <c r="D12">
        <v>26</v>
      </c>
      <c r="E12">
        <v>13</v>
      </c>
      <c r="F12">
        <v>2</v>
      </c>
      <c r="G12">
        <v>98</v>
      </c>
      <c r="H12">
        <v>9</v>
      </c>
      <c r="I12">
        <v>39</v>
      </c>
      <c r="J12">
        <v>488</v>
      </c>
      <c r="K12">
        <v>3</v>
      </c>
    </row>
    <row r="13" spans="1:11" x14ac:dyDescent="0.25">
      <c r="A13">
        <v>11</v>
      </c>
      <c r="B13">
        <v>11</v>
      </c>
      <c r="C13">
        <v>57</v>
      </c>
      <c r="D13">
        <v>30</v>
      </c>
      <c r="E13">
        <v>13</v>
      </c>
      <c r="F13">
        <v>81</v>
      </c>
      <c r="G13">
        <v>19</v>
      </c>
      <c r="H13">
        <v>4</v>
      </c>
      <c r="I13">
        <v>43</v>
      </c>
      <c r="J13">
        <v>94</v>
      </c>
      <c r="K13">
        <v>4</v>
      </c>
    </row>
    <row r="14" spans="1:11" x14ac:dyDescent="0.25">
      <c r="A14">
        <v>12</v>
      </c>
      <c r="B14">
        <v>12</v>
      </c>
      <c r="C14">
        <v>57</v>
      </c>
      <c r="D14">
        <v>30</v>
      </c>
      <c r="E14">
        <v>13</v>
      </c>
      <c r="F14">
        <v>86</v>
      </c>
      <c r="G14">
        <v>14</v>
      </c>
      <c r="H14">
        <v>0</v>
      </c>
      <c r="I14">
        <v>43</v>
      </c>
      <c r="J14">
        <v>66</v>
      </c>
      <c r="K14">
        <v>10</v>
      </c>
    </row>
    <row r="15" spans="1:11" x14ac:dyDescent="0.25">
      <c r="A15">
        <v>13</v>
      </c>
      <c r="B15">
        <v>13</v>
      </c>
      <c r="C15">
        <v>57</v>
      </c>
      <c r="D15">
        <v>27</v>
      </c>
      <c r="E15">
        <v>16</v>
      </c>
      <c r="F15">
        <v>93</v>
      </c>
      <c r="G15">
        <v>7</v>
      </c>
      <c r="H15">
        <v>0</v>
      </c>
      <c r="I15">
        <v>43</v>
      </c>
      <c r="J15">
        <v>34</v>
      </c>
      <c r="K15">
        <v>9</v>
      </c>
    </row>
    <row r="16" spans="1:11" x14ac:dyDescent="0.25">
      <c r="A16">
        <v>14</v>
      </c>
      <c r="B16">
        <v>14</v>
      </c>
      <c r="C16">
        <v>55</v>
      </c>
      <c r="D16">
        <v>25</v>
      </c>
      <c r="E16">
        <v>20</v>
      </c>
      <c r="F16">
        <v>91</v>
      </c>
      <c r="G16">
        <v>9</v>
      </c>
      <c r="H16">
        <v>2</v>
      </c>
      <c r="I16">
        <v>45</v>
      </c>
      <c r="J16">
        <v>42</v>
      </c>
      <c r="K16">
        <v>4</v>
      </c>
    </row>
    <row r="17" spans="1:11" x14ac:dyDescent="0.25">
      <c r="A17">
        <v>15</v>
      </c>
      <c r="B17">
        <v>15</v>
      </c>
      <c r="C17">
        <v>53</v>
      </c>
      <c r="D17">
        <v>17</v>
      </c>
      <c r="E17">
        <v>30</v>
      </c>
      <c r="F17">
        <v>83</v>
      </c>
      <c r="G17">
        <v>17</v>
      </c>
      <c r="H17">
        <v>2</v>
      </c>
      <c r="I17">
        <v>47</v>
      </c>
      <c r="J17">
        <v>84</v>
      </c>
      <c r="K17">
        <v>0</v>
      </c>
    </row>
    <row r="18" spans="1:11" x14ac:dyDescent="0.25">
      <c r="A18">
        <v>16</v>
      </c>
      <c r="B18">
        <v>16</v>
      </c>
      <c r="C18">
        <v>49</v>
      </c>
      <c r="D18">
        <v>12</v>
      </c>
      <c r="E18">
        <v>39</v>
      </c>
      <c r="F18">
        <v>6</v>
      </c>
      <c r="G18">
        <v>94</v>
      </c>
      <c r="H18">
        <v>4</v>
      </c>
      <c r="I18">
        <v>51</v>
      </c>
      <c r="J18">
        <v>468</v>
      </c>
      <c r="K18">
        <v>0</v>
      </c>
    </row>
    <row r="19" spans="1:11" x14ac:dyDescent="0.25">
      <c r="A19">
        <v>17</v>
      </c>
      <c r="B19">
        <v>17</v>
      </c>
      <c r="C19">
        <v>46</v>
      </c>
      <c r="D19">
        <v>11</v>
      </c>
      <c r="E19">
        <v>43</v>
      </c>
      <c r="F19">
        <v>1</v>
      </c>
      <c r="G19">
        <v>99</v>
      </c>
      <c r="H19">
        <v>3</v>
      </c>
      <c r="I19">
        <v>54</v>
      </c>
      <c r="J19">
        <v>494</v>
      </c>
      <c r="K19">
        <v>2</v>
      </c>
    </row>
    <row r="20" spans="1:11" x14ac:dyDescent="0.25">
      <c r="A20">
        <v>18</v>
      </c>
      <c r="B20">
        <v>18</v>
      </c>
      <c r="C20">
        <v>46</v>
      </c>
      <c r="D20">
        <v>11</v>
      </c>
      <c r="E20">
        <v>43</v>
      </c>
      <c r="F20">
        <v>89</v>
      </c>
      <c r="G20">
        <v>11</v>
      </c>
      <c r="H20">
        <v>0</v>
      </c>
      <c r="I20">
        <v>54</v>
      </c>
      <c r="J20">
        <v>54</v>
      </c>
      <c r="K20">
        <v>2</v>
      </c>
    </row>
    <row r="21" spans="1:11" x14ac:dyDescent="0.25">
      <c r="A21">
        <v>19</v>
      </c>
      <c r="B21">
        <v>19</v>
      </c>
      <c r="C21">
        <v>46</v>
      </c>
      <c r="D21">
        <v>11</v>
      </c>
      <c r="E21">
        <v>43</v>
      </c>
      <c r="F21">
        <v>90</v>
      </c>
      <c r="G21">
        <v>10</v>
      </c>
      <c r="H21">
        <v>0</v>
      </c>
      <c r="I21">
        <v>54</v>
      </c>
      <c r="J21">
        <v>50</v>
      </c>
      <c r="K21">
        <v>4</v>
      </c>
    </row>
    <row r="22" spans="1:11" x14ac:dyDescent="0.25">
      <c r="A22">
        <v>20</v>
      </c>
      <c r="B22">
        <v>20</v>
      </c>
      <c r="C22">
        <v>46</v>
      </c>
      <c r="D22">
        <v>9</v>
      </c>
      <c r="E22">
        <v>45</v>
      </c>
      <c r="F22">
        <v>86</v>
      </c>
      <c r="G22">
        <v>14</v>
      </c>
      <c r="H22">
        <v>0</v>
      </c>
      <c r="I22">
        <v>54</v>
      </c>
      <c r="J22">
        <v>66</v>
      </c>
      <c r="K22">
        <v>3</v>
      </c>
    </row>
    <row r="23" spans="1:11" x14ac:dyDescent="0.25">
      <c r="A23">
        <v>21</v>
      </c>
      <c r="B23">
        <v>21</v>
      </c>
      <c r="C23">
        <v>46</v>
      </c>
      <c r="D23">
        <v>7</v>
      </c>
      <c r="E23">
        <v>47</v>
      </c>
      <c r="F23">
        <v>81</v>
      </c>
      <c r="G23">
        <v>19</v>
      </c>
      <c r="H23">
        <v>0</v>
      </c>
      <c r="I23">
        <v>54</v>
      </c>
      <c r="J23">
        <v>94</v>
      </c>
      <c r="K23">
        <v>0</v>
      </c>
    </row>
    <row r="24" spans="1:11" x14ac:dyDescent="0.25">
      <c r="A24">
        <v>22</v>
      </c>
      <c r="B24">
        <v>22</v>
      </c>
      <c r="C24">
        <v>42</v>
      </c>
      <c r="D24">
        <v>7</v>
      </c>
      <c r="E24">
        <v>51</v>
      </c>
      <c r="F24">
        <v>5</v>
      </c>
      <c r="G24">
        <v>95</v>
      </c>
      <c r="H24">
        <v>4</v>
      </c>
      <c r="I24">
        <v>58</v>
      </c>
      <c r="J24">
        <v>474</v>
      </c>
      <c r="K24">
        <v>0</v>
      </c>
    </row>
    <row r="25" spans="1:11" x14ac:dyDescent="0.25">
      <c r="A25">
        <v>23</v>
      </c>
      <c r="B25">
        <v>23</v>
      </c>
      <c r="C25">
        <v>40</v>
      </c>
      <c r="D25">
        <v>6</v>
      </c>
      <c r="E25">
        <v>54</v>
      </c>
      <c r="F25">
        <v>2</v>
      </c>
      <c r="G25">
        <v>98</v>
      </c>
      <c r="H25">
        <v>2</v>
      </c>
      <c r="I25">
        <v>60</v>
      </c>
      <c r="J25">
        <v>490</v>
      </c>
      <c r="K25">
        <v>0</v>
      </c>
    </row>
    <row r="26" spans="1:11" x14ac:dyDescent="0.25">
      <c r="A26">
        <v>24</v>
      </c>
      <c r="B26">
        <v>24</v>
      </c>
      <c r="C26">
        <v>39</v>
      </c>
      <c r="D26">
        <v>7</v>
      </c>
      <c r="E26">
        <v>54</v>
      </c>
      <c r="F26">
        <v>2</v>
      </c>
      <c r="G26">
        <v>98</v>
      </c>
      <c r="H26">
        <v>1</v>
      </c>
      <c r="I26">
        <v>61</v>
      </c>
      <c r="J26">
        <v>486</v>
      </c>
      <c r="K26">
        <v>0</v>
      </c>
    </row>
    <row r="27" spans="1:11" x14ac:dyDescent="0.25">
      <c r="A27">
        <v>25</v>
      </c>
      <c r="B27">
        <v>25</v>
      </c>
      <c r="C27">
        <v>34</v>
      </c>
      <c r="D27">
        <v>12</v>
      </c>
      <c r="E27">
        <v>54</v>
      </c>
      <c r="F27">
        <v>2</v>
      </c>
      <c r="G27">
        <v>98</v>
      </c>
      <c r="H27">
        <v>5</v>
      </c>
      <c r="I27">
        <v>66</v>
      </c>
      <c r="J27">
        <v>490</v>
      </c>
      <c r="K27">
        <v>4</v>
      </c>
    </row>
    <row r="28" spans="1:11" x14ac:dyDescent="0.25">
      <c r="A28">
        <v>26</v>
      </c>
      <c r="B28">
        <v>26</v>
      </c>
      <c r="C28">
        <v>34</v>
      </c>
      <c r="D28">
        <v>12</v>
      </c>
      <c r="E28">
        <v>54</v>
      </c>
      <c r="F28">
        <v>85</v>
      </c>
      <c r="G28">
        <v>15</v>
      </c>
      <c r="H28">
        <v>0</v>
      </c>
      <c r="I28">
        <v>66</v>
      </c>
      <c r="J28">
        <v>74</v>
      </c>
      <c r="K28">
        <v>2</v>
      </c>
    </row>
    <row r="29" spans="1:11" x14ac:dyDescent="0.25">
      <c r="A29">
        <v>27</v>
      </c>
      <c r="B29">
        <v>27</v>
      </c>
      <c r="C29">
        <v>34</v>
      </c>
      <c r="D29">
        <v>12</v>
      </c>
      <c r="E29">
        <v>54</v>
      </c>
      <c r="F29">
        <v>86</v>
      </c>
      <c r="G29">
        <v>14</v>
      </c>
      <c r="H29">
        <v>0</v>
      </c>
      <c r="I29">
        <v>66</v>
      </c>
      <c r="J29">
        <v>70</v>
      </c>
      <c r="K29">
        <v>1</v>
      </c>
    </row>
    <row r="30" spans="1:11" x14ac:dyDescent="0.25">
      <c r="A30">
        <v>28</v>
      </c>
      <c r="B30">
        <v>28</v>
      </c>
      <c r="C30">
        <v>34</v>
      </c>
      <c r="D30">
        <v>8</v>
      </c>
      <c r="E30">
        <v>58</v>
      </c>
      <c r="F30">
        <v>80</v>
      </c>
      <c r="G30">
        <v>20</v>
      </c>
      <c r="H30">
        <v>0</v>
      </c>
      <c r="I30">
        <v>66</v>
      </c>
      <c r="J30">
        <v>96</v>
      </c>
      <c r="K30">
        <v>5</v>
      </c>
    </row>
    <row r="31" spans="1:11" x14ac:dyDescent="0.25">
      <c r="A31">
        <v>29</v>
      </c>
      <c r="B31">
        <v>29</v>
      </c>
      <c r="C31">
        <v>34</v>
      </c>
      <c r="D31">
        <v>6</v>
      </c>
      <c r="E31">
        <v>60</v>
      </c>
      <c r="F31">
        <v>92</v>
      </c>
      <c r="G31">
        <v>8</v>
      </c>
      <c r="H31">
        <v>0</v>
      </c>
      <c r="I31">
        <v>66</v>
      </c>
      <c r="J31">
        <v>40</v>
      </c>
      <c r="K31">
        <v>0</v>
      </c>
    </row>
    <row r="32" spans="1:11" x14ac:dyDescent="0.25">
      <c r="A32">
        <v>30</v>
      </c>
      <c r="B32">
        <v>30</v>
      </c>
      <c r="C32">
        <v>34</v>
      </c>
      <c r="D32">
        <v>5</v>
      </c>
      <c r="E32">
        <v>61</v>
      </c>
      <c r="F32">
        <v>6</v>
      </c>
      <c r="G32">
        <v>94</v>
      </c>
      <c r="H32">
        <v>0</v>
      </c>
      <c r="I32">
        <v>66</v>
      </c>
      <c r="J32">
        <v>470</v>
      </c>
      <c r="K32">
        <v>0</v>
      </c>
    </row>
    <row r="33" spans="1:11" x14ac:dyDescent="0.25">
      <c r="A33">
        <v>31</v>
      </c>
      <c r="B33">
        <v>31</v>
      </c>
      <c r="C33">
        <v>32</v>
      </c>
      <c r="D33">
        <v>2</v>
      </c>
      <c r="E33">
        <v>66</v>
      </c>
      <c r="F33">
        <v>2</v>
      </c>
      <c r="G33">
        <v>98</v>
      </c>
      <c r="H33">
        <v>2</v>
      </c>
      <c r="I33">
        <v>68</v>
      </c>
      <c r="J33">
        <v>490</v>
      </c>
      <c r="K33">
        <v>0</v>
      </c>
    </row>
    <row r="34" spans="1:11" x14ac:dyDescent="0.25">
      <c r="A34">
        <v>32</v>
      </c>
      <c r="B34">
        <v>32</v>
      </c>
      <c r="C34">
        <v>31</v>
      </c>
      <c r="D34">
        <v>3</v>
      </c>
      <c r="E34">
        <v>66</v>
      </c>
      <c r="F34">
        <v>2</v>
      </c>
      <c r="G34">
        <v>98</v>
      </c>
      <c r="H34">
        <v>1</v>
      </c>
      <c r="I34">
        <v>69</v>
      </c>
      <c r="J34">
        <v>488</v>
      </c>
      <c r="K34">
        <v>0</v>
      </c>
    </row>
    <row r="35" spans="1:11" x14ac:dyDescent="0.25">
      <c r="A35">
        <v>33</v>
      </c>
      <c r="B35">
        <v>33</v>
      </c>
      <c r="C35">
        <v>31</v>
      </c>
      <c r="D35">
        <v>3</v>
      </c>
      <c r="E35">
        <v>66</v>
      </c>
      <c r="F35">
        <v>2</v>
      </c>
      <c r="G35">
        <v>98</v>
      </c>
      <c r="H35">
        <v>0</v>
      </c>
      <c r="I35">
        <v>69</v>
      </c>
      <c r="J35">
        <v>488</v>
      </c>
      <c r="K35">
        <v>0</v>
      </c>
    </row>
    <row r="36" spans="1:11" x14ac:dyDescent="0.25">
      <c r="A36">
        <v>34</v>
      </c>
      <c r="B36">
        <v>34</v>
      </c>
      <c r="C36">
        <v>29</v>
      </c>
      <c r="D36">
        <v>5</v>
      </c>
      <c r="E36">
        <v>66</v>
      </c>
      <c r="F36">
        <v>2</v>
      </c>
      <c r="G36">
        <v>98</v>
      </c>
      <c r="H36">
        <v>2</v>
      </c>
      <c r="I36">
        <v>71</v>
      </c>
      <c r="J36">
        <v>488</v>
      </c>
      <c r="K36">
        <v>2</v>
      </c>
    </row>
    <row r="37" spans="1:11" x14ac:dyDescent="0.25">
      <c r="A37">
        <v>35</v>
      </c>
      <c r="B37">
        <v>35</v>
      </c>
      <c r="C37">
        <v>29</v>
      </c>
      <c r="D37">
        <v>5</v>
      </c>
      <c r="E37">
        <v>66</v>
      </c>
      <c r="F37">
        <v>86</v>
      </c>
      <c r="G37">
        <v>14</v>
      </c>
      <c r="H37">
        <v>0</v>
      </c>
      <c r="I37">
        <v>71</v>
      </c>
      <c r="J37">
        <v>70</v>
      </c>
      <c r="K37">
        <v>1</v>
      </c>
    </row>
    <row r="38" spans="1:11" x14ac:dyDescent="0.25">
      <c r="A38">
        <v>36</v>
      </c>
      <c r="B38">
        <v>36</v>
      </c>
      <c r="C38">
        <v>29</v>
      </c>
      <c r="D38">
        <v>5</v>
      </c>
      <c r="E38">
        <v>66</v>
      </c>
      <c r="F38">
        <v>78</v>
      </c>
      <c r="G38">
        <v>22</v>
      </c>
      <c r="H38">
        <v>0</v>
      </c>
      <c r="I38">
        <v>71</v>
      </c>
      <c r="J38">
        <v>110</v>
      </c>
      <c r="K38">
        <v>0</v>
      </c>
    </row>
    <row r="39" spans="1:11" x14ac:dyDescent="0.25">
      <c r="A39">
        <v>37</v>
      </c>
      <c r="B39">
        <v>37</v>
      </c>
      <c r="C39">
        <v>29</v>
      </c>
      <c r="D39">
        <v>3</v>
      </c>
      <c r="E39">
        <v>68</v>
      </c>
      <c r="F39">
        <v>2</v>
      </c>
      <c r="G39">
        <v>98</v>
      </c>
      <c r="H39">
        <v>0</v>
      </c>
      <c r="I39">
        <v>71</v>
      </c>
      <c r="J39">
        <v>488</v>
      </c>
      <c r="K39">
        <v>2</v>
      </c>
    </row>
    <row r="40" spans="1:11" x14ac:dyDescent="0.25">
      <c r="A40">
        <v>38</v>
      </c>
      <c r="B40">
        <v>38</v>
      </c>
      <c r="C40">
        <v>29</v>
      </c>
      <c r="D40">
        <v>2</v>
      </c>
      <c r="E40">
        <v>69</v>
      </c>
      <c r="F40">
        <v>85</v>
      </c>
      <c r="G40">
        <v>15</v>
      </c>
      <c r="H40">
        <v>0</v>
      </c>
      <c r="I40">
        <v>71</v>
      </c>
      <c r="J40">
        <v>72</v>
      </c>
      <c r="K40">
        <v>0</v>
      </c>
    </row>
    <row r="41" spans="1:11" x14ac:dyDescent="0.25">
      <c r="A41">
        <v>39</v>
      </c>
      <c r="B41">
        <v>39</v>
      </c>
      <c r="C41">
        <v>29</v>
      </c>
      <c r="D41">
        <v>2</v>
      </c>
      <c r="E41">
        <v>69</v>
      </c>
      <c r="F41">
        <v>3</v>
      </c>
      <c r="G41">
        <v>97</v>
      </c>
      <c r="H41">
        <v>0</v>
      </c>
      <c r="I41">
        <v>71</v>
      </c>
      <c r="J41">
        <v>484</v>
      </c>
      <c r="K41">
        <v>0</v>
      </c>
    </row>
    <row r="42" spans="1:11" x14ac:dyDescent="0.25">
      <c r="A42">
        <v>40</v>
      </c>
      <c r="B42">
        <v>40</v>
      </c>
      <c r="C42">
        <v>29</v>
      </c>
      <c r="D42">
        <v>0</v>
      </c>
      <c r="E42">
        <v>71</v>
      </c>
      <c r="F42">
        <v>1</v>
      </c>
      <c r="G42">
        <v>99</v>
      </c>
      <c r="H42">
        <v>0</v>
      </c>
      <c r="I42">
        <v>71</v>
      </c>
      <c r="J42">
        <v>492</v>
      </c>
      <c r="K4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C6EE-B44F-4F4E-8A96-A3823C1084CD}">
  <dimension ref="A1:K46"/>
  <sheetViews>
    <sheetView workbookViewId="0">
      <selection activeCell="M10" sqref="M10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97</v>
      </c>
      <c r="D3">
        <v>3</v>
      </c>
      <c r="E3">
        <v>0</v>
      </c>
      <c r="F3">
        <v>2</v>
      </c>
      <c r="G3">
        <v>98</v>
      </c>
      <c r="H3">
        <v>1</v>
      </c>
      <c r="I3">
        <v>3</v>
      </c>
      <c r="J3">
        <v>488</v>
      </c>
      <c r="K3">
        <v>0</v>
      </c>
    </row>
    <row r="4" spans="1:11" x14ac:dyDescent="0.25">
      <c r="A4">
        <v>2</v>
      </c>
      <c r="B4">
        <v>2</v>
      </c>
      <c r="C4">
        <v>93</v>
      </c>
      <c r="D4">
        <v>7</v>
      </c>
      <c r="E4">
        <v>0</v>
      </c>
      <c r="F4">
        <v>2</v>
      </c>
      <c r="G4">
        <v>98</v>
      </c>
      <c r="H4">
        <v>4</v>
      </c>
      <c r="I4">
        <v>7</v>
      </c>
      <c r="J4">
        <v>490</v>
      </c>
      <c r="K4">
        <v>0</v>
      </c>
    </row>
    <row r="5" spans="1:11" x14ac:dyDescent="0.25">
      <c r="A5">
        <v>3</v>
      </c>
      <c r="B5">
        <v>3</v>
      </c>
      <c r="C5">
        <v>89</v>
      </c>
      <c r="D5">
        <v>11</v>
      </c>
      <c r="E5">
        <v>0</v>
      </c>
      <c r="F5">
        <v>2</v>
      </c>
      <c r="G5">
        <v>98</v>
      </c>
      <c r="H5">
        <v>4</v>
      </c>
      <c r="I5">
        <v>11</v>
      </c>
      <c r="J5">
        <v>490</v>
      </c>
      <c r="K5">
        <v>2</v>
      </c>
    </row>
    <row r="6" spans="1:11" x14ac:dyDescent="0.25">
      <c r="A6">
        <v>4</v>
      </c>
      <c r="B6">
        <v>4</v>
      </c>
      <c r="C6">
        <v>88</v>
      </c>
      <c r="D6">
        <v>12</v>
      </c>
      <c r="E6">
        <v>0</v>
      </c>
      <c r="F6">
        <v>80</v>
      </c>
      <c r="G6">
        <v>20</v>
      </c>
      <c r="H6">
        <v>1</v>
      </c>
      <c r="I6">
        <v>12</v>
      </c>
      <c r="J6">
        <v>96</v>
      </c>
      <c r="K6">
        <v>1</v>
      </c>
    </row>
    <row r="7" spans="1:11" x14ac:dyDescent="0.25">
      <c r="A7">
        <v>5</v>
      </c>
      <c r="B7">
        <v>5</v>
      </c>
      <c r="C7">
        <v>86</v>
      </c>
      <c r="D7">
        <v>14</v>
      </c>
      <c r="E7">
        <v>0</v>
      </c>
      <c r="F7">
        <v>74</v>
      </c>
      <c r="G7">
        <v>26</v>
      </c>
      <c r="H7">
        <v>2</v>
      </c>
      <c r="I7">
        <v>14</v>
      </c>
      <c r="J7">
        <v>128</v>
      </c>
      <c r="K7">
        <v>4</v>
      </c>
    </row>
    <row r="8" spans="1:11" x14ac:dyDescent="0.25">
      <c r="A8">
        <v>6</v>
      </c>
      <c r="B8">
        <v>6</v>
      </c>
      <c r="C8">
        <v>83</v>
      </c>
      <c r="D8">
        <v>15</v>
      </c>
      <c r="E8">
        <v>2</v>
      </c>
      <c r="F8">
        <v>82</v>
      </c>
      <c r="G8">
        <v>18</v>
      </c>
      <c r="H8">
        <v>3</v>
      </c>
      <c r="I8">
        <v>17</v>
      </c>
      <c r="J8">
        <v>90</v>
      </c>
      <c r="K8">
        <v>4</v>
      </c>
    </row>
    <row r="9" spans="1:11" x14ac:dyDescent="0.25">
      <c r="A9">
        <v>7</v>
      </c>
      <c r="B9">
        <v>7</v>
      </c>
      <c r="C9">
        <v>80</v>
      </c>
      <c r="D9">
        <v>17</v>
      </c>
      <c r="E9">
        <v>3</v>
      </c>
      <c r="F9">
        <v>81</v>
      </c>
      <c r="G9">
        <v>19</v>
      </c>
      <c r="H9">
        <v>3</v>
      </c>
      <c r="I9">
        <v>20</v>
      </c>
      <c r="J9">
        <v>94</v>
      </c>
      <c r="K9">
        <v>1</v>
      </c>
    </row>
    <row r="10" spans="1:11" x14ac:dyDescent="0.25">
      <c r="A10">
        <v>8</v>
      </c>
      <c r="B10">
        <v>8</v>
      </c>
      <c r="C10">
        <v>73</v>
      </c>
      <c r="D10">
        <v>20</v>
      </c>
      <c r="E10">
        <v>7</v>
      </c>
      <c r="F10">
        <v>76</v>
      </c>
      <c r="G10">
        <v>24</v>
      </c>
      <c r="H10">
        <v>7</v>
      </c>
      <c r="I10">
        <v>27</v>
      </c>
      <c r="J10">
        <v>120</v>
      </c>
      <c r="K10">
        <v>2</v>
      </c>
    </row>
    <row r="11" spans="1:11" x14ac:dyDescent="0.25">
      <c r="A11">
        <v>9</v>
      </c>
      <c r="B11">
        <v>9</v>
      </c>
      <c r="C11">
        <v>70</v>
      </c>
      <c r="D11">
        <v>19</v>
      </c>
      <c r="E11">
        <v>11</v>
      </c>
      <c r="F11">
        <v>83</v>
      </c>
      <c r="G11">
        <v>17</v>
      </c>
      <c r="H11">
        <v>3</v>
      </c>
      <c r="I11">
        <v>30</v>
      </c>
      <c r="J11">
        <v>84</v>
      </c>
      <c r="K11">
        <v>3</v>
      </c>
    </row>
    <row r="12" spans="1:11" x14ac:dyDescent="0.25">
      <c r="A12">
        <v>10</v>
      </c>
      <c r="B12">
        <v>10</v>
      </c>
      <c r="C12">
        <v>67</v>
      </c>
      <c r="D12">
        <v>21</v>
      </c>
      <c r="E12">
        <v>12</v>
      </c>
      <c r="F12">
        <v>86</v>
      </c>
      <c r="G12">
        <v>14</v>
      </c>
      <c r="H12">
        <v>3</v>
      </c>
      <c r="I12">
        <v>33</v>
      </c>
      <c r="J12">
        <v>68</v>
      </c>
      <c r="K12">
        <v>3</v>
      </c>
    </row>
    <row r="13" spans="1:11" x14ac:dyDescent="0.25">
      <c r="A13">
        <v>11</v>
      </c>
      <c r="B13">
        <v>11</v>
      </c>
      <c r="C13">
        <v>65</v>
      </c>
      <c r="D13">
        <v>21</v>
      </c>
      <c r="E13">
        <v>14</v>
      </c>
      <c r="F13">
        <v>89</v>
      </c>
      <c r="G13">
        <v>11</v>
      </c>
      <c r="H13">
        <v>2</v>
      </c>
      <c r="I13">
        <v>35</v>
      </c>
      <c r="J13">
        <v>54</v>
      </c>
      <c r="K13">
        <v>7</v>
      </c>
    </row>
    <row r="14" spans="1:11" x14ac:dyDescent="0.25">
      <c r="A14">
        <v>12</v>
      </c>
      <c r="B14">
        <v>12</v>
      </c>
      <c r="C14">
        <v>63</v>
      </c>
      <c r="D14">
        <v>20</v>
      </c>
      <c r="E14">
        <v>17</v>
      </c>
      <c r="F14">
        <v>91</v>
      </c>
      <c r="G14">
        <v>9</v>
      </c>
      <c r="H14">
        <v>2</v>
      </c>
      <c r="I14">
        <v>37</v>
      </c>
      <c r="J14">
        <v>44</v>
      </c>
      <c r="K14">
        <v>3</v>
      </c>
    </row>
    <row r="15" spans="1:11" x14ac:dyDescent="0.25">
      <c r="A15">
        <v>13</v>
      </c>
      <c r="B15">
        <v>13</v>
      </c>
      <c r="C15">
        <v>63</v>
      </c>
      <c r="D15">
        <v>17</v>
      </c>
      <c r="E15">
        <v>20</v>
      </c>
      <c r="F15">
        <v>90</v>
      </c>
      <c r="G15">
        <v>10</v>
      </c>
      <c r="H15">
        <v>0</v>
      </c>
      <c r="I15">
        <v>37</v>
      </c>
      <c r="J15">
        <v>48</v>
      </c>
      <c r="K15">
        <v>3</v>
      </c>
    </row>
    <row r="16" spans="1:11" x14ac:dyDescent="0.25">
      <c r="A16">
        <v>14</v>
      </c>
      <c r="B16">
        <v>14</v>
      </c>
      <c r="C16">
        <v>63</v>
      </c>
      <c r="D16">
        <v>10</v>
      </c>
      <c r="E16">
        <v>27</v>
      </c>
      <c r="F16">
        <v>89</v>
      </c>
      <c r="G16">
        <v>11</v>
      </c>
      <c r="H16">
        <v>0</v>
      </c>
      <c r="I16">
        <v>37</v>
      </c>
      <c r="J16">
        <v>54</v>
      </c>
      <c r="K16">
        <v>2</v>
      </c>
    </row>
    <row r="17" spans="1:11" x14ac:dyDescent="0.25">
      <c r="A17">
        <v>15</v>
      </c>
      <c r="B17">
        <v>15</v>
      </c>
      <c r="C17">
        <v>63</v>
      </c>
      <c r="D17">
        <v>7</v>
      </c>
      <c r="E17">
        <v>30</v>
      </c>
      <c r="F17">
        <v>86</v>
      </c>
      <c r="G17">
        <v>14</v>
      </c>
      <c r="H17">
        <v>0</v>
      </c>
      <c r="I17">
        <v>37</v>
      </c>
      <c r="J17">
        <v>66</v>
      </c>
      <c r="K17">
        <v>2</v>
      </c>
    </row>
    <row r="18" spans="1:11" x14ac:dyDescent="0.25">
      <c r="A18">
        <v>16</v>
      </c>
      <c r="B18">
        <v>16</v>
      </c>
      <c r="C18">
        <v>63</v>
      </c>
      <c r="D18">
        <v>4</v>
      </c>
      <c r="E18">
        <v>33</v>
      </c>
      <c r="F18">
        <v>84</v>
      </c>
      <c r="G18">
        <v>16</v>
      </c>
      <c r="H18">
        <v>0</v>
      </c>
      <c r="I18">
        <v>37</v>
      </c>
      <c r="J18">
        <v>80</v>
      </c>
      <c r="K18">
        <v>0</v>
      </c>
    </row>
    <row r="19" spans="1:11" x14ac:dyDescent="0.25">
      <c r="A19">
        <v>17</v>
      </c>
      <c r="B19">
        <v>17</v>
      </c>
      <c r="C19">
        <v>62</v>
      </c>
      <c r="D19">
        <v>3</v>
      </c>
      <c r="E19">
        <v>35</v>
      </c>
      <c r="F19">
        <v>5</v>
      </c>
      <c r="G19">
        <v>95</v>
      </c>
      <c r="H19">
        <v>1</v>
      </c>
      <c r="I19">
        <v>38</v>
      </c>
      <c r="J19">
        <v>474</v>
      </c>
      <c r="K19">
        <v>0</v>
      </c>
    </row>
    <row r="20" spans="1:11" x14ac:dyDescent="0.25">
      <c r="A20">
        <v>18</v>
      </c>
      <c r="B20">
        <v>18</v>
      </c>
      <c r="C20">
        <v>62</v>
      </c>
      <c r="D20">
        <v>1</v>
      </c>
      <c r="E20">
        <v>37</v>
      </c>
      <c r="F20">
        <v>2</v>
      </c>
      <c r="G20">
        <v>98</v>
      </c>
      <c r="H20">
        <v>0</v>
      </c>
      <c r="I20">
        <v>38</v>
      </c>
      <c r="J20">
        <v>490</v>
      </c>
      <c r="K20">
        <v>0</v>
      </c>
    </row>
    <row r="21" spans="1:11" x14ac:dyDescent="0.25">
      <c r="A21">
        <v>19</v>
      </c>
      <c r="B21">
        <v>19</v>
      </c>
      <c r="C21">
        <v>61</v>
      </c>
      <c r="D21">
        <v>2</v>
      </c>
      <c r="E21">
        <v>37</v>
      </c>
      <c r="F21">
        <v>2</v>
      </c>
      <c r="G21">
        <v>98</v>
      </c>
      <c r="H21">
        <v>1</v>
      </c>
      <c r="I21">
        <v>39</v>
      </c>
      <c r="J21">
        <v>488</v>
      </c>
      <c r="K21">
        <v>0</v>
      </c>
    </row>
    <row r="22" spans="1:11" x14ac:dyDescent="0.25">
      <c r="A22">
        <v>20</v>
      </c>
      <c r="B22">
        <v>20</v>
      </c>
      <c r="C22">
        <v>59</v>
      </c>
      <c r="D22">
        <v>4</v>
      </c>
      <c r="E22">
        <v>37</v>
      </c>
      <c r="F22">
        <v>2</v>
      </c>
      <c r="G22">
        <v>98</v>
      </c>
      <c r="H22">
        <v>2</v>
      </c>
      <c r="I22">
        <v>41</v>
      </c>
      <c r="J22">
        <v>488</v>
      </c>
      <c r="K22">
        <v>1</v>
      </c>
    </row>
    <row r="23" spans="1:11" x14ac:dyDescent="0.25">
      <c r="A23">
        <v>21</v>
      </c>
      <c r="B23">
        <v>21</v>
      </c>
      <c r="C23">
        <v>59</v>
      </c>
      <c r="D23">
        <v>4</v>
      </c>
      <c r="E23">
        <v>37</v>
      </c>
      <c r="F23">
        <v>74</v>
      </c>
      <c r="G23">
        <v>26</v>
      </c>
      <c r="H23">
        <v>0</v>
      </c>
      <c r="I23">
        <v>41</v>
      </c>
      <c r="J23">
        <v>128</v>
      </c>
      <c r="K23">
        <v>0</v>
      </c>
    </row>
    <row r="24" spans="1:11" x14ac:dyDescent="0.25">
      <c r="A24">
        <v>22</v>
      </c>
      <c r="B24">
        <v>22</v>
      </c>
      <c r="C24">
        <v>57</v>
      </c>
      <c r="D24">
        <v>6</v>
      </c>
      <c r="E24">
        <v>37</v>
      </c>
      <c r="F24">
        <v>3</v>
      </c>
      <c r="G24">
        <v>97</v>
      </c>
      <c r="H24">
        <v>2</v>
      </c>
      <c r="I24">
        <v>43</v>
      </c>
      <c r="J24">
        <v>484</v>
      </c>
      <c r="K24">
        <v>1</v>
      </c>
    </row>
    <row r="25" spans="1:11" x14ac:dyDescent="0.25">
      <c r="A25">
        <v>23</v>
      </c>
      <c r="B25">
        <v>23</v>
      </c>
      <c r="C25">
        <v>57</v>
      </c>
      <c r="D25">
        <v>5</v>
      </c>
      <c r="E25">
        <v>38</v>
      </c>
      <c r="F25">
        <v>74</v>
      </c>
      <c r="G25">
        <v>26</v>
      </c>
      <c r="H25">
        <v>0</v>
      </c>
      <c r="I25">
        <v>43</v>
      </c>
      <c r="J25">
        <v>128</v>
      </c>
      <c r="K25">
        <v>2</v>
      </c>
    </row>
    <row r="26" spans="1:11" x14ac:dyDescent="0.25">
      <c r="A26">
        <v>24</v>
      </c>
      <c r="B26">
        <v>24</v>
      </c>
      <c r="C26">
        <v>57</v>
      </c>
      <c r="D26">
        <v>5</v>
      </c>
      <c r="E26">
        <v>38</v>
      </c>
      <c r="F26">
        <v>80</v>
      </c>
      <c r="G26">
        <v>20</v>
      </c>
      <c r="H26">
        <v>0</v>
      </c>
      <c r="I26">
        <v>43</v>
      </c>
      <c r="J26">
        <v>100</v>
      </c>
      <c r="K26">
        <v>0</v>
      </c>
    </row>
    <row r="27" spans="1:11" x14ac:dyDescent="0.25">
      <c r="A27">
        <v>25</v>
      </c>
      <c r="B27">
        <v>25</v>
      </c>
      <c r="C27">
        <v>55</v>
      </c>
      <c r="D27">
        <v>6</v>
      </c>
      <c r="E27">
        <v>39</v>
      </c>
      <c r="F27">
        <v>3</v>
      </c>
      <c r="G27">
        <v>97</v>
      </c>
      <c r="H27">
        <v>2</v>
      </c>
      <c r="I27">
        <v>45</v>
      </c>
      <c r="J27">
        <v>484</v>
      </c>
      <c r="K27">
        <v>2</v>
      </c>
    </row>
    <row r="28" spans="1:11" x14ac:dyDescent="0.25">
      <c r="A28">
        <v>26</v>
      </c>
      <c r="B28">
        <v>26</v>
      </c>
      <c r="C28">
        <v>55</v>
      </c>
      <c r="D28">
        <v>4</v>
      </c>
      <c r="E28">
        <v>41</v>
      </c>
      <c r="F28">
        <v>81</v>
      </c>
      <c r="G28">
        <v>19</v>
      </c>
      <c r="H28">
        <v>0</v>
      </c>
      <c r="I28">
        <v>45</v>
      </c>
      <c r="J28">
        <v>92</v>
      </c>
      <c r="K28">
        <v>0</v>
      </c>
    </row>
    <row r="29" spans="1:11" x14ac:dyDescent="0.25">
      <c r="A29">
        <v>27</v>
      </c>
      <c r="B29">
        <v>27</v>
      </c>
      <c r="C29">
        <v>53</v>
      </c>
      <c r="D29">
        <v>6</v>
      </c>
      <c r="E29">
        <v>41</v>
      </c>
      <c r="F29">
        <v>4</v>
      </c>
      <c r="G29">
        <v>96</v>
      </c>
      <c r="H29">
        <v>2</v>
      </c>
      <c r="I29">
        <v>47</v>
      </c>
      <c r="J29">
        <v>480</v>
      </c>
      <c r="K29">
        <v>0</v>
      </c>
    </row>
    <row r="30" spans="1:11" x14ac:dyDescent="0.25">
      <c r="A30">
        <v>28</v>
      </c>
      <c r="B30">
        <v>28</v>
      </c>
      <c r="C30">
        <v>48</v>
      </c>
      <c r="D30">
        <v>9</v>
      </c>
      <c r="E30">
        <v>43</v>
      </c>
      <c r="F30">
        <v>2</v>
      </c>
      <c r="G30">
        <v>98</v>
      </c>
      <c r="H30">
        <v>5</v>
      </c>
      <c r="I30">
        <v>52</v>
      </c>
      <c r="J30">
        <v>488</v>
      </c>
      <c r="K30">
        <v>2</v>
      </c>
    </row>
    <row r="31" spans="1:11" x14ac:dyDescent="0.25">
      <c r="A31">
        <v>29</v>
      </c>
      <c r="B31">
        <v>29</v>
      </c>
      <c r="C31">
        <v>48</v>
      </c>
      <c r="D31">
        <v>9</v>
      </c>
      <c r="E31">
        <v>43</v>
      </c>
      <c r="F31">
        <v>81</v>
      </c>
      <c r="G31">
        <v>19</v>
      </c>
      <c r="H31">
        <v>0</v>
      </c>
      <c r="I31">
        <v>52</v>
      </c>
      <c r="J31">
        <v>94</v>
      </c>
      <c r="K31">
        <v>0</v>
      </c>
    </row>
    <row r="32" spans="1:11" x14ac:dyDescent="0.25">
      <c r="A32">
        <v>30</v>
      </c>
      <c r="B32">
        <v>30</v>
      </c>
      <c r="C32">
        <v>46</v>
      </c>
      <c r="D32">
        <v>11</v>
      </c>
      <c r="E32">
        <v>43</v>
      </c>
      <c r="F32">
        <v>3</v>
      </c>
      <c r="G32">
        <v>97</v>
      </c>
      <c r="H32">
        <v>2</v>
      </c>
      <c r="I32">
        <v>54</v>
      </c>
      <c r="J32">
        <v>484</v>
      </c>
      <c r="K32">
        <v>2</v>
      </c>
    </row>
    <row r="33" spans="1:11" x14ac:dyDescent="0.25">
      <c r="A33">
        <v>31</v>
      </c>
      <c r="B33">
        <v>31</v>
      </c>
      <c r="C33">
        <v>46</v>
      </c>
      <c r="D33">
        <v>9</v>
      </c>
      <c r="E33">
        <v>45</v>
      </c>
      <c r="F33">
        <v>80</v>
      </c>
      <c r="G33">
        <v>20</v>
      </c>
      <c r="H33">
        <v>0</v>
      </c>
      <c r="I33">
        <v>54</v>
      </c>
      <c r="J33">
        <v>100</v>
      </c>
      <c r="K33">
        <v>5</v>
      </c>
    </row>
    <row r="34" spans="1:11" x14ac:dyDescent="0.25">
      <c r="A34">
        <v>32</v>
      </c>
      <c r="B34">
        <v>32</v>
      </c>
      <c r="C34">
        <v>46</v>
      </c>
      <c r="D34">
        <v>9</v>
      </c>
      <c r="E34">
        <v>45</v>
      </c>
      <c r="F34">
        <v>82</v>
      </c>
      <c r="G34">
        <v>18</v>
      </c>
      <c r="H34">
        <v>0</v>
      </c>
      <c r="I34">
        <v>54</v>
      </c>
      <c r="J34">
        <v>88</v>
      </c>
      <c r="K34">
        <v>0</v>
      </c>
    </row>
    <row r="35" spans="1:11" x14ac:dyDescent="0.25">
      <c r="A35">
        <v>33</v>
      </c>
      <c r="B35">
        <v>33</v>
      </c>
      <c r="C35">
        <v>42</v>
      </c>
      <c r="D35">
        <v>11</v>
      </c>
      <c r="E35">
        <v>47</v>
      </c>
      <c r="F35">
        <v>7</v>
      </c>
      <c r="G35">
        <v>93</v>
      </c>
      <c r="H35">
        <v>4</v>
      </c>
      <c r="I35">
        <v>58</v>
      </c>
      <c r="J35">
        <v>464</v>
      </c>
      <c r="K35">
        <v>2</v>
      </c>
    </row>
    <row r="36" spans="1:11" x14ac:dyDescent="0.25">
      <c r="A36">
        <v>34</v>
      </c>
      <c r="B36">
        <v>34</v>
      </c>
      <c r="C36">
        <v>42</v>
      </c>
      <c r="D36">
        <v>6</v>
      </c>
      <c r="E36">
        <v>52</v>
      </c>
      <c r="F36">
        <v>79</v>
      </c>
      <c r="G36">
        <v>21</v>
      </c>
      <c r="H36">
        <v>0</v>
      </c>
      <c r="I36">
        <v>58</v>
      </c>
      <c r="J36">
        <v>104</v>
      </c>
      <c r="K36">
        <v>0</v>
      </c>
    </row>
    <row r="37" spans="1:11" x14ac:dyDescent="0.25">
      <c r="A37">
        <v>35</v>
      </c>
      <c r="B37">
        <v>35</v>
      </c>
      <c r="C37">
        <v>41</v>
      </c>
      <c r="D37">
        <v>7</v>
      </c>
      <c r="E37">
        <v>52</v>
      </c>
      <c r="F37">
        <v>4</v>
      </c>
      <c r="G37">
        <v>96</v>
      </c>
      <c r="H37">
        <v>1</v>
      </c>
      <c r="I37">
        <v>59</v>
      </c>
      <c r="J37">
        <v>480</v>
      </c>
      <c r="K37">
        <v>0</v>
      </c>
    </row>
    <row r="38" spans="1:11" x14ac:dyDescent="0.25">
      <c r="A38">
        <v>36</v>
      </c>
      <c r="B38">
        <v>36</v>
      </c>
      <c r="C38">
        <v>37</v>
      </c>
      <c r="D38">
        <v>9</v>
      </c>
      <c r="E38">
        <v>54</v>
      </c>
      <c r="F38">
        <v>2</v>
      </c>
      <c r="G38">
        <v>98</v>
      </c>
      <c r="H38">
        <v>4</v>
      </c>
      <c r="I38">
        <v>63</v>
      </c>
      <c r="J38">
        <v>488</v>
      </c>
      <c r="K38">
        <v>4</v>
      </c>
    </row>
    <row r="39" spans="1:11" x14ac:dyDescent="0.25">
      <c r="A39">
        <v>37</v>
      </c>
      <c r="B39">
        <v>37</v>
      </c>
      <c r="C39">
        <v>37</v>
      </c>
      <c r="D39">
        <v>9</v>
      </c>
      <c r="E39">
        <v>54</v>
      </c>
      <c r="F39">
        <v>76</v>
      </c>
      <c r="G39">
        <v>24</v>
      </c>
      <c r="H39">
        <v>0</v>
      </c>
      <c r="I39">
        <v>63</v>
      </c>
      <c r="J39">
        <v>120</v>
      </c>
      <c r="K39">
        <v>0</v>
      </c>
    </row>
    <row r="40" spans="1:11" x14ac:dyDescent="0.25">
      <c r="A40">
        <v>38</v>
      </c>
      <c r="B40">
        <v>38</v>
      </c>
      <c r="C40">
        <v>33</v>
      </c>
      <c r="D40">
        <v>13</v>
      </c>
      <c r="E40">
        <v>54</v>
      </c>
      <c r="F40">
        <v>4</v>
      </c>
      <c r="G40">
        <v>96</v>
      </c>
      <c r="H40">
        <v>4</v>
      </c>
      <c r="I40">
        <v>67</v>
      </c>
      <c r="J40">
        <v>476</v>
      </c>
      <c r="K40">
        <v>1</v>
      </c>
    </row>
    <row r="41" spans="1:11" x14ac:dyDescent="0.25">
      <c r="A41">
        <v>39</v>
      </c>
      <c r="B41">
        <v>39</v>
      </c>
      <c r="C41">
        <v>33</v>
      </c>
      <c r="D41">
        <v>9</v>
      </c>
      <c r="E41">
        <v>58</v>
      </c>
      <c r="F41">
        <v>77</v>
      </c>
      <c r="G41">
        <v>23</v>
      </c>
      <c r="H41">
        <v>0</v>
      </c>
      <c r="I41">
        <v>67</v>
      </c>
      <c r="J41">
        <v>114</v>
      </c>
      <c r="K41">
        <v>4</v>
      </c>
    </row>
    <row r="42" spans="1:11" x14ac:dyDescent="0.25">
      <c r="A42">
        <v>40</v>
      </c>
      <c r="B42">
        <v>40</v>
      </c>
      <c r="C42">
        <v>33</v>
      </c>
      <c r="D42">
        <v>9</v>
      </c>
      <c r="E42">
        <v>58</v>
      </c>
      <c r="F42">
        <v>79</v>
      </c>
      <c r="G42">
        <v>21</v>
      </c>
      <c r="H42">
        <v>0</v>
      </c>
      <c r="I42">
        <v>67</v>
      </c>
      <c r="J42">
        <v>104</v>
      </c>
      <c r="K42">
        <v>0</v>
      </c>
    </row>
    <row r="43" spans="1:11" x14ac:dyDescent="0.25">
      <c r="A43">
        <v>41</v>
      </c>
      <c r="B43">
        <v>41</v>
      </c>
      <c r="C43">
        <v>33</v>
      </c>
      <c r="D43">
        <v>8</v>
      </c>
      <c r="E43">
        <v>59</v>
      </c>
      <c r="F43">
        <v>6</v>
      </c>
      <c r="G43">
        <v>94</v>
      </c>
      <c r="H43">
        <v>0</v>
      </c>
      <c r="I43">
        <v>67</v>
      </c>
      <c r="J43">
        <v>468</v>
      </c>
      <c r="K43">
        <v>4</v>
      </c>
    </row>
    <row r="44" spans="1:11" x14ac:dyDescent="0.25">
      <c r="A44">
        <v>42</v>
      </c>
      <c r="B44">
        <v>42</v>
      </c>
      <c r="C44">
        <v>33</v>
      </c>
      <c r="D44">
        <v>4</v>
      </c>
      <c r="E44">
        <v>63</v>
      </c>
      <c r="F44">
        <v>78</v>
      </c>
      <c r="G44">
        <v>22</v>
      </c>
      <c r="H44">
        <v>0</v>
      </c>
      <c r="I44">
        <v>67</v>
      </c>
      <c r="J44">
        <v>108</v>
      </c>
      <c r="K44">
        <v>0</v>
      </c>
    </row>
    <row r="45" spans="1:11" x14ac:dyDescent="0.25">
      <c r="A45">
        <v>43</v>
      </c>
      <c r="B45">
        <v>43</v>
      </c>
      <c r="C45">
        <v>33</v>
      </c>
      <c r="D45">
        <v>4</v>
      </c>
      <c r="E45">
        <v>63</v>
      </c>
      <c r="F45">
        <v>6</v>
      </c>
      <c r="G45">
        <v>94</v>
      </c>
      <c r="H45">
        <v>0</v>
      </c>
      <c r="I45">
        <v>67</v>
      </c>
      <c r="J45">
        <v>468</v>
      </c>
      <c r="K45">
        <v>0</v>
      </c>
    </row>
    <row r="46" spans="1:11" x14ac:dyDescent="0.25">
      <c r="A46">
        <v>44</v>
      </c>
      <c r="B46">
        <v>44</v>
      </c>
      <c r="C46">
        <v>33</v>
      </c>
      <c r="D46">
        <v>0</v>
      </c>
      <c r="E46">
        <v>67</v>
      </c>
      <c r="F46">
        <v>2</v>
      </c>
      <c r="G46">
        <v>98</v>
      </c>
      <c r="H46">
        <v>0</v>
      </c>
      <c r="I46">
        <v>67</v>
      </c>
      <c r="J46">
        <v>486</v>
      </c>
      <c r="K4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E936-98BC-4652-A5BC-53329A576F24}">
  <dimension ref="A1:K24"/>
  <sheetViews>
    <sheetView workbookViewId="0">
      <selection activeCell="D24" sqref="D24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95</v>
      </c>
      <c r="D3">
        <v>5</v>
      </c>
      <c r="E3">
        <v>0</v>
      </c>
      <c r="F3">
        <v>1</v>
      </c>
      <c r="G3">
        <v>99</v>
      </c>
      <c r="H3">
        <v>3</v>
      </c>
      <c r="I3">
        <v>5</v>
      </c>
      <c r="J3">
        <v>492</v>
      </c>
      <c r="K3">
        <v>0</v>
      </c>
    </row>
    <row r="4" spans="1:11" x14ac:dyDescent="0.25">
      <c r="A4">
        <v>2</v>
      </c>
      <c r="B4">
        <v>2</v>
      </c>
      <c r="C4">
        <v>91</v>
      </c>
      <c r="D4">
        <v>9</v>
      </c>
      <c r="E4">
        <v>0</v>
      </c>
      <c r="F4">
        <v>1</v>
      </c>
      <c r="G4">
        <v>99</v>
      </c>
      <c r="H4">
        <v>4</v>
      </c>
      <c r="I4">
        <v>9</v>
      </c>
      <c r="J4">
        <v>494</v>
      </c>
      <c r="K4">
        <v>0</v>
      </c>
    </row>
    <row r="5" spans="1:11" x14ac:dyDescent="0.25">
      <c r="A5">
        <v>3</v>
      </c>
      <c r="B5">
        <v>3</v>
      </c>
      <c r="C5">
        <v>87</v>
      </c>
      <c r="D5">
        <v>13</v>
      </c>
      <c r="E5">
        <v>0</v>
      </c>
      <c r="F5">
        <v>3</v>
      </c>
      <c r="G5">
        <v>97</v>
      </c>
      <c r="H5">
        <v>4</v>
      </c>
      <c r="I5">
        <v>13</v>
      </c>
      <c r="J5">
        <v>484</v>
      </c>
      <c r="K5">
        <v>2</v>
      </c>
    </row>
    <row r="6" spans="1:11" x14ac:dyDescent="0.25">
      <c r="A6">
        <v>4</v>
      </c>
      <c r="B6">
        <v>4</v>
      </c>
      <c r="C6">
        <v>82</v>
      </c>
      <c r="D6">
        <v>18</v>
      </c>
      <c r="E6">
        <v>0</v>
      </c>
      <c r="F6">
        <v>50</v>
      </c>
      <c r="G6">
        <v>50</v>
      </c>
      <c r="H6">
        <v>5</v>
      </c>
      <c r="I6">
        <v>18</v>
      </c>
      <c r="J6">
        <v>246</v>
      </c>
      <c r="K6">
        <v>3</v>
      </c>
    </row>
    <row r="7" spans="1:11" x14ac:dyDescent="0.25">
      <c r="A7">
        <v>5</v>
      </c>
      <c r="B7">
        <v>5</v>
      </c>
      <c r="C7">
        <v>76</v>
      </c>
      <c r="D7">
        <v>24</v>
      </c>
      <c r="E7">
        <v>0</v>
      </c>
      <c r="F7">
        <v>55</v>
      </c>
      <c r="G7">
        <v>45</v>
      </c>
      <c r="H7">
        <v>6</v>
      </c>
      <c r="I7">
        <v>24</v>
      </c>
      <c r="J7">
        <v>222</v>
      </c>
      <c r="K7">
        <v>4</v>
      </c>
    </row>
    <row r="8" spans="1:11" x14ac:dyDescent="0.25">
      <c r="A8">
        <v>6</v>
      </c>
      <c r="B8">
        <v>6</v>
      </c>
      <c r="C8">
        <v>66</v>
      </c>
      <c r="D8">
        <v>32</v>
      </c>
      <c r="E8">
        <v>2</v>
      </c>
      <c r="F8">
        <v>53</v>
      </c>
      <c r="G8">
        <v>47</v>
      </c>
      <c r="H8">
        <v>10</v>
      </c>
      <c r="I8">
        <v>34</v>
      </c>
      <c r="J8">
        <v>234</v>
      </c>
      <c r="K8">
        <v>4</v>
      </c>
    </row>
    <row r="9" spans="1:11" x14ac:dyDescent="0.25">
      <c r="A9">
        <v>7</v>
      </c>
      <c r="B9">
        <v>7</v>
      </c>
      <c r="C9">
        <v>62</v>
      </c>
      <c r="D9">
        <v>33</v>
      </c>
      <c r="E9">
        <v>5</v>
      </c>
      <c r="F9">
        <v>51</v>
      </c>
      <c r="G9">
        <v>49</v>
      </c>
      <c r="H9">
        <v>4</v>
      </c>
      <c r="I9">
        <v>38</v>
      </c>
      <c r="J9">
        <v>244</v>
      </c>
      <c r="K9">
        <v>5</v>
      </c>
    </row>
    <row r="10" spans="1:11" x14ac:dyDescent="0.25">
      <c r="A10">
        <v>8</v>
      </c>
      <c r="B10">
        <v>8</v>
      </c>
      <c r="C10">
        <v>57</v>
      </c>
      <c r="D10">
        <v>34</v>
      </c>
      <c r="E10">
        <v>9</v>
      </c>
      <c r="F10">
        <v>61</v>
      </c>
      <c r="G10">
        <v>39</v>
      </c>
      <c r="H10">
        <v>5</v>
      </c>
      <c r="I10">
        <v>43</v>
      </c>
      <c r="J10">
        <v>194</v>
      </c>
      <c r="K10">
        <v>6</v>
      </c>
    </row>
    <row r="11" spans="1:11" x14ac:dyDescent="0.25">
      <c r="A11">
        <v>9</v>
      </c>
      <c r="B11">
        <v>9</v>
      </c>
      <c r="C11">
        <v>48</v>
      </c>
      <c r="D11">
        <v>39</v>
      </c>
      <c r="E11">
        <v>13</v>
      </c>
      <c r="F11">
        <v>59</v>
      </c>
      <c r="G11">
        <v>41</v>
      </c>
      <c r="H11">
        <v>9</v>
      </c>
      <c r="I11">
        <v>52</v>
      </c>
      <c r="J11">
        <v>202</v>
      </c>
      <c r="K11">
        <v>10</v>
      </c>
    </row>
    <row r="12" spans="1:11" x14ac:dyDescent="0.25">
      <c r="A12">
        <v>10</v>
      </c>
      <c r="B12">
        <v>10</v>
      </c>
      <c r="C12">
        <v>41</v>
      </c>
      <c r="D12">
        <v>41</v>
      </c>
      <c r="E12">
        <v>18</v>
      </c>
      <c r="F12">
        <v>54</v>
      </c>
      <c r="G12">
        <v>46</v>
      </c>
      <c r="H12">
        <v>7</v>
      </c>
      <c r="I12">
        <v>59</v>
      </c>
      <c r="J12">
        <v>230</v>
      </c>
      <c r="K12">
        <v>4</v>
      </c>
    </row>
    <row r="13" spans="1:11" x14ac:dyDescent="0.25">
      <c r="A13">
        <v>11</v>
      </c>
      <c r="B13">
        <v>11</v>
      </c>
      <c r="C13">
        <v>35</v>
      </c>
      <c r="D13">
        <v>41</v>
      </c>
      <c r="E13">
        <v>24</v>
      </c>
      <c r="F13">
        <v>58</v>
      </c>
      <c r="G13">
        <v>42</v>
      </c>
      <c r="H13">
        <v>6</v>
      </c>
      <c r="I13">
        <v>65</v>
      </c>
      <c r="J13">
        <v>210</v>
      </c>
      <c r="K13">
        <v>5</v>
      </c>
    </row>
    <row r="14" spans="1:11" x14ac:dyDescent="0.25">
      <c r="A14">
        <v>12</v>
      </c>
      <c r="B14">
        <v>12</v>
      </c>
      <c r="C14">
        <v>33</v>
      </c>
      <c r="D14">
        <v>33</v>
      </c>
      <c r="E14">
        <v>34</v>
      </c>
      <c r="F14">
        <v>62</v>
      </c>
      <c r="G14">
        <v>38</v>
      </c>
      <c r="H14">
        <v>2</v>
      </c>
      <c r="I14">
        <v>67</v>
      </c>
      <c r="J14">
        <v>188</v>
      </c>
      <c r="K14">
        <v>9</v>
      </c>
    </row>
    <row r="15" spans="1:11" x14ac:dyDescent="0.25">
      <c r="A15">
        <v>13</v>
      </c>
      <c r="B15">
        <v>13</v>
      </c>
      <c r="C15">
        <v>30</v>
      </c>
      <c r="D15">
        <v>32</v>
      </c>
      <c r="E15">
        <v>38</v>
      </c>
      <c r="F15">
        <v>65</v>
      </c>
      <c r="G15">
        <v>35</v>
      </c>
      <c r="H15">
        <v>3</v>
      </c>
      <c r="I15">
        <v>70</v>
      </c>
      <c r="J15">
        <v>172</v>
      </c>
      <c r="K15">
        <v>7</v>
      </c>
    </row>
    <row r="16" spans="1:11" x14ac:dyDescent="0.25">
      <c r="A16">
        <v>14</v>
      </c>
      <c r="B16">
        <v>14</v>
      </c>
      <c r="C16">
        <v>28</v>
      </c>
      <c r="D16">
        <v>29</v>
      </c>
      <c r="E16">
        <v>43</v>
      </c>
      <c r="F16">
        <v>61</v>
      </c>
      <c r="G16">
        <v>39</v>
      </c>
      <c r="H16">
        <v>2</v>
      </c>
      <c r="I16">
        <v>72</v>
      </c>
      <c r="J16">
        <v>192</v>
      </c>
      <c r="K16">
        <v>6</v>
      </c>
    </row>
    <row r="17" spans="1:11" x14ac:dyDescent="0.25">
      <c r="A17">
        <v>15</v>
      </c>
      <c r="B17">
        <v>15</v>
      </c>
      <c r="C17">
        <v>28</v>
      </c>
      <c r="D17">
        <v>20</v>
      </c>
      <c r="E17">
        <v>52</v>
      </c>
      <c r="F17">
        <v>54</v>
      </c>
      <c r="G17">
        <v>46</v>
      </c>
      <c r="H17">
        <v>0</v>
      </c>
      <c r="I17">
        <v>72</v>
      </c>
      <c r="J17">
        <v>228</v>
      </c>
      <c r="K17">
        <v>2</v>
      </c>
    </row>
    <row r="18" spans="1:11" x14ac:dyDescent="0.25">
      <c r="A18">
        <v>16</v>
      </c>
      <c r="B18">
        <v>16</v>
      </c>
      <c r="C18">
        <v>24</v>
      </c>
      <c r="D18">
        <v>17</v>
      </c>
      <c r="E18">
        <v>59</v>
      </c>
      <c r="F18">
        <v>47</v>
      </c>
      <c r="G18">
        <v>53</v>
      </c>
      <c r="H18">
        <v>4</v>
      </c>
      <c r="I18">
        <v>76</v>
      </c>
      <c r="J18">
        <v>264</v>
      </c>
      <c r="K18">
        <v>3</v>
      </c>
    </row>
    <row r="19" spans="1:11" x14ac:dyDescent="0.25">
      <c r="A19">
        <v>17</v>
      </c>
      <c r="B19">
        <v>17</v>
      </c>
      <c r="C19">
        <v>24</v>
      </c>
      <c r="D19">
        <v>11</v>
      </c>
      <c r="E19">
        <v>65</v>
      </c>
      <c r="F19">
        <v>54</v>
      </c>
      <c r="G19">
        <v>46</v>
      </c>
      <c r="H19">
        <v>0</v>
      </c>
      <c r="I19">
        <v>76</v>
      </c>
      <c r="J19">
        <v>226</v>
      </c>
      <c r="K19">
        <v>2</v>
      </c>
    </row>
    <row r="20" spans="1:11" x14ac:dyDescent="0.25">
      <c r="A20">
        <v>18</v>
      </c>
      <c r="B20">
        <v>18</v>
      </c>
      <c r="C20">
        <v>24</v>
      </c>
      <c r="D20">
        <v>9</v>
      </c>
      <c r="E20">
        <v>67</v>
      </c>
      <c r="F20">
        <v>51</v>
      </c>
      <c r="G20">
        <v>49</v>
      </c>
      <c r="H20">
        <v>0</v>
      </c>
      <c r="I20">
        <v>76</v>
      </c>
      <c r="J20">
        <v>242</v>
      </c>
      <c r="K20">
        <v>0</v>
      </c>
    </row>
    <row r="21" spans="1:11" x14ac:dyDescent="0.25">
      <c r="A21">
        <v>19</v>
      </c>
      <c r="B21">
        <v>19</v>
      </c>
      <c r="C21">
        <v>24</v>
      </c>
      <c r="D21">
        <v>6</v>
      </c>
      <c r="E21">
        <v>70</v>
      </c>
      <c r="F21">
        <v>9</v>
      </c>
      <c r="G21">
        <v>91</v>
      </c>
      <c r="H21">
        <v>0</v>
      </c>
      <c r="I21">
        <v>76</v>
      </c>
      <c r="J21">
        <v>454</v>
      </c>
      <c r="K21">
        <v>4</v>
      </c>
    </row>
    <row r="22" spans="1:11" x14ac:dyDescent="0.25">
      <c r="A22">
        <v>20</v>
      </c>
      <c r="B22">
        <v>20</v>
      </c>
      <c r="C22">
        <v>24</v>
      </c>
      <c r="D22">
        <v>4</v>
      </c>
      <c r="E22">
        <v>72</v>
      </c>
      <c r="F22">
        <v>48</v>
      </c>
      <c r="G22">
        <v>52</v>
      </c>
      <c r="H22">
        <v>0</v>
      </c>
      <c r="I22">
        <v>76</v>
      </c>
      <c r="J22">
        <v>258</v>
      </c>
      <c r="K22">
        <v>0</v>
      </c>
    </row>
    <row r="23" spans="1:11" x14ac:dyDescent="0.25">
      <c r="A23">
        <v>21</v>
      </c>
      <c r="B23">
        <v>21</v>
      </c>
      <c r="C23">
        <v>24</v>
      </c>
      <c r="D23">
        <v>4</v>
      </c>
      <c r="E23">
        <v>72</v>
      </c>
      <c r="F23">
        <v>2</v>
      </c>
      <c r="G23">
        <v>98</v>
      </c>
      <c r="H23">
        <v>0</v>
      </c>
      <c r="I23">
        <v>76</v>
      </c>
      <c r="J23">
        <v>488</v>
      </c>
      <c r="K23">
        <v>0</v>
      </c>
    </row>
    <row r="24" spans="1:11" x14ac:dyDescent="0.25">
      <c r="A24">
        <v>22</v>
      </c>
      <c r="B24">
        <v>22</v>
      </c>
      <c r="C24">
        <v>24</v>
      </c>
      <c r="D24">
        <v>0</v>
      </c>
      <c r="E24">
        <v>76</v>
      </c>
      <c r="F24">
        <v>5</v>
      </c>
      <c r="G24">
        <v>95</v>
      </c>
      <c r="H24">
        <v>0</v>
      </c>
      <c r="I24">
        <v>76</v>
      </c>
      <c r="J24">
        <v>474</v>
      </c>
      <c r="K24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6B1B-18F6-4657-B815-6357699C2BFB}">
  <dimension ref="A1:K29"/>
  <sheetViews>
    <sheetView workbookViewId="0">
      <selection activeCell="U47" sqref="U47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97</v>
      </c>
      <c r="D3">
        <v>3</v>
      </c>
      <c r="E3">
        <v>0</v>
      </c>
      <c r="F3">
        <v>2</v>
      </c>
      <c r="G3">
        <v>98</v>
      </c>
      <c r="H3">
        <v>1</v>
      </c>
      <c r="I3">
        <v>3</v>
      </c>
      <c r="J3">
        <v>488</v>
      </c>
      <c r="K3">
        <v>0</v>
      </c>
    </row>
    <row r="4" spans="1:11" x14ac:dyDescent="0.25">
      <c r="A4">
        <v>2</v>
      </c>
      <c r="B4">
        <v>2</v>
      </c>
      <c r="C4">
        <v>95</v>
      </c>
      <c r="D4">
        <v>5</v>
      </c>
      <c r="E4">
        <v>0</v>
      </c>
      <c r="F4">
        <v>3</v>
      </c>
      <c r="G4">
        <v>97</v>
      </c>
      <c r="H4">
        <v>2</v>
      </c>
      <c r="I4">
        <v>5</v>
      </c>
      <c r="J4">
        <v>484</v>
      </c>
      <c r="K4">
        <v>0</v>
      </c>
    </row>
    <row r="5" spans="1:11" x14ac:dyDescent="0.25">
      <c r="A5">
        <v>3</v>
      </c>
      <c r="B5">
        <v>3</v>
      </c>
      <c r="C5">
        <v>91</v>
      </c>
      <c r="D5">
        <v>9</v>
      </c>
      <c r="E5">
        <v>0</v>
      </c>
      <c r="F5">
        <v>3</v>
      </c>
      <c r="G5">
        <v>97</v>
      </c>
      <c r="H5">
        <v>4</v>
      </c>
      <c r="I5">
        <v>9</v>
      </c>
      <c r="J5">
        <v>484</v>
      </c>
      <c r="K5">
        <v>2</v>
      </c>
    </row>
    <row r="6" spans="1:11" x14ac:dyDescent="0.25">
      <c r="A6">
        <v>4</v>
      </c>
      <c r="B6">
        <v>4</v>
      </c>
      <c r="C6">
        <v>86</v>
      </c>
      <c r="D6">
        <v>14</v>
      </c>
      <c r="E6">
        <v>0</v>
      </c>
      <c r="F6">
        <v>46</v>
      </c>
      <c r="G6">
        <v>54</v>
      </c>
      <c r="H6">
        <v>5</v>
      </c>
      <c r="I6">
        <v>14</v>
      </c>
      <c r="J6">
        <v>270</v>
      </c>
      <c r="K6">
        <v>1</v>
      </c>
    </row>
    <row r="7" spans="1:11" x14ac:dyDescent="0.25">
      <c r="A7">
        <v>5</v>
      </c>
      <c r="B7">
        <v>5</v>
      </c>
      <c r="C7">
        <v>79</v>
      </c>
      <c r="D7">
        <v>21</v>
      </c>
      <c r="E7">
        <v>0</v>
      </c>
      <c r="F7">
        <v>21</v>
      </c>
      <c r="G7">
        <v>79</v>
      </c>
      <c r="H7">
        <v>7</v>
      </c>
      <c r="I7">
        <v>21</v>
      </c>
      <c r="J7">
        <v>392</v>
      </c>
      <c r="K7">
        <v>2</v>
      </c>
    </row>
    <row r="8" spans="1:11" x14ac:dyDescent="0.25">
      <c r="A8">
        <v>6</v>
      </c>
      <c r="B8">
        <v>6</v>
      </c>
      <c r="C8">
        <v>71</v>
      </c>
      <c r="D8">
        <v>27</v>
      </c>
      <c r="E8">
        <v>2</v>
      </c>
      <c r="F8">
        <v>49</v>
      </c>
      <c r="G8">
        <v>51</v>
      </c>
      <c r="H8">
        <v>8</v>
      </c>
      <c r="I8">
        <v>29</v>
      </c>
      <c r="J8">
        <v>252</v>
      </c>
      <c r="K8">
        <v>4</v>
      </c>
    </row>
    <row r="9" spans="1:11" x14ac:dyDescent="0.25">
      <c r="A9">
        <v>7</v>
      </c>
      <c r="B9">
        <v>7</v>
      </c>
      <c r="C9">
        <v>65</v>
      </c>
      <c r="D9">
        <v>32</v>
      </c>
      <c r="E9">
        <v>3</v>
      </c>
      <c r="F9">
        <v>51</v>
      </c>
      <c r="G9">
        <v>49</v>
      </c>
      <c r="H9">
        <v>6</v>
      </c>
      <c r="I9">
        <v>35</v>
      </c>
      <c r="J9">
        <v>244</v>
      </c>
      <c r="K9">
        <v>5</v>
      </c>
    </row>
    <row r="10" spans="1:11" x14ac:dyDescent="0.25">
      <c r="A10">
        <v>8</v>
      </c>
      <c r="B10">
        <v>8</v>
      </c>
      <c r="C10">
        <v>54</v>
      </c>
      <c r="D10">
        <v>41</v>
      </c>
      <c r="E10">
        <v>5</v>
      </c>
      <c r="F10">
        <v>49</v>
      </c>
      <c r="G10">
        <v>51</v>
      </c>
      <c r="H10">
        <v>11</v>
      </c>
      <c r="I10">
        <v>46</v>
      </c>
      <c r="J10">
        <v>254</v>
      </c>
      <c r="K10">
        <v>7</v>
      </c>
    </row>
    <row r="11" spans="1:11" x14ac:dyDescent="0.25">
      <c r="A11">
        <v>9</v>
      </c>
      <c r="B11">
        <v>9</v>
      </c>
      <c r="C11">
        <v>50</v>
      </c>
      <c r="D11">
        <v>41</v>
      </c>
      <c r="E11">
        <v>9</v>
      </c>
      <c r="F11">
        <v>65</v>
      </c>
      <c r="G11">
        <v>35</v>
      </c>
      <c r="H11">
        <v>4</v>
      </c>
      <c r="I11">
        <v>50</v>
      </c>
      <c r="J11">
        <v>172</v>
      </c>
      <c r="K11">
        <v>8</v>
      </c>
    </row>
    <row r="12" spans="1:11" x14ac:dyDescent="0.25">
      <c r="A12">
        <v>10</v>
      </c>
      <c r="B12">
        <v>10</v>
      </c>
      <c r="C12">
        <v>42</v>
      </c>
      <c r="D12">
        <v>44</v>
      </c>
      <c r="E12">
        <v>14</v>
      </c>
      <c r="F12">
        <v>61</v>
      </c>
      <c r="G12">
        <v>39</v>
      </c>
      <c r="H12">
        <v>8</v>
      </c>
      <c r="I12">
        <v>58</v>
      </c>
      <c r="J12">
        <v>194</v>
      </c>
      <c r="K12">
        <v>6</v>
      </c>
    </row>
    <row r="13" spans="1:11" x14ac:dyDescent="0.25">
      <c r="A13">
        <v>11</v>
      </c>
      <c r="B13">
        <v>11</v>
      </c>
      <c r="C13">
        <v>36</v>
      </c>
      <c r="D13">
        <v>43</v>
      </c>
      <c r="E13">
        <v>21</v>
      </c>
      <c r="F13">
        <v>64</v>
      </c>
      <c r="G13">
        <v>36</v>
      </c>
      <c r="H13">
        <v>6</v>
      </c>
      <c r="I13">
        <v>64</v>
      </c>
      <c r="J13">
        <v>176</v>
      </c>
      <c r="K13">
        <v>11</v>
      </c>
    </row>
    <row r="14" spans="1:11" x14ac:dyDescent="0.25">
      <c r="A14">
        <v>12</v>
      </c>
      <c r="B14">
        <v>12</v>
      </c>
      <c r="C14">
        <v>35</v>
      </c>
      <c r="D14">
        <v>36</v>
      </c>
      <c r="E14">
        <v>29</v>
      </c>
      <c r="F14">
        <v>64</v>
      </c>
      <c r="G14">
        <v>36</v>
      </c>
      <c r="H14">
        <v>1</v>
      </c>
      <c r="I14">
        <v>65</v>
      </c>
      <c r="J14">
        <v>180</v>
      </c>
      <c r="K14">
        <v>4</v>
      </c>
    </row>
    <row r="15" spans="1:11" x14ac:dyDescent="0.25">
      <c r="A15">
        <v>13</v>
      </c>
      <c r="B15">
        <v>13</v>
      </c>
      <c r="C15">
        <v>31</v>
      </c>
      <c r="D15">
        <v>34</v>
      </c>
      <c r="E15">
        <v>35</v>
      </c>
      <c r="F15">
        <v>53</v>
      </c>
      <c r="G15">
        <v>47</v>
      </c>
      <c r="H15">
        <v>4</v>
      </c>
      <c r="I15">
        <v>69</v>
      </c>
      <c r="J15">
        <v>234</v>
      </c>
      <c r="K15">
        <v>8</v>
      </c>
    </row>
    <row r="16" spans="1:11" x14ac:dyDescent="0.25">
      <c r="A16">
        <v>14</v>
      </c>
      <c r="B16">
        <v>14</v>
      </c>
      <c r="C16">
        <v>30</v>
      </c>
      <c r="D16">
        <v>24</v>
      </c>
      <c r="E16">
        <v>46</v>
      </c>
      <c r="F16">
        <v>55</v>
      </c>
      <c r="G16">
        <v>45</v>
      </c>
      <c r="H16">
        <v>1</v>
      </c>
      <c r="I16">
        <v>70</v>
      </c>
      <c r="J16">
        <v>224</v>
      </c>
      <c r="K16">
        <v>6</v>
      </c>
    </row>
    <row r="17" spans="1:11" x14ac:dyDescent="0.25">
      <c r="A17">
        <v>15</v>
      </c>
      <c r="B17">
        <v>15</v>
      </c>
      <c r="C17">
        <v>30</v>
      </c>
      <c r="D17">
        <v>20</v>
      </c>
      <c r="E17">
        <v>50</v>
      </c>
      <c r="F17">
        <v>54</v>
      </c>
      <c r="G17">
        <v>46</v>
      </c>
      <c r="H17">
        <v>0</v>
      </c>
      <c r="I17">
        <v>70</v>
      </c>
      <c r="J17">
        <v>230</v>
      </c>
      <c r="K17">
        <v>1</v>
      </c>
    </row>
    <row r="18" spans="1:11" x14ac:dyDescent="0.25">
      <c r="A18">
        <v>16</v>
      </c>
      <c r="B18">
        <v>16</v>
      </c>
      <c r="C18">
        <v>27</v>
      </c>
      <c r="D18">
        <v>15</v>
      </c>
      <c r="E18">
        <v>58</v>
      </c>
      <c r="F18">
        <v>30</v>
      </c>
      <c r="G18">
        <v>70</v>
      </c>
      <c r="H18">
        <v>3</v>
      </c>
      <c r="I18">
        <v>73</v>
      </c>
      <c r="J18">
        <v>350</v>
      </c>
      <c r="K18">
        <v>4</v>
      </c>
    </row>
    <row r="19" spans="1:11" x14ac:dyDescent="0.25">
      <c r="A19">
        <v>17</v>
      </c>
      <c r="B19">
        <v>17</v>
      </c>
      <c r="C19">
        <v>27</v>
      </c>
      <c r="D19">
        <v>9</v>
      </c>
      <c r="E19">
        <v>64</v>
      </c>
      <c r="F19">
        <v>56</v>
      </c>
      <c r="G19">
        <v>44</v>
      </c>
      <c r="H19">
        <v>0</v>
      </c>
      <c r="I19">
        <v>73</v>
      </c>
      <c r="J19">
        <v>216</v>
      </c>
      <c r="K19">
        <v>1</v>
      </c>
    </row>
    <row r="20" spans="1:11" x14ac:dyDescent="0.25">
      <c r="A20">
        <v>18</v>
      </c>
      <c r="B20">
        <v>18</v>
      </c>
      <c r="C20">
        <v>26</v>
      </c>
      <c r="D20">
        <v>9</v>
      </c>
      <c r="E20">
        <v>65</v>
      </c>
      <c r="F20">
        <v>28</v>
      </c>
      <c r="G20">
        <v>72</v>
      </c>
      <c r="H20">
        <v>1</v>
      </c>
      <c r="I20">
        <v>74</v>
      </c>
      <c r="J20">
        <v>360</v>
      </c>
      <c r="K20">
        <v>0</v>
      </c>
    </row>
    <row r="21" spans="1:11" x14ac:dyDescent="0.25">
      <c r="A21">
        <v>19</v>
      </c>
      <c r="B21">
        <v>19</v>
      </c>
      <c r="C21">
        <v>25</v>
      </c>
      <c r="D21">
        <v>6</v>
      </c>
      <c r="E21">
        <v>69</v>
      </c>
      <c r="F21">
        <v>3</v>
      </c>
      <c r="G21">
        <v>97</v>
      </c>
      <c r="H21">
        <v>1</v>
      </c>
      <c r="I21">
        <v>75</v>
      </c>
      <c r="J21">
        <v>484</v>
      </c>
      <c r="K21">
        <v>3</v>
      </c>
    </row>
    <row r="22" spans="1:11" x14ac:dyDescent="0.25">
      <c r="A22">
        <v>20</v>
      </c>
      <c r="B22">
        <v>20</v>
      </c>
      <c r="C22">
        <v>25</v>
      </c>
      <c r="D22">
        <v>5</v>
      </c>
      <c r="E22">
        <v>70</v>
      </c>
      <c r="F22">
        <v>50</v>
      </c>
      <c r="G22">
        <v>50</v>
      </c>
      <c r="H22">
        <v>0</v>
      </c>
      <c r="I22">
        <v>75</v>
      </c>
      <c r="J22">
        <v>248</v>
      </c>
      <c r="K22">
        <v>0</v>
      </c>
    </row>
    <row r="23" spans="1:11" x14ac:dyDescent="0.25">
      <c r="A23">
        <v>21</v>
      </c>
      <c r="B23">
        <v>21</v>
      </c>
      <c r="C23">
        <v>23</v>
      </c>
      <c r="D23">
        <v>7</v>
      </c>
      <c r="E23">
        <v>70</v>
      </c>
      <c r="F23">
        <v>4</v>
      </c>
      <c r="G23">
        <v>96</v>
      </c>
      <c r="H23">
        <v>2</v>
      </c>
      <c r="I23">
        <v>77</v>
      </c>
      <c r="J23">
        <v>478</v>
      </c>
      <c r="K23">
        <v>1</v>
      </c>
    </row>
    <row r="24" spans="1:11" x14ac:dyDescent="0.25">
      <c r="A24">
        <v>22</v>
      </c>
      <c r="B24">
        <v>22</v>
      </c>
      <c r="C24">
        <v>23</v>
      </c>
      <c r="D24">
        <v>4</v>
      </c>
      <c r="E24">
        <v>73</v>
      </c>
      <c r="F24">
        <v>28</v>
      </c>
      <c r="G24">
        <v>72</v>
      </c>
      <c r="H24">
        <v>0</v>
      </c>
      <c r="I24">
        <v>77</v>
      </c>
      <c r="J24">
        <v>360</v>
      </c>
      <c r="K24">
        <v>1</v>
      </c>
    </row>
    <row r="25" spans="1:11" x14ac:dyDescent="0.25">
      <c r="A25">
        <v>23</v>
      </c>
      <c r="B25">
        <v>23</v>
      </c>
      <c r="C25">
        <v>23</v>
      </c>
      <c r="D25">
        <v>4</v>
      </c>
      <c r="E25">
        <v>73</v>
      </c>
      <c r="F25">
        <v>24</v>
      </c>
      <c r="G25">
        <v>76</v>
      </c>
      <c r="H25">
        <v>0</v>
      </c>
      <c r="I25">
        <v>77</v>
      </c>
      <c r="J25">
        <v>378</v>
      </c>
      <c r="K25">
        <v>0</v>
      </c>
    </row>
    <row r="26" spans="1:11" x14ac:dyDescent="0.25">
      <c r="A26">
        <v>24</v>
      </c>
      <c r="B26">
        <v>24</v>
      </c>
      <c r="C26">
        <v>23</v>
      </c>
      <c r="D26">
        <v>3</v>
      </c>
      <c r="E26">
        <v>74</v>
      </c>
      <c r="F26">
        <v>5</v>
      </c>
      <c r="G26">
        <v>95</v>
      </c>
      <c r="H26">
        <v>0</v>
      </c>
      <c r="I26">
        <v>77</v>
      </c>
      <c r="J26">
        <v>472</v>
      </c>
      <c r="K26">
        <v>2</v>
      </c>
    </row>
    <row r="27" spans="1:11" x14ac:dyDescent="0.25">
      <c r="A27">
        <v>25</v>
      </c>
      <c r="B27">
        <v>25</v>
      </c>
      <c r="C27">
        <v>23</v>
      </c>
      <c r="D27">
        <v>2</v>
      </c>
      <c r="E27">
        <v>75</v>
      </c>
      <c r="F27">
        <v>47</v>
      </c>
      <c r="G27">
        <v>53</v>
      </c>
      <c r="H27">
        <v>0</v>
      </c>
      <c r="I27">
        <v>77</v>
      </c>
      <c r="J27">
        <v>264</v>
      </c>
      <c r="K27">
        <v>0</v>
      </c>
    </row>
    <row r="28" spans="1:11" x14ac:dyDescent="0.25">
      <c r="A28">
        <v>26</v>
      </c>
      <c r="B28">
        <v>26</v>
      </c>
      <c r="C28">
        <v>23</v>
      </c>
      <c r="D28">
        <v>2</v>
      </c>
      <c r="E28">
        <v>75</v>
      </c>
      <c r="F28">
        <v>4</v>
      </c>
      <c r="G28">
        <v>96</v>
      </c>
      <c r="H28">
        <v>0</v>
      </c>
      <c r="I28">
        <v>77</v>
      </c>
      <c r="J28">
        <v>478</v>
      </c>
      <c r="K28">
        <v>0</v>
      </c>
    </row>
    <row r="29" spans="1:11" x14ac:dyDescent="0.25">
      <c r="A29">
        <v>27</v>
      </c>
      <c r="B29">
        <v>27</v>
      </c>
      <c r="C29">
        <v>23</v>
      </c>
      <c r="D29">
        <v>0</v>
      </c>
      <c r="E29">
        <v>77</v>
      </c>
      <c r="F29">
        <v>5</v>
      </c>
      <c r="G29">
        <v>95</v>
      </c>
      <c r="H29">
        <v>0</v>
      </c>
      <c r="I29">
        <v>77</v>
      </c>
      <c r="J29">
        <v>470</v>
      </c>
      <c r="K2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DA47-1B74-4EB2-8539-ABE1942F1A9A}">
  <dimension ref="A1:K34"/>
  <sheetViews>
    <sheetView workbookViewId="0">
      <selection sqref="A1:XFD1048576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96</v>
      </c>
      <c r="D3">
        <v>4</v>
      </c>
      <c r="E3">
        <v>0</v>
      </c>
      <c r="F3">
        <v>5</v>
      </c>
      <c r="G3">
        <v>95</v>
      </c>
      <c r="H3">
        <v>2</v>
      </c>
      <c r="I3">
        <v>4</v>
      </c>
      <c r="J3">
        <v>472</v>
      </c>
      <c r="K3">
        <v>0</v>
      </c>
    </row>
    <row r="4" spans="1:11" x14ac:dyDescent="0.25">
      <c r="A4">
        <v>2</v>
      </c>
      <c r="B4">
        <v>2</v>
      </c>
      <c r="C4">
        <v>96</v>
      </c>
      <c r="D4">
        <v>4</v>
      </c>
      <c r="E4">
        <v>0</v>
      </c>
      <c r="F4">
        <v>5</v>
      </c>
      <c r="G4">
        <v>95</v>
      </c>
      <c r="H4">
        <v>0</v>
      </c>
      <c r="I4">
        <v>4</v>
      </c>
      <c r="J4">
        <v>472</v>
      </c>
      <c r="K4">
        <v>0</v>
      </c>
    </row>
    <row r="5" spans="1:11" x14ac:dyDescent="0.25">
      <c r="A5">
        <v>3</v>
      </c>
      <c r="B5">
        <v>3</v>
      </c>
      <c r="C5">
        <v>96</v>
      </c>
      <c r="D5">
        <v>4</v>
      </c>
      <c r="E5">
        <v>0</v>
      </c>
      <c r="F5">
        <v>5</v>
      </c>
      <c r="G5">
        <v>95</v>
      </c>
      <c r="H5">
        <v>0</v>
      </c>
      <c r="I5">
        <v>4</v>
      </c>
      <c r="J5">
        <v>474</v>
      </c>
      <c r="K5">
        <v>2</v>
      </c>
    </row>
    <row r="6" spans="1:11" x14ac:dyDescent="0.25">
      <c r="A6">
        <v>4</v>
      </c>
      <c r="B6">
        <v>4</v>
      </c>
      <c r="C6">
        <v>93</v>
      </c>
      <c r="D6">
        <v>7</v>
      </c>
      <c r="E6">
        <v>0</v>
      </c>
      <c r="F6">
        <v>46</v>
      </c>
      <c r="G6">
        <v>54</v>
      </c>
      <c r="H6">
        <v>3</v>
      </c>
      <c r="I6">
        <v>7</v>
      </c>
      <c r="J6">
        <v>266</v>
      </c>
      <c r="K6">
        <v>2</v>
      </c>
    </row>
    <row r="7" spans="1:11" x14ac:dyDescent="0.25">
      <c r="A7">
        <v>5</v>
      </c>
      <c r="B7">
        <v>5</v>
      </c>
      <c r="C7">
        <v>90</v>
      </c>
      <c r="D7">
        <v>10</v>
      </c>
      <c r="E7">
        <v>0</v>
      </c>
      <c r="F7">
        <v>51</v>
      </c>
      <c r="G7">
        <v>49</v>
      </c>
      <c r="H7">
        <v>3</v>
      </c>
      <c r="I7">
        <v>10</v>
      </c>
      <c r="J7">
        <v>242</v>
      </c>
      <c r="K7">
        <v>0</v>
      </c>
    </row>
    <row r="8" spans="1:11" x14ac:dyDescent="0.25">
      <c r="A8">
        <v>6</v>
      </c>
      <c r="B8">
        <v>6</v>
      </c>
      <c r="C8">
        <v>83</v>
      </c>
      <c r="D8">
        <v>15</v>
      </c>
      <c r="E8">
        <v>2</v>
      </c>
      <c r="F8">
        <v>7</v>
      </c>
      <c r="G8">
        <v>93</v>
      </c>
      <c r="H8">
        <v>7</v>
      </c>
      <c r="I8">
        <v>17</v>
      </c>
      <c r="J8">
        <v>464</v>
      </c>
      <c r="K8">
        <v>0</v>
      </c>
    </row>
    <row r="9" spans="1:11" x14ac:dyDescent="0.25">
      <c r="A9">
        <v>7</v>
      </c>
      <c r="B9">
        <v>7</v>
      </c>
      <c r="C9">
        <v>73</v>
      </c>
      <c r="D9">
        <v>23</v>
      </c>
      <c r="E9">
        <v>4</v>
      </c>
      <c r="F9">
        <v>7</v>
      </c>
      <c r="G9">
        <v>93</v>
      </c>
      <c r="H9">
        <v>10</v>
      </c>
      <c r="I9">
        <v>27</v>
      </c>
      <c r="J9">
        <v>464</v>
      </c>
      <c r="K9">
        <v>3</v>
      </c>
    </row>
    <row r="10" spans="1:11" x14ac:dyDescent="0.25">
      <c r="A10">
        <v>8</v>
      </c>
      <c r="B10">
        <v>8</v>
      </c>
      <c r="C10">
        <v>65</v>
      </c>
      <c r="D10">
        <v>31</v>
      </c>
      <c r="E10">
        <v>4</v>
      </c>
      <c r="F10">
        <v>57</v>
      </c>
      <c r="G10">
        <v>43</v>
      </c>
      <c r="H10">
        <v>8</v>
      </c>
      <c r="I10">
        <v>35</v>
      </c>
      <c r="J10">
        <v>212</v>
      </c>
      <c r="K10">
        <v>3</v>
      </c>
    </row>
    <row r="11" spans="1:11" x14ac:dyDescent="0.25">
      <c r="A11">
        <v>9</v>
      </c>
      <c r="B11">
        <v>9</v>
      </c>
      <c r="C11">
        <v>55</v>
      </c>
      <c r="D11">
        <v>41</v>
      </c>
      <c r="E11">
        <v>4</v>
      </c>
      <c r="F11">
        <v>54</v>
      </c>
      <c r="G11">
        <v>46</v>
      </c>
      <c r="H11">
        <v>10</v>
      </c>
      <c r="I11">
        <v>45</v>
      </c>
      <c r="J11">
        <v>230</v>
      </c>
      <c r="K11">
        <v>7</v>
      </c>
    </row>
    <row r="12" spans="1:11" x14ac:dyDescent="0.25">
      <c r="A12">
        <v>10</v>
      </c>
      <c r="B12">
        <v>10</v>
      </c>
      <c r="C12">
        <v>48</v>
      </c>
      <c r="D12">
        <v>45</v>
      </c>
      <c r="E12">
        <v>7</v>
      </c>
      <c r="F12">
        <v>65</v>
      </c>
      <c r="G12">
        <v>35</v>
      </c>
      <c r="H12">
        <v>7</v>
      </c>
      <c r="I12">
        <v>52</v>
      </c>
      <c r="J12">
        <v>174</v>
      </c>
      <c r="K12">
        <v>10</v>
      </c>
    </row>
    <row r="13" spans="1:11" x14ac:dyDescent="0.25">
      <c r="A13">
        <v>11</v>
      </c>
      <c r="B13">
        <v>11</v>
      </c>
      <c r="C13">
        <v>40</v>
      </c>
      <c r="D13">
        <v>50</v>
      </c>
      <c r="E13">
        <v>10</v>
      </c>
      <c r="F13">
        <v>59</v>
      </c>
      <c r="G13">
        <v>41</v>
      </c>
      <c r="H13">
        <v>8</v>
      </c>
      <c r="I13">
        <v>60</v>
      </c>
      <c r="J13">
        <v>202</v>
      </c>
      <c r="K13">
        <v>8</v>
      </c>
    </row>
    <row r="14" spans="1:11" x14ac:dyDescent="0.25">
      <c r="A14">
        <v>12</v>
      </c>
      <c r="B14">
        <v>12</v>
      </c>
      <c r="C14">
        <v>36</v>
      </c>
      <c r="D14">
        <v>47</v>
      </c>
      <c r="E14">
        <v>17</v>
      </c>
      <c r="F14">
        <v>61</v>
      </c>
      <c r="G14">
        <v>39</v>
      </c>
      <c r="H14">
        <v>4</v>
      </c>
      <c r="I14">
        <v>64</v>
      </c>
      <c r="J14">
        <v>194</v>
      </c>
      <c r="K14">
        <v>10</v>
      </c>
    </row>
    <row r="15" spans="1:11" x14ac:dyDescent="0.25">
      <c r="A15">
        <v>13</v>
      </c>
      <c r="B15">
        <v>13</v>
      </c>
      <c r="C15">
        <v>35</v>
      </c>
      <c r="D15">
        <v>38</v>
      </c>
      <c r="E15">
        <v>27</v>
      </c>
      <c r="F15">
        <v>59</v>
      </c>
      <c r="G15">
        <v>41</v>
      </c>
      <c r="H15">
        <v>1</v>
      </c>
      <c r="I15">
        <v>65</v>
      </c>
      <c r="J15">
        <v>202</v>
      </c>
      <c r="K15">
        <v>7</v>
      </c>
    </row>
    <row r="16" spans="1:11" x14ac:dyDescent="0.25">
      <c r="A16">
        <v>14</v>
      </c>
      <c r="B16">
        <v>14</v>
      </c>
      <c r="C16">
        <v>33</v>
      </c>
      <c r="D16">
        <v>32</v>
      </c>
      <c r="E16">
        <v>35</v>
      </c>
      <c r="F16">
        <v>63</v>
      </c>
      <c r="G16">
        <v>37</v>
      </c>
      <c r="H16">
        <v>2</v>
      </c>
      <c r="I16">
        <v>67</v>
      </c>
      <c r="J16">
        <v>184</v>
      </c>
      <c r="K16">
        <v>8</v>
      </c>
    </row>
    <row r="17" spans="1:11" x14ac:dyDescent="0.25">
      <c r="A17">
        <v>15</v>
      </c>
      <c r="B17">
        <v>15</v>
      </c>
      <c r="C17">
        <v>33</v>
      </c>
      <c r="D17">
        <v>22</v>
      </c>
      <c r="E17">
        <v>45</v>
      </c>
      <c r="F17">
        <v>65</v>
      </c>
      <c r="G17">
        <v>35</v>
      </c>
      <c r="H17">
        <v>0</v>
      </c>
      <c r="I17">
        <v>67</v>
      </c>
      <c r="J17">
        <v>174</v>
      </c>
      <c r="K17">
        <v>4</v>
      </c>
    </row>
    <row r="18" spans="1:11" x14ac:dyDescent="0.25">
      <c r="A18">
        <v>16</v>
      </c>
      <c r="B18">
        <v>16</v>
      </c>
      <c r="C18">
        <v>32</v>
      </c>
      <c r="D18">
        <v>16</v>
      </c>
      <c r="E18">
        <v>52</v>
      </c>
      <c r="F18">
        <v>57</v>
      </c>
      <c r="G18">
        <v>43</v>
      </c>
      <c r="H18">
        <v>1</v>
      </c>
      <c r="I18">
        <v>68</v>
      </c>
      <c r="J18">
        <v>214</v>
      </c>
      <c r="K18">
        <v>1</v>
      </c>
    </row>
    <row r="19" spans="1:11" x14ac:dyDescent="0.25">
      <c r="A19">
        <v>17</v>
      </c>
      <c r="B19">
        <v>17</v>
      </c>
      <c r="C19">
        <v>30</v>
      </c>
      <c r="D19">
        <v>10</v>
      </c>
      <c r="E19">
        <v>60</v>
      </c>
      <c r="F19">
        <v>36</v>
      </c>
      <c r="G19">
        <v>64</v>
      </c>
      <c r="H19">
        <v>2</v>
      </c>
      <c r="I19">
        <v>70</v>
      </c>
      <c r="J19">
        <v>318</v>
      </c>
      <c r="K19">
        <v>2</v>
      </c>
    </row>
    <row r="20" spans="1:11" x14ac:dyDescent="0.25">
      <c r="A20">
        <v>18</v>
      </c>
      <c r="B20">
        <v>18</v>
      </c>
      <c r="C20">
        <v>29</v>
      </c>
      <c r="D20">
        <v>7</v>
      </c>
      <c r="E20">
        <v>64</v>
      </c>
      <c r="F20">
        <v>47</v>
      </c>
      <c r="G20">
        <v>53</v>
      </c>
      <c r="H20">
        <v>1</v>
      </c>
      <c r="I20">
        <v>71</v>
      </c>
      <c r="J20">
        <v>264</v>
      </c>
      <c r="K20">
        <v>0</v>
      </c>
    </row>
    <row r="21" spans="1:11" x14ac:dyDescent="0.25">
      <c r="A21">
        <v>19</v>
      </c>
      <c r="B21">
        <v>19</v>
      </c>
      <c r="C21">
        <v>28</v>
      </c>
      <c r="D21">
        <v>7</v>
      </c>
      <c r="E21">
        <v>65</v>
      </c>
      <c r="F21">
        <v>4</v>
      </c>
      <c r="G21">
        <v>96</v>
      </c>
      <c r="H21">
        <v>1</v>
      </c>
      <c r="I21">
        <v>72</v>
      </c>
      <c r="J21">
        <v>480</v>
      </c>
      <c r="K21">
        <v>1</v>
      </c>
    </row>
    <row r="22" spans="1:11" x14ac:dyDescent="0.25">
      <c r="A22">
        <v>20</v>
      </c>
      <c r="B22">
        <v>20</v>
      </c>
      <c r="C22">
        <v>28</v>
      </c>
      <c r="D22">
        <v>5</v>
      </c>
      <c r="E22">
        <v>67</v>
      </c>
      <c r="F22">
        <v>35</v>
      </c>
      <c r="G22">
        <v>65</v>
      </c>
      <c r="H22">
        <v>0</v>
      </c>
      <c r="I22">
        <v>72</v>
      </c>
      <c r="J22">
        <v>322</v>
      </c>
      <c r="K22">
        <v>2</v>
      </c>
    </row>
    <row r="23" spans="1:11" x14ac:dyDescent="0.25">
      <c r="A23">
        <v>21</v>
      </c>
      <c r="B23">
        <v>21</v>
      </c>
      <c r="C23">
        <v>27</v>
      </c>
      <c r="D23">
        <v>6</v>
      </c>
      <c r="E23">
        <v>67</v>
      </c>
      <c r="F23">
        <v>48</v>
      </c>
      <c r="G23">
        <v>52</v>
      </c>
      <c r="H23">
        <v>1</v>
      </c>
      <c r="I23">
        <v>73</v>
      </c>
      <c r="J23">
        <v>258</v>
      </c>
      <c r="K23">
        <v>1</v>
      </c>
    </row>
    <row r="24" spans="1:11" x14ac:dyDescent="0.25">
      <c r="A24">
        <v>22</v>
      </c>
      <c r="B24">
        <v>22</v>
      </c>
      <c r="C24">
        <v>24</v>
      </c>
      <c r="D24">
        <v>8</v>
      </c>
      <c r="E24">
        <v>68</v>
      </c>
      <c r="F24">
        <v>31</v>
      </c>
      <c r="G24">
        <v>69</v>
      </c>
      <c r="H24">
        <v>3</v>
      </c>
      <c r="I24">
        <v>76</v>
      </c>
      <c r="J24">
        <v>342</v>
      </c>
      <c r="K24">
        <v>1</v>
      </c>
    </row>
    <row r="25" spans="1:11" x14ac:dyDescent="0.25">
      <c r="A25">
        <v>23</v>
      </c>
      <c r="B25">
        <v>23</v>
      </c>
      <c r="C25">
        <v>23</v>
      </c>
      <c r="D25">
        <v>7</v>
      </c>
      <c r="E25">
        <v>70</v>
      </c>
      <c r="F25">
        <v>29</v>
      </c>
      <c r="G25">
        <v>71</v>
      </c>
      <c r="H25">
        <v>1</v>
      </c>
      <c r="I25">
        <v>77</v>
      </c>
      <c r="J25">
        <v>350</v>
      </c>
      <c r="K25">
        <v>0</v>
      </c>
    </row>
    <row r="26" spans="1:11" x14ac:dyDescent="0.25">
      <c r="A26">
        <v>24</v>
      </c>
      <c r="B26">
        <v>24</v>
      </c>
      <c r="C26">
        <v>22</v>
      </c>
      <c r="D26">
        <v>7</v>
      </c>
      <c r="E26">
        <v>71</v>
      </c>
      <c r="F26">
        <v>6</v>
      </c>
      <c r="G26">
        <v>94</v>
      </c>
      <c r="H26">
        <v>1</v>
      </c>
      <c r="I26">
        <v>78</v>
      </c>
      <c r="J26">
        <v>468</v>
      </c>
      <c r="K26">
        <v>1</v>
      </c>
    </row>
    <row r="27" spans="1:11" x14ac:dyDescent="0.25">
      <c r="A27">
        <v>25</v>
      </c>
      <c r="B27">
        <v>25</v>
      </c>
      <c r="C27">
        <v>21</v>
      </c>
      <c r="D27">
        <v>7</v>
      </c>
      <c r="E27">
        <v>72</v>
      </c>
      <c r="F27">
        <v>34</v>
      </c>
      <c r="G27">
        <v>66</v>
      </c>
      <c r="H27">
        <v>1</v>
      </c>
      <c r="I27">
        <v>79</v>
      </c>
      <c r="J27">
        <v>328</v>
      </c>
      <c r="K27">
        <v>3</v>
      </c>
    </row>
    <row r="28" spans="1:11" x14ac:dyDescent="0.25">
      <c r="A28">
        <v>26</v>
      </c>
      <c r="B28">
        <v>26</v>
      </c>
      <c r="C28">
        <v>20</v>
      </c>
      <c r="D28">
        <v>8</v>
      </c>
      <c r="E28">
        <v>72</v>
      </c>
      <c r="F28">
        <v>50</v>
      </c>
      <c r="G28">
        <v>50</v>
      </c>
      <c r="H28">
        <v>1</v>
      </c>
      <c r="I28">
        <v>80</v>
      </c>
      <c r="J28">
        <v>248</v>
      </c>
      <c r="K28">
        <v>1</v>
      </c>
    </row>
    <row r="29" spans="1:11" x14ac:dyDescent="0.25">
      <c r="A29">
        <v>27</v>
      </c>
      <c r="B29">
        <v>27</v>
      </c>
      <c r="C29">
        <v>20</v>
      </c>
      <c r="D29">
        <v>7</v>
      </c>
      <c r="E29">
        <v>73</v>
      </c>
      <c r="F29">
        <v>33</v>
      </c>
      <c r="G29">
        <v>67</v>
      </c>
      <c r="H29">
        <v>0</v>
      </c>
      <c r="I29">
        <v>80</v>
      </c>
      <c r="J29">
        <v>334</v>
      </c>
      <c r="K29">
        <v>1</v>
      </c>
    </row>
    <row r="30" spans="1:11" x14ac:dyDescent="0.25">
      <c r="A30">
        <v>28</v>
      </c>
      <c r="B30">
        <v>28</v>
      </c>
      <c r="C30">
        <v>20</v>
      </c>
      <c r="D30">
        <v>4</v>
      </c>
      <c r="E30">
        <v>76</v>
      </c>
      <c r="F30">
        <v>28</v>
      </c>
      <c r="G30">
        <v>72</v>
      </c>
      <c r="H30">
        <v>0</v>
      </c>
      <c r="I30">
        <v>80</v>
      </c>
      <c r="J30">
        <v>360</v>
      </c>
      <c r="K30">
        <v>1</v>
      </c>
    </row>
    <row r="31" spans="1:11" x14ac:dyDescent="0.25">
      <c r="A31">
        <v>29</v>
      </c>
      <c r="B31">
        <v>29</v>
      </c>
      <c r="C31">
        <v>20</v>
      </c>
      <c r="D31">
        <v>3</v>
      </c>
      <c r="E31">
        <v>77</v>
      </c>
      <c r="F31">
        <v>30</v>
      </c>
      <c r="G31">
        <v>70</v>
      </c>
      <c r="H31">
        <v>0</v>
      </c>
      <c r="I31">
        <v>80</v>
      </c>
      <c r="J31">
        <v>348</v>
      </c>
      <c r="K31">
        <v>1</v>
      </c>
    </row>
    <row r="32" spans="1:11" x14ac:dyDescent="0.25">
      <c r="A32">
        <v>30</v>
      </c>
      <c r="B32">
        <v>30</v>
      </c>
      <c r="C32">
        <v>20</v>
      </c>
      <c r="D32">
        <v>2</v>
      </c>
      <c r="E32">
        <v>78</v>
      </c>
      <c r="F32">
        <v>34</v>
      </c>
      <c r="G32">
        <v>66</v>
      </c>
      <c r="H32">
        <v>0</v>
      </c>
      <c r="I32">
        <v>80</v>
      </c>
      <c r="J32">
        <v>330</v>
      </c>
      <c r="K32">
        <v>0</v>
      </c>
    </row>
    <row r="33" spans="1:11" x14ac:dyDescent="0.25">
      <c r="A33">
        <v>31</v>
      </c>
      <c r="B33">
        <v>31</v>
      </c>
      <c r="C33">
        <v>20</v>
      </c>
      <c r="D33">
        <v>1</v>
      </c>
      <c r="E33">
        <v>79</v>
      </c>
      <c r="F33">
        <v>5</v>
      </c>
      <c r="G33">
        <v>95</v>
      </c>
      <c r="H33">
        <v>0</v>
      </c>
      <c r="I33">
        <v>80</v>
      </c>
      <c r="J33">
        <v>472</v>
      </c>
      <c r="K33">
        <v>0</v>
      </c>
    </row>
    <row r="34" spans="1:11" x14ac:dyDescent="0.25">
      <c r="A34">
        <v>32</v>
      </c>
      <c r="B34">
        <v>32</v>
      </c>
      <c r="C34">
        <v>20</v>
      </c>
      <c r="D34">
        <v>0</v>
      </c>
      <c r="E34">
        <v>80</v>
      </c>
      <c r="F34">
        <v>5</v>
      </c>
      <c r="G34">
        <v>95</v>
      </c>
      <c r="H34">
        <v>0</v>
      </c>
      <c r="I34">
        <v>80</v>
      </c>
      <c r="J34">
        <v>474</v>
      </c>
      <c r="K34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6975-7DBA-4CAD-B718-3DDA320DB945}">
  <dimension ref="A1:K39"/>
  <sheetViews>
    <sheetView workbookViewId="0">
      <selection sqref="A1:XFD1048576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95</v>
      </c>
      <c r="D3">
        <v>5</v>
      </c>
      <c r="E3">
        <v>0</v>
      </c>
      <c r="F3">
        <v>2</v>
      </c>
      <c r="G3">
        <v>98</v>
      </c>
      <c r="H3">
        <v>3</v>
      </c>
      <c r="I3">
        <v>5</v>
      </c>
      <c r="J3">
        <v>490</v>
      </c>
      <c r="K3">
        <v>0</v>
      </c>
    </row>
    <row r="4" spans="1:11" x14ac:dyDescent="0.25">
      <c r="A4">
        <v>2</v>
      </c>
      <c r="B4">
        <v>2</v>
      </c>
      <c r="C4">
        <v>90</v>
      </c>
      <c r="D4">
        <v>10</v>
      </c>
      <c r="E4">
        <v>0</v>
      </c>
      <c r="F4">
        <v>5</v>
      </c>
      <c r="G4">
        <v>95</v>
      </c>
      <c r="H4">
        <v>5</v>
      </c>
      <c r="I4">
        <v>10</v>
      </c>
      <c r="J4">
        <v>474</v>
      </c>
      <c r="K4">
        <v>0</v>
      </c>
    </row>
    <row r="5" spans="1:11" x14ac:dyDescent="0.25">
      <c r="A5">
        <v>3</v>
      </c>
      <c r="B5">
        <v>3</v>
      </c>
      <c r="C5">
        <v>84</v>
      </c>
      <c r="D5">
        <v>16</v>
      </c>
      <c r="E5">
        <v>0</v>
      </c>
      <c r="F5">
        <v>2</v>
      </c>
      <c r="G5">
        <v>98</v>
      </c>
      <c r="H5">
        <v>6</v>
      </c>
      <c r="I5">
        <v>16</v>
      </c>
      <c r="J5">
        <v>488</v>
      </c>
      <c r="K5">
        <v>2</v>
      </c>
    </row>
    <row r="6" spans="1:11" x14ac:dyDescent="0.25">
      <c r="A6">
        <v>4</v>
      </c>
      <c r="B6">
        <v>4</v>
      </c>
      <c r="C6">
        <v>77</v>
      </c>
      <c r="D6">
        <v>23</v>
      </c>
      <c r="E6">
        <v>0</v>
      </c>
      <c r="F6">
        <v>52</v>
      </c>
      <c r="G6">
        <v>48</v>
      </c>
      <c r="H6">
        <v>7</v>
      </c>
      <c r="I6">
        <v>23</v>
      </c>
      <c r="J6">
        <v>240</v>
      </c>
      <c r="K6">
        <v>3</v>
      </c>
    </row>
    <row r="7" spans="1:11" x14ac:dyDescent="0.25">
      <c r="A7">
        <v>5</v>
      </c>
      <c r="B7">
        <v>5</v>
      </c>
      <c r="C7">
        <v>70</v>
      </c>
      <c r="D7">
        <v>30</v>
      </c>
      <c r="E7">
        <v>0</v>
      </c>
      <c r="F7">
        <v>58</v>
      </c>
      <c r="G7">
        <v>42</v>
      </c>
      <c r="H7">
        <v>7</v>
      </c>
      <c r="I7">
        <v>30</v>
      </c>
      <c r="J7">
        <v>210</v>
      </c>
      <c r="K7">
        <v>5</v>
      </c>
    </row>
    <row r="8" spans="1:11" x14ac:dyDescent="0.25">
      <c r="A8">
        <v>6</v>
      </c>
      <c r="B8">
        <v>6</v>
      </c>
      <c r="C8">
        <v>64</v>
      </c>
      <c r="D8">
        <v>34</v>
      </c>
      <c r="E8">
        <v>2</v>
      </c>
      <c r="F8">
        <v>60</v>
      </c>
      <c r="G8">
        <v>40</v>
      </c>
      <c r="H8">
        <v>6</v>
      </c>
      <c r="I8">
        <v>36</v>
      </c>
      <c r="J8">
        <v>200</v>
      </c>
      <c r="K8">
        <v>6</v>
      </c>
    </row>
    <row r="9" spans="1:11" x14ac:dyDescent="0.25">
      <c r="A9">
        <v>7</v>
      </c>
      <c r="B9">
        <v>7</v>
      </c>
      <c r="C9">
        <v>58</v>
      </c>
      <c r="D9">
        <v>37</v>
      </c>
      <c r="E9">
        <v>5</v>
      </c>
      <c r="F9">
        <v>64</v>
      </c>
      <c r="G9">
        <v>36</v>
      </c>
      <c r="H9">
        <v>6</v>
      </c>
      <c r="I9">
        <v>42</v>
      </c>
      <c r="J9">
        <v>180</v>
      </c>
      <c r="K9">
        <v>7</v>
      </c>
    </row>
    <row r="10" spans="1:11" x14ac:dyDescent="0.25">
      <c r="A10">
        <v>8</v>
      </c>
      <c r="B10">
        <v>8</v>
      </c>
      <c r="C10">
        <v>51</v>
      </c>
      <c r="D10">
        <v>39</v>
      </c>
      <c r="E10">
        <v>10</v>
      </c>
      <c r="F10">
        <v>66</v>
      </c>
      <c r="G10">
        <v>34</v>
      </c>
      <c r="H10">
        <v>7</v>
      </c>
      <c r="I10">
        <v>49</v>
      </c>
      <c r="J10">
        <v>170</v>
      </c>
      <c r="K10">
        <v>7</v>
      </c>
    </row>
    <row r="11" spans="1:11" x14ac:dyDescent="0.25">
      <c r="A11">
        <v>9</v>
      </c>
      <c r="B11">
        <v>9</v>
      </c>
      <c r="C11">
        <v>47</v>
      </c>
      <c r="D11">
        <v>37</v>
      </c>
      <c r="E11">
        <v>16</v>
      </c>
      <c r="F11">
        <v>67</v>
      </c>
      <c r="G11">
        <v>33</v>
      </c>
      <c r="H11">
        <v>4</v>
      </c>
      <c r="I11">
        <v>53</v>
      </c>
      <c r="J11">
        <v>162</v>
      </c>
      <c r="K11">
        <v>6</v>
      </c>
    </row>
    <row r="12" spans="1:11" x14ac:dyDescent="0.25">
      <c r="A12">
        <v>10</v>
      </c>
      <c r="B12">
        <v>10</v>
      </c>
      <c r="C12">
        <v>44</v>
      </c>
      <c r="D12">
        <v>33</v>
      </c>
      <c r="E12">
        <v>23</v>
      </c>
      <c r="F12">
        <v>74</v>
      </c>
      <c r="G12">
        <v>26</v>
      </c>
      <c r="H12">
        <v>3</v>
      </c>
      <c r="I12">
        <v>56</v>
      </c>
      <c r="J12">
        <v>130</v>
      </c>
      <c r="K12">
        <v>6</v>
      </c>
    </row>
    <row r="13" spans="1:11" x14ac:dyDescent="0.25">
      <c r="A13">
        <v>11</v>
      </c>
      <c r="B13">
        <v>11</v>
      </c>
      <c r="C13">
        <v>41</v>
      </c>
      <c r="D13">
        <v>29</v>
      </c>
      <c r="E13">
        <v>30</v>
      </c>
      <c r="F13">
        <v>70</v>
      </c>
      <c r="G13">
        <v>30</v>
      </c>
      <c r="H13">
        <v>3</v>
      </c>
      <c r="I13">
        <v>59</v>
      </c>
      <c r="J13">
        <v>150</v>
      </c>
      <c r="K13">
        <v>7</v>
      </c>
    </row>
    <row r="14" spans="1:11" x14ac:dyDescent="0.25">
      <c r="A14">
        <v>12</v>
      </c>
      <c r="B14">
        <v>12</v>
      </c>
      <c r="C14">
        <v>40</v>
      </c>
      <c r="D14">
        <v>24</v>
      </c>
      <c r="E14">
        <v>36</v>
      </c>
      <c r="F14">
        <v>76</v>
      </c>
      <c r="G14">
        <v>24</v>
      </c>
      <c r="H14">
        <v>1</v>
      </c>
      <c r="I14">
        <v>60</v>
      </c>
      <c r="J14">
        <v>118</v>
      </c>
      <c r="K14">
        <v>4</v>
      </c>
    </row>
    <row r="15" spans="1:11" x14ac:dyDescent="0.25">
      <c r="A15">
        <v>13</v>
      </c>
      <c r="B15">
        <v>13</v>
      </c>
      <c r="C15">
        <v>39</v>
      </c>
      <c r="D15">
        <v>19</v>
      </c>
      <c r="E15">
        <v>42</v>
      </c>
      <c r="F15">
        <v>57</v>
      </c>
      <c r="G15">
        <v>43</v>
      </c>
      <c r="H15">
        <v>1</v>
      </c>
      <c r="I15">
        <v>61</v>
      </c>
      <c r="J15">
        <v>214</v>
      </c>
      <c r="K15">
        <v>3</v>
      </c>
    </row>
    <row r="16" spans="1:11" x14ac:dyDescent="0.25">
      <c r="A16">
        <v>14</v>
      </c>
      <c r="B16">
        <v>14</v>
      </c>
      <c r="C16">
        <v>39</v>
      </c>
      <c r="D16">
        <v>12</v>
      </c>
      <c r="E16">
        <v>49</v>
      </c>
      <c r="F16">
        <v>60</v>
      </c>
      <c r="G16">
        <v>40</v>
      </c>
      <c r="H16">
        <v>0</v>
      </c>
      <c r="I16">
        <v>61</v>
      </c>
      <c r="J16">
        <v>200</v>
      </c>
      <c r="K16">
        <v>3</v>
      </c>
    </row>
    <row r="17" spans="1:11" x14ac:dyDescent="0.25">
      <c r="A17">
        <v>15</v>
      </c>
      <c r="B17">
        <v>15</v>
      </c>
      <c r="C17">
        <v>38</v>
      </c>
      <c r="D17">
        <v>9</v>
      </c>
      <c r="E17">
        <v>53</v>
      </c>
      <c r="F17">
        <v>55</v>
      </c>
      <c r="G17">
        <v>45</v>
      </c>
      <c r="H17">
        <v>1</v>
      </c>
      <c r="I17">
        <v>62</v>
      </c>
      <c r="J17">
        <v>224</v>
      </c>
      <c r="K17">
        <v>1</v>
      </c>
    </row>
    <row r="18" spans="1:11" x14ac:dyDescent="0.25">
      <c r="A18">
        <v>16</v>
      </c>
      <c r="B18">
        <v>16</v>
      </c>
      <c r="C18">
        <v>37</v>
      </c>
      <c r="D18">
        <v>7</v>
      </c>
      <c r="E18">
        <v>56</v>
      </c>
      <c r="F18">
        <v>36</v>
      </c>
      <c r="G18">
        <v>64</v>
      </c>
      <c r="H18">
        <v>1</v>
      </c>
      <c r="I18">
        <v>63</v>
      </c>
      <c r="J18">
        <v>318</v>
      </c>
      <c r="K18">
        <v>1</v>
      </c>
    </row>
    <row r="19" spans="1:11" x14ac:dyDescent="0.25">
      <c r="A19">
        <v>17</v>
      </c>
      <c r="B19">
        <v>17</v>
      </c>
      <c r="C19">
        <v>36</v>
      </c>
      <c r="D19">
        <v>5</v>
      </c>
      <c r="E19">
        <v>59</v>
      </c>
      <c r="F19">
        <v>35</v>
      </c>
      <c r="G19">
        <v>65</v>
      </c>
      <c r="H19">
        <v>1</v>
      </c>
      <c r="I19">
        <v>64</v>
      </c>
      <c r="J19">
        <v>322</v>
      </c>
      <c r="K19">
        <v>0</v>
      </c>
    </row>
    <row r="20" spans="1:11" x14ac:dyDescent="0.25">
      <c r="A20">
        <v>18</v>
      </c>
      <c r="B20">
        <v>18</v>
      </c>
      <c r="C20">
        <v>34</v>
      </c>
      <c r="D20">
        <v>6</v>
      </c>
      <c r="E20">
        <v>60</v>
      </c>
      <c r="F20">
        <v>3</v>
      </c>
      <c r="G20">
        <v>97</v>
      </c>
      <c r="H20">
        <v>2</v>
      </c>
      <c r="I20">
        <v>66</v>
      </c>
      <c r="J20">
        <v>484</v>
      </c>
      <c r="K20">
        <v>1</v>
      </c>
    </row>
    <row r="21" spans="1:11" x14ac:dyDescent="0.25">
      <c r="A21">
        <v>19</v>
      </c>
      <c r="B21">
        <v>19</v>
      </c>
      <c r="C21">
        <v>33</v>
      </c>
      <c r="D21">
        <v>6</v>
      </c>
      <c r="E21">
        <v>61</v>
      </c>
      <c r="F21">
        <v>36</v>
      </c>
      <c r="G21">
        <v>64</v>
      </c>
      <c r="H21">
        <v>1</v>
      </c>
      <c r="I21">
        <v>67</v>
      </c>
      <c r="J21">
        <v>318</v>
      </c>
      <c r="K21">
        <v>1</v>
      </c>
    </row>
    <row r="22" spans="1:11" x14ac:dyDescent="0.25">
      <c r="A22">
        <v>20</v>
      </c>
      <c r="B22">
        <v>20</v>
      </c>
      <c r="C22">
        <v>32</v>
      </c>
      <c r="D22">
        <v>7</v>
      </c>
      <c r="E22">
        <v>61</v>
      </c>
      <c r="F22">
        <v>36</v>
      </c>
      <c r="G22">
        <v>64</v>
      </c>
      <c r="H22">
        <v>1</v>
      </c>
      <c r="I22">
        <v>68</v>
      </c>
      <c r="J22">
        <v>318</v>
      </c>
      <c r="K22">
        <v>1</v>
      </c>
    </row>
    <row r="23" spans="1:11" x14ac:dyDescent="0.25">
      <c r="A23">
        <v>21</v>
      </c>
      <c r="B23">
        <v>21</v>
      </c>
      <c r="C23">
        <v>32</v>
      </c>
      <c r="D23">
        <v>6</v>
      </c>
      <c r="E23">
        <v>62</v>
      </c>
      <c r="F23">
        <v>36</v>
      </c>
      <c r="G23">
        <v>64</v>
      </c>
      <c r="H23">
        <v>0</v>
      </c>
      <c r="I23">
        <v>68</v>
      </c>
      <c r="J23">
        <v>318</v>
      </c>
      <c r="K23">
        <v>2</v>
      </c>
    </row>
    <row r="24" spans="1:11" x14ac:dyDescent="0.25">
      <c r="A24">
        <v>22</v>
      </c>
      <c r="B24">
        <v>22</v>
      </c>
      <c r="C24">
        <v>30</v>
      </c>
      <c r="D24">
        <v>7</v>
      </c>
      <c r="E24">
        <v>63</v>
      </c>
      <c r="F24">
        <v>51</v>
      </c>
      <c r="G24">
        <v>49</v>
      </c>
      <c r="H24">
        <v>2</v>
      </c>
      <c r="I24">
        <v>70</v>
      </c>
      <c r="J24">
        <v>244</v>
      </c>
      <c r="K24">
        <v>1</v>
      </c>
    </row>
    <row r="25" spans="1:11" x14ac:dyDescent="0.25">
      <c r="A25">
        <v>23</v>
      </c>
      <c r="B25">
        <v>23</v>
      </c>
      <c r="C25">
        <v>27</v>
      </c>
      <c r="D25">
        <v>9</v>
      </c>
      <c r="E25">
        <v>64</v>
      </c>
      <c r="F25">
        <v>30</v>
      </c>
      <c r="G25">
        <v>70</v>
      </c>
      <c r="H25">
        <v>3</v>
      </c>
      <c r="I25">
        <v>73</v>
      </c>
      <c r="J25">
        <v>350</v>
      </c>
      <c r="K25">
        <v>1</v>
      </c>
    </row>
    <row r="26" spans="1:11" x14ac:dyDescent="0.25">
      <c r="A26">
        <v>24</v>
      </c>
      <c r="B26">
        <v>24</v>
      </c>
      <c r="C26">
        <v>25</v>
      </c>
      <c r="D26">
        <v>9</v>
      </c>
      <c r="E26">
        <v>66</v>
      </c>
      <c r="F26">
        <v>37</v>
      </c>
      <c r="G26">
        <v>63</v>
      </c>
      <c r="H26">
        <v>2</v>
      </c>
      <c r="I26">
        <v>75</v>
      </c>
      <c r="J26">
        <v>312</v>
      </c>
      <c r="K26">
        <v>0</v>
      </c>
    </row>
    <row r="27" spans="1:11" x14ac:dyDescent="0.25">
      <c r="A27">
        <v>25</v>
      </c>
      <c r="B27">
        <v>25</v>
      </c>
      <c r="C27">
        <v>20</v>
      </c>
      <c r="D27">
        <v>13</v>
      </c>
      <c r="E27">
        <v>67</v>
      </c>
      <c r="F27">
        <v>5</v>
      </c>
      <c r="G27">
        <v>95</v>
      </c>
      <c r="H27">
        <v>5</v>
      </c>
      <c r="I27">
        <v>80</v>
      </c>
      <c r="J27">
        <v>472</v>
      </c>
      <c r="K27">
        <v>2</v>
      </c>
    </row>
    <row r="28" spans="1:11" x14ac:dyDescent="0.25">
      <c r="A28">
        <v>26</v>
      </c>
      <c r="B28">
        <v>26</v>
      </c>
      <c r="C28">
        <v>20</v>
      </c>
      <c r="D28">
        <v>12</v>
      </c>
      <c r="E28">
        <v>68</v>
      </c>
      <c r="F28">
        <v>52</v>
      </c>
      <c r="G28">
        <v>48</v>
      </c>
      <c r="H28">
        <v>0</v>
      </c>
      <c r="I28">
        <v>80</v>
      </c>
      <c r="J28">
        <v>238</v>
      </c>
      <c r="K28">
        <v>3</v>
      </c>
    </row>
    <row r="29" spans="1:11" x14ac:dyDescent="0.25">
      <c r="A29">
        <v>27</v>
      </c>
      <c r="B29">
        <v>27</v>
      </c>
      <c r="C29">
        <v>20</v>
      </c>
      <c r="D29">
        <v>12</v>
      </c>
      <c r="E29">
        <v>68</v>
      </c>
      <c r="F29">
        <v>56</v>
      </c>
      <c r="G29">
        <v>44</v>
      </c>
      <c r="H29">
        <v>0</v>
      </c>
      <c r="I29">
        <v>80</v>
      </c>
      <c r="J29">
        <v>220</v>
      </c>
      <c r="K29">
        <v>2</v>
      </c>
    </row>
    <row r="30" spans="1:11" x14ac:dyDescent="0.25">
      <c r="A30">
        <v>28</v>
      </c>
      <c r="B30">
        <v>28</v>
      </c>
      <c r="C30">
        <v>19</v>
      </c>
      <c r="D30">
        <v>11</v>
      </c>
      <c r="E30">
        <v>70</v>
      </c>
      <c r="F30">
        <v>51</v>
      </c>
      <c r="G30">
        <v>49</v>
      </c>
      <c r="H30">
        <v>1</v>
      </c>
      <c r="I30">
        <v>81</v>
      </c>
      <c r="J30">
        <v>244</v>
      </c>
      <c r="K30">
        <v>5</v>
      </c>
    </row>
    <row r="31" spans="1:11" x14ac:dyDescent="0.25">
      <c r="A31">
        <v>29</v>
      </c>
      <c r="B31">
        <v>29</v>
      </c>
      <c r="C31">
        <v>19</v>
      </c>
      <c r="D31">
        <v>8</v>
      </c>
      <c r="E31">
        <v>73</v>
      </c>
      <c r="F31">
        <v>53</v>
      </c>
      <c r="G31">
        <v>47</v>
      </c>
      <c r="H31">
        <v>0</v>
      </c>
      <c r="I31">
        <v>81</v>
      </c>
      <c r="J31">
        <v>234</v>
      </c>
      <c r="K31">
        <v>0</v>
      </c>
    </row>
    <row r="32" spans="1:11" x14ac:dyDescent="0.25">
      <c r="A32">
        <v>30</v>
      </c>
      <c r="B32">
        <v>30</v>
      </c>
      <c r="C32">
        <v>19</v>
      </c>
      <c r="D32">
        <v>6</v>
      </c>
      <c r="E32">
        <v>75</v>
      </c>
      <c r="F32">
        <v>6</v>
      </c>
      <c r="G32">
        <v>94</v>
      </c>
      <c r="H32">
        <v>0</v>
      </c>
      <c r="I32">
        <v>81</v>
      </c>
      <c r="J32">
        <v>468</v>
      </c>
      <c r="K32">
        <v>0</v>
      </c>
    </row>
    <row r="33" spans="1:11" x14ac:dyDescent="0.25">
      <c r="A33">
        <v>31</v>
      </c>
      <c r="B33">
        <v>31</v>
      </c>
      <c r="C33">
        <v>17</v>
      </c>
      <c r="D33">
        <v>3</v>
      </c>
      <c r="E33">
        <v>80</v>
      </c>
      <c r="F33">
        <v>6</v>
      </c>
      <c r="G33">
        <v>94</v>
      </c>
      <c r="H33">
        <v>2</v>
      </c>
      <c r="I33">
        <v>83</v>
      </c>
      <c r="J33">
        <v>466</v>
      </c>
      <c r="K33">
        <v>1</v>
      </c>
    </row>
    <row r="34" spans="1:11" x14ac:dyDescent="0.25">
      <c r="A34">
        <v>32</v>
      </c>
      <c r="B34">
        <v>32</v>
      </c>
      <c r="C34">
        <v>17</v>
      </c>
      <c r="D34">
        <v>3</v>
      </c>
      <c r="E34">
        <v>80</v>
      </c>
      <c r="F34">
        <v>34</v>
      </c>
      <c r="G34">
        <v>66</v>
      </c>
      <c r="H34">
        <v>0</v>
      </c>
      <c r="I34">
        <v>83</v>
      </c>
      <c r="J34">
        <v>330</v>
      </c>
      <c r="K34">
        <v>0</v>
      </c>
    </row>
    <row r="35" spans="1:11" x14ac:dyDescent="0.25">
      <c r="A35">
        <v>33</v>
      </c>
      <c r="B35">
        <v>33</v>
      </c>
      <c r="C35">
        <v>17</v>
      </c>
      <c r="D35">
        <v>3</v>
      </c>
      <c r="E35">
        <v>80</v>
      </c>
      <c r="F35">
        <v>2</v>
      </c>
      <c r="G35">
        <v>98</v>
      </c>
      <c r="H35">
        <v>0</v>
      </c>
      <c r="I35">
        <v>83</v>
      </c>
      <c r="J35">
        <v>488</v>
      </c>
      <c r="K35">
        <v>0</v>
      </c>
    </row>
    <row r="36" spans="1:11" x14ac:dyDescent="0.25">
      <c r="A36">
        <v>34</v>
      </c>
      <c r="B36">
        <v>34</v>
      </c>
      <c r="C36">
        <v>17</v>
      </c>
      <c r="D36">
        <v>2</v>
      </c>
      <c r="E36">
        <v>81</v>
      </c>
      <c r="F36">
        <v>4</v>
      </c>
      <c r="G36">
        <v>96</v>
      </c>
      <c r="H36">
        <v>0</v>
      </c>
      <c r="I36">
        <v>83</v>
      </c>
      <c r="J36">
        <v>478</v>
      </c>
      <c r="K36">
        <v>2</v>
      </c>
    </row>
    <row r="37" spans="1:11" x14ac:dyDescent="0.25">
      <c r="A37">
        <v>35</v>
      </c>
      <c r="B37">
        <v>35</v>
      </c>
      <c r="C37">
        <v>17</v>
      </c>
      <c r="D37">
        <v>2</v>
      </c>
      <c r="E37">
        <v>81</v>
      </c>
      <c r="F37">
        <v>50</v>
      </c>
      <c r="G37">
        <v>50</v>
      </c>
      <c r="H37">
        <v>0</v>
      </c>
      <c r="I37">
        <v>83</v>
      </c>
      <c r="J37">
        <v>246</v>
      </c>
      <c r="K37">
        <v>0</v>
      </c>
    </row>
    <row r="38" spans="1:11" x14ac:dyDescent="0.25">
      <c r="A38">
        <v>36</v>
      </c>
      <c r="B38">
        <v>36</v>
      </c>
      <c r="C38">
        <v>17</v>
      </c>
      <c r="D38">
        <v>2</v>
      </c>
      <c r="E38">
        <v>81</v>
      </c>
      <c r="F38">
        <v>3</v>
      </c>
      <c r="G38">
        <v>97</v>
      </c>
      <c r="H38">
        <v>0</v>
      </c>
      <c r="I38">
        <v>83</v>
      </c>
      <c r="J38">
        <v>482</v>
      </c>
      <c r="K38">
        <v>0</v>
      </c>
    </row>
    <row r="39" spans="1:11" x14ac:dyDescent="0.25">
      <c r="A39">
        <v>37</v>
      </c>
      <c r="B39">
        <v>37</v>
      </c>
      <c r="C39">
        <v>17</v>
      </c>
      <c r="D39">
        <v>0</v>
      </c>
      <c r="E39">
        <v>83</v>
      </c>
      <c r="F39">
        <v>4</v>
      </c>
      <c r="G39">
        <v>96</v>
      </c>
      <c r="H39">
        <v>0</v>
      </c>
      <c r="I39">
        <v>83</v>
      </c>
      <c r="J39">
        <v>480</v>
      </c>
      <c r="K3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7DE6-AA3E-4F19-8146-0A4EA4AFB0C4}">
  <dimension ref="A1:K36"/>
  <sheetViews>
    <sheetView workbookViewId="0">
      <selection sqref="A1:XFD1048576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93</v>
      </c>
      <c r="D3">
        <v>7</v>
      </c>
      <c r="E3">
        <v>0</v>
      </c>
      <c r="F3">
        <v>2</v>
      </c>
      <c r="G3">
        <v>98</v>
      </c>
      <c r="H3">
        <v>5</v>
      </c>
      <c r="I3">
        <v>7</v>
      </c>
      <c r="J3">
        <v>486</v>
      </c>
      <c r="K3">
        <v>0</v>
      </c>
    </row>
    <row r="4" spans="1:11" x14ac:dyDescent="0.25">
      <c r="A4">
        <v>2</v>
      </c>
      <c r="B4">
        <v>2</v>
      </c>
      <c r="C4">
        <v>88</v>
      </c>
      <c r="D4">
        <v>12</v>
      </c>
      <c r="E4">
        <v>0</v>
      </c>
      <c r="F4">
        <v>2</v>
      </c>
      <c r="G4">
        <v>98</v>
      </c>
      <c r="H4">
        <v>5</v>
      </c>
      <c r="I4">
        <v>12</v>
      </c>
      <c r="J4">
        <v>490</v>
      </c>
      <c r="K4">
        <v>0</v>
      </c>
    </row>
    <row r="5" spans="1:11" x14ac:dyDescent="0.25">
      <c r="A5">
        <v>3</v>
      </c>
      <c r="B5">
        <v>3</v>
      </c>
      <c r="C5">
        <v>82</v>
      </c>
      <c r="D5">
        <v>18</v>
      </c>
      <c r="E5">
        <v>0</v>
      </c>
      <c r="F5">
        <v>4</v>
      </c>
      <c r="G5">
        <v>96</v>
      </c>
      <c r="H5">
        <v>6</v>
      </c>
      <c r="I5">
        <v>18</v>
      </c>
      <c r="J5">
        <v>480</v>
      </c>
      <c r="K5">
        <v>2</v>
      </c>
    </row>
    <row r="6" spans="1:11" x14ac:dyDescent="0.25">
      <c r="A6">
        <v>4</v>
      </c>
      <c r="B6">
        <v>4</v>
      </c>
      <c r="C6">
        <v>80</v>
      </c>
      <c r="D6">
        <v>20</v>
      </c>
      <c r="E6">
        <v>0</v>
      </c>
      <c r="F6">
        <v>59</v>
      </c>
      <c r="G6">
        <v>41</v>
      </c>
      <c r="H6">
        <v>2</v>
      </c>
      <c r="I6">
        <v>20</v>
      </c>
      <c r="J6">
        <v>202</v>
      </c>
      <c r="K6">
        <v>5</v>
      </c>
    </row>
    <row r="7" spans="1:11" x14ac:dyDescent="0.25">
      <c r="A7">
        <v>5</v>
      </c>
      <c r="B7">
        <v>5</v>
      </c>
      <c r="C7">
        <v>75</v>
      </c>
      <c r="D7">
        <v>25</v>
      </c>
      <c r="E7">
        <v>0</v>
      </c>
      <c r="F7">
        <v>59</v>
      </c>
      <c r="G7">
        <v>41</v>
      </c>
      <c r="H7">
        <v>5</v>
      </c>
      <c r="I7">
        <v>25</v>
      </c>
      <c r="J7">
        <v>202</v>
      </c>
      <c r="K7">
        <v>5</v>
      </c>
    </row>
    <row r="8" spans="1:11" x14ac:dyDescent="0.25">
      <c r="A8">
        <v>6</v>
      </c>
      <c r="B8">
        <v>6</v>
      </c>
      <c r="C8">
        <v>66</v>
      </c>
      <c r="D8">
        <v>32</v>
      </c>
      <c r="E8">
        <v>2</v>
      </c>
      <c r="F8">
        <v>55</v>
      </c>
      <c r="G8">
        <v>45</v>
      </c>
      <c r="H8">
        <v>9</v>
      </c>
      <c r="I8">
        <v>34</v>
      </c>
      <c r="J8">
        <v>224</v>
      </c>
      <c r="K8">
        <v>6</v>
      </c>
    </row>
    <row r="9" spans="1:11" x14ac:dyDescent="0.25">
      <c r="A9">
        <v>7</v>
      </c>
      <c r="B9">
        <v>7</v>
      </c>
      <c r="C9">
        <v>54</v>
      </c>
      <c r="D9">
        <v>39</v>
      </c>
      <c r="E9">
        <v>7</v>
      </c>
      <c r="F9">
        <v>46</v>
      </c>
      <c r="G9">
        <v>54</v>
      </c>
      <c r="H9">
        <v>12</v>
      </c>
      <c r="I9">
        <v>46</v>
      </c>
      <c r="J9">
        <v>268</v>
      </c>
      <c r="K9">
        <v>2</v>
      </c>
    </row>
    <row r="10" spans="1:11" x14ac:dyDescent="0.25">
      <c r="A10">
        <v>8</v>
      </c>
      <c r="B10">
        <v>8</v>
      </c>
      <c r="C10">
        <v>49</v>
      </c>
      <c r="D10">
        <v>39</v>
      </c>
      <c r="E10">
        <v>12</v>
      </c>
      <c r="F10">
        <v>54</v>
      </c>
      <c r="G10">
        <v>46</v>
      </c>
      <c r="H10">
        <v>5</v>
      </c>
      <c r="I10">
        <v>51</v>
      </c>
      <c r="J10">
        <v>230</v>
      </c>
      <c r="K10">
        <v>5</v>
      </c>
    </row>
    <row r="11" spans="1:11" x14ac:dyDescent="0.25">
      <c r="A11">
        <v>9</v>
      </c>
      <c r="B11">
        <v>9</v>
      </c>
      <c r="C11">
        <v>45</v>
      </c>
      <c r="D11">
        <v>37</v>
      </c>
      <c r="E11">
        <v>18</v>
      </c>
      <c r="F11">
        <v>63</v>
      </c>
      <c r="G11">
        <v>37</v>
      </c>
      <c r="H11">
        <v>4</v>
      </c>
      <c r="I11">
        <v>55</v>
      </c>
      <c r="J11">
        <v>182</v>
      </c>
      <c r="K11">
        <v>9</v>
      </c>
    </row>
    <row r="12" spans="1:11" x14ac:dyDescent="0.25">
      <c r="A12">
        <v>10</v>
      </c>
      <c r="B12">
        <v>10</v>
      </c>
      <c r="C12">
        <v>38</v>
      </c>
      <c r="D12">
        <v>42</v>
      </c>
      <c r="E12">
        <v>20</v>
      </c>
      <c r="F12">
        <v>60</v>
      </c>
      <c r="G12">
        <v>40</v>
      </c>
      <c r="H12">
        <v>7</v>
      </c>
      <c r="I12">
        <v>62</v>
      </c>
      <c r="J12">
        <v>200</v>
      </c>
      <c r="K12">
        <v>12</v>
      </c>
    </row>
    <row r="13" spans="1:11" x14ac:dyDescent="0.25">
      <c r="A13">
        <v>11</v>
      </c>
      <c r="B13">
        <v>11</v>
      </c>
      <c r="C13">
        <v>33</v>
      </c>
      <c r="D13">
        <v>42</v>
      </c>
      <c r="E13">
        <v>25</v>
      </c>
      <c r="F13">
        <v>55</v>
      </c>
      <c r="G13">
        <v>45</v>
      </c>
      <c r="H13">
        <v>5</v>
      </c>
      <c r="I13">
        <v>67</v>
      </c>
      <c r="J13">
        <v>224</v>
      </c>
      <c r="K13">
        <v>5</v>
      </c>
    </row>
    <row r="14" spans="1:11" x14ac:dyDescent="0.25">
      <c r="A14">
        <v>12</v>
      </c>
      <c r="B14">
        <v>12</v>
      </c>
      <c r="C14">
        <v>31</v>
      </c>
      <c r="D14">
        <v>35</v>
      </c>
      <c r="E14">
        <v>34</v>
      </c>
      <c r="F14">
        <v>61</v>
      </c>
      <c r="G14">
        <v>39</v>
      </c>
      <c r="H14">
        <v>2</v>
      </c>
      <c r="I14">
        <v>69</v>
      </c>
      <c r="J14">
        <v>190</v>
      </c>
      <c r="K14">
        <v>4</v>
      </c>
    </row>
    <row r="15" spans="1:11" x14ac:dyDescent="0.25">
      <c r="A15">
        <v>13</v>
      </c>
      <c r="B15">
        <v>13</v>
      </c>
      <c r="C15">
        <v>28</v>
      </c>
      <c r="D15">
        <v>26</v>
      </c>
      <c r="E15">
        <v>46</v>
      </c>
      <c r="F15">
        <v>63</v>
      </c>
      <c r="G15">
        <v>37</v>
      </c>
      <c r="H15">
        <v>3</v>
      </c>
      <c r="I15">
        <v>72</v>
      </c>
      <c r="J15">
        <v>182</v>
      </c>
      <c r="K15">
        <v>7</v>
      </c>
    </row>
    <row r="16" spans="1:11" x14ac:dyDescent="0.25">
      <c r="A16">
        <v>14</v>
      </c>
      <c r="B16">
        <v>14</v>
      </c>
      <c r="C16">
        <v>28</v>
      </c>
      <c r="D16">
        <v>21</v>
      </c>
      <c r="E16">
        <v>51</v>
      </c>
      <c r="F16">
        <v>62</v>
      </c>
      <c r="G16">
        <v>38</v>
      </c>
      <c r="H16">
        <v>0</v>
      </c>
      <c r="I16">
        <v>72</v>
      </c>
      <c r="J16">
        <v>190</v>
      </c>
      <c r="K16">
        <v>5</v>
      </c>
    </row>
    <row r="17" spans="1:11" x14ac:dyDescent="0.25">
      <c r="A17">
        <v>15</v>
      </c>
      <c r="B17">
        <v>15</v>
      </c>
      <c r="C17">
        <v>27</v>
      </c>
      <c r="D17">
        <v>18</v>
      </c>
      <c r="E17">
        <v>55</v>
      </c>
      <c r="F17">
        <v>56</v>
      </c>
      <c r="G17">
        <v>44</v>
      </c>
      <c r="H17">
        <v>1</v>
      </c>
      <c r="I17">
        <v>73</v>
      </c>
      <c r="J17">
        <v>220</v>
      </c>
      <c r="K17">
        <v>2</v>
      </c>
    </row>
    <row r="18" spans="1:11" x14ac:dyDescent="0.25">
      <c r="A18">
        <v>16</v>
      </c>
      <c r="B18">
        <v>16</v>
      </c>
      <c r="C18">
        <v>25</v>
      </c>
      <c r="D18">
        <v>13</v>
      </c>
      <c r="E18">
        <v>62</v>
      </c>
      <c r="F18">
        <v>57</v>
      </c>
      <c r="G18">
        <v>43</v>
      </c>
      <c r="H18">
        <v>2</v>
      </c>
      <c r="I18">
        <v>75</v>
      </c>
      <c r="J18">
        <v>214</v>
      </c>
      <c r="K18">
        <v>3</v>
      </c>
    </row>
    <row r="19" spans="1:11" x14ac:dyDescent="0.25">
      <c r="A19">
        <v>17</v>
      </c>
      <c r="B19">
        <v>17</v>
      </c>
      <c r="C19">
        <v>25</v>
      </c>
      <c r="D19">
        <v>8</v>
      </c>
      <c r="E19">
        <v>67</v>
      </c>
      <c r="F19">
        <v>51</v>
      </c>
      <c r="G19">
        <v>49</v>
      </c>
      <c r="H19">
        <v>0</v>
      </c>
      <c r="I19">
        <v>75</v>
      </c>
      <c r="J19">
        <v>244</v>
      </c>
      <c r="K19">
        <v>0</v>
      </c>
    </row>
    <row r="20" spans="1:11" x14ac:dyDescent="0.25">
      <c r="A20">
        <v>18</v>
      </c>
      <c r="B20">
        <v>18</v>
      </c>
      <c r="C20">
        <v>23</v>
      </c>
      <c r="D20">
        <v>8</v>
      </c>
      <c r="E20">
        <v>69</v>
      </c>
      <c r="F20">
        <v>7</v>
      </c>
      <c r="G20">
        <v>93</v>
      </c>
      <c r="H20">
        <v>2</v>
      </c>
      <c r="I20">
        <v>77</v>
      </c>
      <c r="J20">
        <v>464</v>
      </c>
      <c r="K20">
        <v>1</v>
      </c>
    </row>
    <row r="21" spans="1:11" x14ac:dyDescent="0.25">
      <c r="A21">
        <v>19</v>
      </c>
      <c r="B21">
        <v>19</v>
      </c>
      <c r="C21">
        <v>22</v>
      </c>
      <c r="D21">
        <v>6</v>
      </c>
      <c r="E21">
        <v>72</v>
      </c>
      <c r="F21">
        <v>33</v>
      </c>
      <c r="G21">
        <v>67</v>
      </c>
      <c r="H21">
        <v>1</v>
      </c>
      <c r="I21">
        <v>78</v>
      </c>
      <c r="J21">
        <v>334</v>
      </c>
      <c r="K21">
        <v>2</v>
      </c>
    </row>
    <row r="22" spans="1:11" x14ac:dyDescent="0.25">
      <c r="A22">
        <v>20</v>
      </c>
      <c r="B22">
        <v>20</v>
      </c>
      <c r="C22">
        <v>22</v>
      </c>
      <c r="D22">
        <v>6</v>
      </c>
      <c r="E22">
        <v>72</v>
      </c>
      <c r="F22">
        <v>56</v>
      </c>
      <c r="G22">
        <v>44</v>
      </c>
      <c r="H22">
        <v>0</v>
      </c>
      <c r="I22">
        <v>78</v>
      </c>
      <c r="J22">
        <v>218</v>
      </c>
      <c r="K22">
        <v>0</v>
      </c>
    </row>
    <row r="23" spans="1:11" x14ac:dyDescent="0.25">
      <c r="A23">
        <v>21</v>
      </c>
      <c r="B23">
        <v>21</v>
      </c>
      <c r="C23">
        <v>21</v>
      </c>
      <c r="D23">
        <v>6</v>
      </c>
      <c r="E23">
        <v>73</v>
      </c>
      <c r="F23">
        <v>4</v>
      </c>
      <c r="G23">
        <v>96</v>
      </c>
      <c r="H23">
        <v>1</v>
      </c>
      <c r="I23">
        <v>79</v>
      </c>
      <c r="J23">
        <v>478</v>
      </c>
      <c r="K23">
        <v>2</v>
      </c>
    </row>
    <row r="24" spans="1:11" x14ac:dyDescent="0.25">
      <c r="A24">
        <v>22</v>
      </c>
      <c r="B24">
        <v>22</v>
      </c>
      <c r="C24">
        <v>21</v>
      </c>
      <c r="D24">
        <v>4</v>
      </c>
      <c r="E24">
        <v>75</v>
      </c>
      <c r="F24">
        <v>57</v>
      </c>
      <c r="G24">
        <v>43</v>
      </c>
      <c r="H24">
        <v>0</v>
      </c>
      <c r="I24">
        <v>79</v>
      </c>
      <c r="J24">
        <v>212</v>
      </c>
      <c r="K24">
        <v>1</v>
      </c>
    </row>
    <row r="25" spans="1:11" x14ac:dyDescent="0.25">
      <c r="A25">
        <v>23</v>
      </c>
      <c r="B25">
        <v>23</v>
      </c>
      <c r="C25">
        <v>20</v>
      </c>
      <c r="D25">
        <v>5</v>
      </c>
      <c r="E25">
        <v>75</v>
      </c>
      <c r="F25">
        <v>35</v>
      </c>
      <c r="G25">
        <v>65</v>
      </c>
      <c r="H25">
        <v>1</v>
      </c>
      <c r="I25">
        <v>80</v>
      </c>
      <c r="J25">
        <v>324</v>
      </c>
      <c r="K25">
        <v>0</v>
      </c>
    </row>
    <row r="26" spans="1:11" x14ac:dyDescent="0.25">
      <c r="A26">
        <v>24</v>
      </c>
      <c r="B26">
        <v>24</v>
      </c>
      <c r="C26">
        <v>19</v>
      </c>
      <c r="D26">
        <v>4</v>
      </c>
      <c r="E26">
        <v>77</v>
      </c>
      <c r="F26">
        <v>5</v>
      </c>
      <c r="G26">
        <v>95</v>
      </c>
      <c r="H26">
        <v>1</v>
      </c>
      <c r="I26">
        <v>81</v>
      </c>
      <c r="J26">
        <v>474</v>
      </c>
      <c r="K26">
        <v>1</v>
      </c>
    </row>
    <row r="27" spans="1:11" x14ac:dyDescent="0.25">
      <c r="A27">
        <v>25</v>
      </c>
      <c r="B27">
        <v>25</v>
      </c>
      <c r="C27">
        <v>19</v>
      </c>
      <c r="D27">
        <v>3</v>
      </c>
      <c r="E27">
        <v>78</v>
      </c>
      <c r="F27">
        <v>34</v>
      </c>
      <c r="G27">
        <v>66</v>
      </c>
      <c r="H27">
        <v>0</v>
      </c>
      <c r="I27">
        <v>81</v>
      </c>
      <c r="J27">
        <v>328</v>
      </c>
      <c r="K27">
        <v>0</v>
      </c>
    </row>
    <row r="28" spans="1:11" x14ac:dyDescent="0.25">
      <c r="A28">
        <v>26</v>
      </c>
      <c r="B28">
        <v>26</v>
      </c>
      <c r="C28">
        <v>18</v>
      </c>
      <c r="D28">
        <v>4</v>
      </c>
      <c r="E28">
        <v>78</v>
      </c>
      <c r="F28">
        <v>3</v>
      </c>
      <c r="G28">
        <v>97</v>
      </c>
      <c r="H28">
        <v>1</v>
      </c>
      <c r="I28">
        <v>82</v>
      </c>
      <c r="J28">
        <v>484</v>
      </c>
      <c r="K28">
        <v>1</v>
      </c>
    </row>
    <row r="29" spans="1:11" x14ac:dyDescent="0.25">
      <c r="A29">
        <v>27</v>
      </c>
      <c r="B29">
        <v>27</v>
      </c>
      <c r="C29">
        <v>18</v>
      </c>
      <c r="D29">
        <v>3</v>
      </c>
      <c r="E29">
        <v>79</v>
      </c>
      <c r="F29">
        <v>33</v>
      </c>
      <c r="G29">
        <v>67</v>
      </c>
      <c r="H29">
        <v>0</v>
      </c>
      <c r="I29">
        <v>82</v>
      </c>
      <c r="J29">
        <v>334</v>
      </c>
      <c r="K29">
        <v>1</v>
      </c>
    </row>
    <row r="30" spans="1:11" x14ac:dyDescent="0.25">
      <c r="A30">
        <v>28</v>
      </c>
      <c r="B30">
        <v>28</v>
      </c>
      <c r="C30">
        <v>17</v>
      </c>
      <c r="D30">
        <v>4</v>
      </c>
      <c r="E30">
        <v>79</v>
      </c>
      <c r="F30">
        <v>33</v>
      </c>
      <c r="G30">
        <v>67</v>
      </c>
      <c r="H30">
        <v>1</v>
      </c>
      <c r="I30">
        <v>83</v>
      </c>
      <c r="J30">
        <v>334</v>
      </c>
      <c r="K30">
        <v>0</v>
      </c>
    </row>
    <row r="31" spans="1:11" x14ac:dyDescent="0.25">
      <c r="A31">
        <v>29</v>
      </c>
      <c r="B31">
        <v>29</v>
      </c>
      <c r="C31">
        <v>17</v>
      </c>
      <c r="D31">
        <v>3</v>
      </c>
      <c r="E31">
        <v>80</v>
      </c>
      <c r="F31">
        <v>5</v>
      </c>
      <c r="G31">
        <v>95</v>
      </c>
      <c r="H31">
        <v>0</v>
      </c>
      <c r="I31">
        <v>83</v>
      </c>
      <c r="J31">
        <v>474</v>
      </c>
      <c r="K31">
        <v>1</v>
      </c>
    </row>
    <row r="32" spans="1:11" x14ac:dyDescent="0.25">
      <c r="A32">
        <v>30</v>
      </c>
      <c r="B32">
        <v>30</v>
      </c>
      <c r="C32">
        <v>17</v>
      </c>
      <c r="D32">
        <v>2</v>
      </c>
      <c r="E32">
        <v>81</v>
      </c>
      <c r="F32">
        <v>32</v>
      </c>
      <c r="G32">
        <v>68</v>
      </c>
      <c r="H32">
        <v>0</v>
      </c>
      <c r="I32">
        <v>83</v>
      </c>
      <c r="J32">
        <v>340</v>
      </c>
      <c r="K32">
        <v>0</v>
      </c>
    </row>
    <row r="33" spans="1:11" x14ac:dyDescent="0.25">
      <c r="A33">
        <v>31</v>
      </c>
      <c r="B33">
        <v>31</v>
      </c>
      <c r="C33">
        <v>17</v>
      </c>
      <c r="D33">
        <v>2</v>
      </c>
      <c r="E33">
        <v>81</v>
      </c>
      <c r="F33">
        <v>2</v>
      </c>
      <c r="G33">
        <v>98</v>
      </c>
      <c r="H33">
        <v>0</v>
      </c>
      <c r="I33">
        <v>83</v>
      </c>
      <c r="J33">
        <v>490</v>
      </c>
      <c r="K33">
        <v>1</v>
      </c>
    </row>
    <row r="34" spans="1:11" x14ac:dyDescent="0.25">
      <c r="A34">
        <v>32</v>
      </c>
      <c r="B34">
        <v>32</v>
      </c>
      <c r="C34">
        <v>17</v>
      </c>
      <c r="D34">
        <v>1</v>
      </c>
      <c r="E34">
        <v>82</v>
      </c>
      <c r="F34">
        <v>33</v>
      </c>
      <c r="G34">
        <v>67</v>
      </c>
      <c r="H34">
        <v>0</v>
      </c>
      <c r="I34">
        <v>83</v>
      </c>
      <c r="J34">
        <v>334</v>
      </c>
      <c r="K34">
        <v>0</v>
      </c>
    </row>
    <row r="35" spans="1:11" x14ac:dyDescent="0.25">
      <c r="A35">
        <v>33</v>
      </c>
      <c r="B35">
        <v>33</v>
      </c>
      <c r="C35">
        <v>17</v>
      </c>
      <c r="D35">
        <v>1</v>
      </c>
      <c r="E35">
        <v>82</v>
      </c>
      <c r="F35">
        <v>2</v>
      </c>
      <c r="G35">
        <v>98</v>
      </c>
      <c r="H35">
        <v>0</v>
      </c>
      <c r="I35">
        <v>83</v>
      </c>
      <c r="J35">
        <v>490</v>
      </c>
      <c r="K35">
        <v>0</v>
      </c>
    </row>
    <row r="36" spans="1:11" x14ac:dyDescent="0.25">
      <c r="A36">
        <v>34</v>
      </c>
      <c r="B36">
        <v>34</v>
      </c>
      <c r="C36">
        <v>17</v>
      </c>
      <c r="D36">
        <v>0</v>
      </c>
      <c r="E36">
        <v>83</v>
      </c>
      <c r="F36">
        <v>3</v>
      </c>
      <c r="G36">
        <v>97</v>
      </c>
      <c r="H36">
        <v>0</v>
      </c>
      <c r="I36">
        <v>83</v>
      </c>
      <c r="J36">
        <v>484</v>
      </c>
      <c r="K3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6DAB-D3E8-4453-8BF0-C4145D94EFAF}">
  <dimension ref="A1:K24"/>
  <sheetViews>
    <sheetView workbookViewId="0">
      <selection sqref="A1:XFD1048576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98</v>
      </c>
      <c r="D3">
        <v>2</v>
      </c>
      <c r="E3">
        <v>0</v>
      </c>
      <c r="F3">
        <v>0</v>
      </c>
      <c r="G3">
        <v>100</v>
      </c>
      <c r="H3">
        <v>0</v>
      </c>
      <c r="I3">
        <v>2</v>
      </c>
      <c r="J3">
        <v>500</v>
      </c>
      <c r="K3">
        <v>0</v>
      </c>
    </row>
    <row r="4" spans="1:11" x14ac:dyDescent="0.25">
      <c r="A4">
        <v>2</v>
      </c>
      <c r="B4">
        <v>2</v>
      </c>
      <c r="C4">
        <v>93</v>
      </c>
      <c r="D4">
        <v>7</v>
      </c>
      <c r="E4">
        <v>0</v>
      </c>
      <c r="F4">
        <v>0</v>
      </c>
      <c r="G4">
        <v>100</v>
      </c>
      <c r="H4">
        <v>5</v>
      </c>
      <c r="I4">
        <v>7</v>
      </c>
      <c r="J4">
        <v>500</v>
      </c>
      <c r="K4">
        <v>0</v>
      </c>
    </row>
    <row r="5" spans="1:11" x14ac:dyDescent="0.25">
      <c r="A5">
        <v>3</v>
      </c>
      <c r="B5">
        <v>3</v>
      </c>
      <c r="C5">
        <v>85</v>
      </c>
      <c r="D5">
        <v>15</v>
      </c>
      <c r="E5">
        <v>0</v>
      </c>
      <c r="F5">
        <v>0</v>
      </c>
      <c r="G5">
        <v>100</v>
      </c>
      <c r="H5">
        <v>8</v>
      </c>
      <c r="I5">
        <v>15</v>
      </c>
      <c r="J5">
        <v>498</v>
      </c>
      <c r="K5">
        <v>2</v>
      </c>
    </row>
    <row r="6" spans="1:11" x14ac:dyDescent="0.25">
      <c r="A6">
        <v>4</v>
      </c>
      <c r="B6">
        <v>4</v>
      </c>
      <c r="C6">
        <v>81</v>
      </c>
      <c r="D6">
        <v>19</v>
      </c>
      <c r="E6">
        <v>0</v>
      </c>
      <c r="F6">
        <v>61</v>
      </c>
      <c r="G6">
        <v>39</v>
      </c>
      <c r="H6">
        <v>4</v>
      </c>
      <c r="I6">
        <v>19</v>
      </c>
      <c r="J6">
        <v>192</v>
      </c>
      <c r="K6">
        <v>0</v>
      </c>
    </row>
    <row r="7" spans="1:11" x14ac:dyDescent="0.25">
      <c r="A7">
        <v>5</v>
      </c>
      <c r="B7">
        <v>5</v>
      </c>
      <c r="C7">
        <v>66</v>
      </c>
      <c r="D7">
        <v>34</v>
      </c>
      <c r="E7">
        <v>0</v>
      </c>
      <c r="F7">
        <v>3</v>
      </c>
      <c r="G7">
        <v>97</v>
      </c>
      <c r="H7">
        <v>15</v>
      </c>
      <c r="I7">
        <v>34</v>
      </c>
      <c r="J7">
        <v>484</v>
      </c>
      <c r="K7">
        <v>5</v>
      </c>
    </row>
    <row r="8" spans="1:11" x14ac:dyDescent="0.25">
      <c r="A8">
        <v>6</v>
      </c>
      <c r="B8">
        <v>6</v>
      </c>
      <c r="C8">
        <v>59</v>
      </c>
      <c r="D8">
        <v>39</v>
      </c>
      <c r="E8">
        <v>2</v>
      </c>
      <c r="F8">
        <v>63</v>
      </c>
      <c r="G8">
        <v>37</v>
      </c>
      <c r="H8">
        <v>7</v>
      </c>
      <c r="I8">
        <v>41</v>
      </c>
      <c r="J8">
        <v>182</v>
      </c>
      <c r="K8">
        <v>8</v>
      </c>
    </row>
    <row r="9" spans="1:11" x14ac:dyDescent="0.25">
      <c r="A9">
        <v>7</v>
      </c>
      <c r="B9">
        <v>7</v>
      </c>
      <c r="C9">
        <v>52</v>
      </c>
      <c r="D9">
        <v>46</v>
      </c>
      <c r="E9">
        <v>2</v>
      </c>
      <c r="F9">
        <v>70</v>
      </c>
      <c r="G9">
        <v>30</v>
      </c>
      <c r="H9">
        <v>7</v>
      </c>
      <c r="I9">
        <v>48</v>
      </c>
      <c r="J9">
        <v>148</v>
      </c>
      <c r="K9">
        <v>4</v>
      </c>
    </row>
    <row r="10" spans="1:11" x14ac:dyDescent="0.25">
      <c r="A10">
        <v>8</v>
      </c>
      <c r="B10">
        <v>8</v>
      </c>
      <c r="C10">
        <v>44</v>
      </c>
      <c r="D10">
        <v>49</v>
      </c>
      <c r="E10">
        <v>7</v>
      </c>
      <c r="F10">
        <v>70</v>
      </c>
      <c r="G10">
        <v>30</v>
      </c>
      <c r="H10">
        <v>8</v>
      </c>
      <c r="I10">
        <v>56</v>
      </c>
      <c r="J10">
        <v>148</v>
      </c>
      <c r="K10">
        <v>15</v>
      </c>
    </row>
    <row r="11" spans="1:11" x14ac:dyDescent="0.25">
      <c r="A11">
        <v>9</v>
      </c>
      <c r="B11">
        <v>9</v>
      </c>
      <c r="C11">
        <v>44</v>
      </c>
      <c r="D11">
        <v>41</v>
      </c>
      <c r="E11">
        <v>15</v>
      </c>
      <c r="F11">
        <v>78</v>
      </c>
      <c r="G11">
        <v>22</v>
      </c>
      <c r="H11">
        <v>0</v>
      </c>
      <c r="I11">
        <v>56</v>
      </c>
      <c r="J11">
        <v>108</v>
      </c>
      <c r="K11">
        <v>7</v>
      </c>
    </row>
    <row r="12" spans="1:11" x14ac:dyDescent="0.25">
      <c r="A12">
        <v>10</v>
      </c>
      <c r="B12">
        <v>10</v>
      </c>
      <c r="C12">
        <v>44</v>
      </c>
      <c r="D12">
        <v>37</v>
      </c>
      <c r="E12">
        <v>19</v>
      </c>
      <c r="F12">
        <v>80</v>
      </c>
      <c r="G12">
        <v>20</v>
      </c>
      <c r="H12">
        <v>0</v>
      </c>
      <c r="I12">
        <v>56</v>
      </c>
      <c r="J12">
        <v>96</v>
      </c>
      <c r="K12">
        <v>7</v>
      </c>
    </row>
    <row r="13" spans="1:11" x14ac:dyDescent="0.25">
      <c r="A13">
        <v>11</v>
      </c>
      <c r="B13">
        <v>11</v>
      </c>
      <c r="C13">
        <v>44</v>
      </c>
      <c r="D13">
        <v>22</v>
      </c>
      <c r="E13">
        <v>34</v>
      </c>
      <c r="F13">
        <v>82</v>
      </c>
      <c r="G13">
        <v>18</v>
      </c>
      <c r="H13">
        <v>0</v>
      </c>
      <c r="I13">
        <v>56</v>
      </c>
      <c r="J13">
        <v>90</v>
      </c>
      <c r="K13">
        <v>8</v>
      </c>
    </row>
    <row r="14" spans="1:11" x14ac:dyDescent="0.25">
      <c r="A14">
        <v>12</v>
      </c>
      <c r="B14">
        <v>12</v>
      </c>
      <c r="C14">
        <v>43</v>
      </c>
      <c r="D14">
        <v>16</v>
      </c>
      <c r="E14">
        <v>41</v>
      </c>
      <c r="F14">
        <v>83</v>
      </c>
      <c r="G14">
        <v>17</v>
      </c>
      <c r="H14">
        <v>1</v>
      </c>
      <c r="I14">
        <v>57</v>
      </c>
      <c r="J14">
        <v>84</v>
      </c>
      <c r="K14">
        <v>0</v>
      </c>
    </row>
    <row r="15" spans="1:11" x14ac:dyDescent="0.25">
      <c r="A15">
        <v>13</v>
      </c>
      <c r="B15">
        <v>13</v>
      </c>
      <c r="C15">
        <v>38</v>
      </c>
      <c r="D15">
        <v>14</v>
      </c>
      <c r="E15">
        <v>48</v>
      </c>
      <c r="F15">
        <v>8</v>
      </c>
      <c r="G15">
        <v>92</v>
      </c>
      <c r="H15">
        <v>5</v>
      </c>
      <c r="I15">
        <v>62</v>
      </c>
      <c r="J15">
        <v>456</v>
      </c>
      <c r="K15">
        <v>0</v>
      </c>
    </row>
    <row r="16" spans="1:11" x14ac:dyDescent="0.25">
      <c r="A16">
        <v>14</v>
      </c>
      <c r="B16">
        <v>14</v>
      </c>
      <c r="C16">
        <v>33</v>
      </c>
      <c r="D16">
        <v>11</v>
      </c>
      <c r="E16">
        <v>56</v>
      </c>
      <c r="F16">
        <v>3</v>
      </c>
      <c r="G16">
        <v>97</v>
      </c>
      <c r="H16">
        <v>5</v>
      </c>
      <c r="I16">
        <v>67</v>
      </c>
      <c r="J16">
        <v>484</v>
      </c>
      <c r="K16">
        <v>0</v>
      </c>
    </row>
    <row r="17" spans="1:11" x14ac:dyDescent="0.25">
      <c r="A17">
        <v>15</v>
      </c>
      <c r="B17">
        <v>15</v>
      </c>
      <c r="C17">
        <v>30</v>
      </c>
      <c r="D17">
        <v>14</v>
      </c>
      <c r="E17">
        <v>56</v>
      </c>
      <c r="F17">
        <v>0</v>
      </c>
      <c r="G17">
        <v>100</v>
      </c>
      <c r="H17">
        <v>3</v>
      </c>
      <c r="I17">
        <v>70</v>
      </c>
      <c r="J17">
        <v>500</v>
      </c>
      <c r="K17">
        <v>1</v>
      </c>
    </row>
    <row r="18" spans="1:11" x14ac:dyDescent="0.25">
      <c r="A18">
        <v>16</v>
      </c>
      <c r="B18">
        <v>16</v>
      </c>
      <c r="C18">
        <v>29</v>
      </c>
      <c r="D18">
        <v>15</v>
      </c>
      <c r="E18">
        <v>56</v>
      </c>
      <c r="F18">
        <v>44</v>
      </c>
      <c r="G18">
        <v>56</v>
      </c>
      <c r="H18">
        <v>1</v>
      </c>
      <c r="I18">
        <v>71</v>
      </c>
      <c r="J18">
        <v>278</v>
      </c>
      <c r="K18">
        <v>5</v>
      </c>
    </row>
    <row r="19" spans="1:11" x14ac:dyDescent="0.25">
      <c r="A19">
        <v>17</v>
      </c>
      <c r="B19">
        <v>17</v>
      </c>
      <c r="C19">
        <v>29</v>
      </c>
      <c r="D19">
        <v>15</v>
      </c>
      <c r="E19">
        <v>56</v>
      </c>
      <c r="F19">
        <v>67</v>
      </c>
      <c r="G19">
        <v>33</v>
      </c>
      <c r="H19">
        <v>0</v>
      </c>
      <c r="I19">
        <v>71</v>
      </c>
      <c r="J19">
        <v>164</v>
      </c>
      <c r="K19">
        <v>5</v>
      </c>
    </row>
    <row r="20" spans="1:11" x14ac:dyDescent="0.25">
      <c r="A20">
        <v>18</v>
      </c>
      <c r="B20">
        <v>18</v>
      </c>
      <c r="C20">
        <v>29</v>
      </c>
      <c r="D20">
        <v>14</v>
      </c>
      <c r="E20">
        <v>57</v>
      </c>
      <c r="F20">
        <v>65</v>
      </c>
      <c r="G20">
        <v>35</v>
      </c>
      <c r="H20">
        <v>0</v>
      </c>
      <c r="I20">
        <v>71</v>
      </c>
      <c r="J20">
        <v>172</v>
      </c>
      <c r="K20">
        <v>3</v>
      </c>
    </row>
    <row r="21" spans="1:11" x14ac:dyDescent="0.25">
      <c r="A21">
        <v>19</v>
      </c>
      <c r="B21">
        <v>19</v>
      </c>
      <c r="C21">
        <v>29</v>
      </c>
      <c r="D21">
        <v>9</v>
      </c>
      <c r="E21">
        <v>62</v>
      </c>
      <c r="F21">
        <v>66</v>
      </c>
      <c r="G21">
        <v>34</v>
      </c>
      <c r="H21">
        <v>0</v>
      </c>
      <c r="I21">
        <v>71</v>
      </c>
      <c r="J21">
        <v>170</v>
      </c>
      <c r="K21">
        <v>1</v>
      </c>
    </row>
    <row r="22" spans="1:11" x14ac:dyDescent="0.25">
      <c r="A22">
        <v>20</v>
      </c>
      <c r="B22">
        <v>20</v>
      </c>
      <c r="C22">
        <v>29</v>
      </c>
      <c r="D22">
        <v>4</v>
      </c>
      <c r="E22">
        <v>67</v>
      </c>
      <c r="F22">
        <v>49</v>
      </c>
      <c r="G22">
        <v>51</v>
      </c>
      <c r="H22">
        <v>0</v>
      </c>
      <c r="I22">
        <v>71</v>
      </c>
      <c r="J22">
        <v>254</v>
      </c>
      <c r="K22">
        <v>0</v>
      </c>
    </row>
    <row r="23" spans="1:11" x14ac:dyDescent="0.25">
      <c r="A23">
        <v>21</v>
      </c>
      <c r="B23">
        <v>21</v>
      </c>
      <c r="C23">
        <v>29</v>
      </c>
      <c r="D23">
        <v>1</v>
      </c>
      <c r="E23">
        <v>70</v>
      </c>
      <c r="F23">
        <v>2</v>
      </c>
      <c r="G23">
        <v>98</v>
      </c>
      <c r="H23">
        <v>0</v>
      </c>
      <c r="I23">
        <v>71</v>
      </c>
      <c r="J23">
        <v>488</v>
      </c>
      <c r="K23">
        <v>0</v>
      </c>
    </row>
    <row r="24" spans="1:11" x14ac:dyDescent="0.25">
      <c r="A24">
        <v>22</v>
      </c>
      <c r="B24">
        <v>22</v>
      </c>
      <c r="C24">
        <v>29</v>
      </c>
      <c r="D24">
        <v>0</v>
      </c>
      <c r="E24">
        <v>71</v>
      </c>
      <c r="F24">
        <v>0</v>
      </c>
      <c r="G24">
        <v>100</v>
      </c>
      <c r="H24">
        <v>0</v>
      </c>
      <c r="I24">
        <v>71</v>
      </c>
      <c r="J24">
        <v>500</v>
      </c>
      <c r="K24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B5A1-EDB0-4472-B0EE-BF4C4D2E4253}">
  <dimension ref="A1:K23"/>
  <sheetViews>
    <sheetView workbookViewId="0">
      <selection activeCell="P3" sqref="P3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94</v>
      </c>
      <c r="D3">
        <v>6</v>
      </c>
      <c r="E3">
        <v>0</v>
      </c>
      <c r="F3">
        <v>0</v>
      </c>
      <c r="G3">
        <v>100</v>
      </c>
      <c r="H3">
        <v>4</v>
      </c>
      <c r="I3">
        <v>6</v>
      </c>
      <c r="J3">
        <v>498</v>
      </c>
      <c r="K3">
        <v>0</v>
      </c>
    </row>
    <row r="4" spans="1:11" x14ac:dyDescent="0.25">
      <c r="A4">
        <v>2</v>
      </c>
      <c r="B4">
        <v>2</v>
      </c>
      <c r="C4">
        <v>85</v>
      </c>
      <c r="D4">
        <v>15</v>
      </c>
      <c r="E4">
        <v>0</v>
      </c>
      <c r="F4">
        <v>0</v>
      </c>
      <c r="G4">
        <v>100</v>
      </c>
      <c r="H4">
        <v>9</v>
      </c>
      <c r="I4">
        <v>15</v>
      </c>
      <c r="J4">
        <v>500</v>
      </c>
      <c r="K4">
        <v>0</v>
      </c>
    </row>
    <row r="5" spans="1:11" x14ac:dyDescent="0.25">
      <c r="A5">
        <v>3</v>
      </c>
      <c r="B5">
        <v>3</v>
      </c>
      <c r="C5">
        <v>75</v>
      </c>
      <c r="D5">
        <v>25</v>
      </c>
      <c r="E5">
        <v>0</v>
      </c>
      <c r="F5">
        <v>1</v>
      </c>
      <c r="G5">
        <v>99</v>
      </c>
      <c r="H5">
        <v>10</v>
      </c>
      <c r="I5">
        <v>25</v>
      </c>
      <c r="J5">
        <v>494</v>
      </c>
      <c r="K5">
        <v>2</v>
      </c>
    </row>
    <row r="6" spans="1:11" x14ac:dyDescent="0.25">
      <c r="A6">
        <v>4</v>
      </c>
      <c r="B6">
        <v>4</v>
      </c>
      <c r="C6">
        <v>69</v>
      </c>
      <c r="D6">
        <v>31</v>
      </c>
      <c r="E6">
        <v>0</v>
      </c>
      <c r="F6">
        <v>63</v>
      </c>
      <c r="G6">
        <v>37</v>
      </c>
      <c r="H6">
        <v>6</v>
      </c>
      <c r="I6">
        <v>31</v>
      </c>
      <c r="J6">
        <v>180</v>
      </c>
      <c r="K6">
        <v>4</v>
      </c>
    </row>
    <row r="7" spans="1:11" x14ac:dyDescent="0.25">
      <c r="A7">
        <v>5</v>
      </c>
      <c r="B7">
        <v>5</v>
      </c>
      <c r="C7">
        <v>64</v>
      </c>
      <c r="D7">
        <v>36</v>
      </c>
      <c r="E7">
        <v>0</v>
      </c>
      <c r="F7">
        <v>64</v>
      </c>
      <c r="G7">
        <v>36</v>
      </c>
      <c r="H7">
        <v>5</v>
      </c>
      <c r="I7">
        <v>36</v>
      </c>
      <c r="J7">
        <v>180</v>
      </c>
      <c r="K7">
        <v>9</v>
      </c>
    </row>
    <row r="8" spans="1:11" x14ac:dyDescent="0.25">
      <c r="A8">
        <v>6</v>
      </c>
      <c r="B8">
        <v>6</v>
      </c>
      <c r="C8">
        <v>57</v>
      </c>
      <c r="D8">
        <v>41</v>
      </c>
      <c r="E8">
        <v>2</v>
      </c>
      <c r="F8">
        <v>72</v>
      </c>
      <c r="G8">
        <v>28</v>
      </c>
      <c r="H8">
        <v>7</v>
      </c>
      <c r="I8">
        <v>43</v>
      </c>
      <c r="J8">
        <v>138</v>
      </c>
      <c r="K8">
        <v>10</v>
      </c>
    </row>
    <row r="9" spans="1:11" x14ac:dyDescent="0.25">
      <c r="A9">
        <v>7</v>
      </c>
      <c r="B9">
        <v>7</v>
      </c>
      <c r="C9">
        <v>55</v>
      </c>
      <c r="D9">
        <v>39</v>
      </c>
      <c r="E9">
        <v>6</v>
      </c>
      <c r="F9">
        <v>86</v>
      </c>
      <c r="G9">
        <v>14</v>
      </c>
      <c r="H9">
        <v>2</v>
      </c>
      <c r="I9">
        <v>45</v>
      </c>
      <c r="J9">
        <v>68</v>
      </c>
      <c r="K9">
        <v>6</v>
      </c>
    </row>
    <row r="10" spans="1:11" x14ac:dyDescent="0.25">
      <c r="A10">
        <v>8</v>
      </c>
      <c r="B10">
        <v>8</v>
      </c>
      <c r="C10">
        <v>50</v>
      </c>
      <c r="D10">
        <v>35</v>
      </c>
      <c r="E10">
        <v>15</v>
      </c>
      <c r="F10">
        <v>74</v>
      </c>
      <c r="G10">
        <v>26</v>
      </c>
      <c r="H10">
        <v>5</v>
      </c>
      <c r="I10">
        <v>50</v>
      </c>
      <c r="J10">
        <v>128</v>
      </c>
      <c r="K10">
        <v>5</v>
      </c>
    </row>
    <row r="11" spans="1:11" x14ac:dyDescent="0.25">
      <c r="A11">
        <v>9</v>
      </c>
      <c r="B11">
        <v>9</v>
      </c>
      <c r="C11">
        <v>46</v>
      </c>
      <c r="D11">
        <v>29</v>
      </c>
      <c r="E11">
        <v>25</v>
      </c>
      <c r="F11">
        <v>82</v>
      </c>
      <c r="G11">
        <v>18</v>
      </c>
      <c r="H11">
        <v>4</v>
      </c>
      <c r="I11">
        <v>54</v>
      </c>
      <c r="J11">
        <v>90</v>
      </c>
      <c r="K11">
        <v>7</v>
      </c>
    </row>
    <row r="12" spans="1:11" x14ac:dyDescent="0.25">
      <c r="A12">
        <v>10</v>
      </c>
      <c r="B12">
        <v>10</v>
      </c>
      <c r="C12">
        <v>42</v>
      </c>
      <c r="D12">
        <v>27</v>
      </c>
      <c r="E12">
        <v>31</v>
      </c>
      <c r="F12">
        <v>73</v>
      </c>
      <c r="G12">
        <v>27</v>
      </c>
      <c r="H12">
        <v>4</v>
      </c>
      <c r="I12">
        <v>58</v>
      </c>
      <c r="J12">
        <v>134</v>
      </c>
      <c r="K12">
        <v>2</v>
      </c>
    </row>
    <row r="13" spans="1:11" x14ac:dyDescent="0.25">
      <c r="A13">
        <v>11</v>
      </c>
      <c r="B13">
        <v>11</v>
      </c>
      <c r="C13">
        <v>42</v>
      </c>
      <c r="D13">
        <v>22</v>
      </c>
      <c r="E13">
        <v>36</v>
      </c>
      <c r="F13">
        <v>74</v>
      </c>
      <c r="G13">
        <v>26</v>
      </c>
      <c r="H13">
        <v>0</v>
      </c>
      <c r="I13">
        <v>58</v>
      </c>
      <c r="J13">
        <v>130</v>
      </c>
      <c r="K13">
        <v>5</v>
      </c>
    </row>
    <row r="14" spans="1:11" x14ac:dyDescent="0.25">
      <c r="A14">
        <v>12</v>
      </c>
      <c r="B14">
        <v>12</v>
      </c>
      <c r="C14">
        <v>41</v>
      </c>
      <c r="D14">
        <v>16</v>
      </c>
      <c r="E14">
        <v>43</v>
      </c>
      <c r="F14">
        <v>77</v>
      </c>
      <c r="G14">
        <v>23</v>
      </c>
      <c r="H14">
        <v>1</v>
      </c>
      <c r="I14">
        <v>59</v>
      </c>
      <c r="J14">
        <v>114</v>
      </c>
      <c r="K14">
        <v>4</v>
      </c>
    </row>
    <row r="15" spans="1:11" x14ac:dyDescent="0.25">
      <c r="A15">
        <v>13</v>
      </c>
      <c r="B15">
        <v>13</v>
      </c>
      <c r="C15">
        <v>41</v>
      </c>
      <c r="D15">
        <v>14</v>
      </c>
      <c r="E15">
        <v>45</v>
      </c>
      <c r="F15">
        <v>73</v>
      </c>
      <c r="G15">
        <v>27</v>
      </c>
      <c r="H15">
        <v>0</v>
      </c>
      <c r="I15">
        <v>59</v>
      </c>
      <c r="J15">
        <v>134</v>
      </c>
      <c r="K15">
        <v>4</v>
      </c>
    </row>
    <row r="16" spans="1:11" x14ac:dyDescent="0.25">
      <c r="A16">
        <v>14</v>
      </c>
      <c r="B16">
        <v>14</v>
      </c>
      <c r="C16">
        <v>41</v>
      </c>
      <c r="D16">
        <v>9</v>
      </c>
      <c r="E16">
        <v>50</v>
      </c>
      <c r="F16">
        <v>71</v>
      </c>
      <c r="G16">
        <v>29</v>
      </c>
      <c r="H16">
        <v>0</v>
      </c>
      <c r="I16">
        <v>59</v>
      </c>
      <c r="J16">
        <v>142</v>
      </c>
      <c r="K16">
        <v>0</v>
      </c>
    </row>
    <row r="17" spans="1:11" x14ac:dyDescent="0.25">
      <c r="A17">
        <v>15</v>
      </c>
      <c r="B17">
        <v>15</v>
      </c>
      <c r="C17">
        <v>40</v>
      </c>
      <c r="D17">
        <v>6</v>
      </c>
      <c r="E17">
        <v>54</v>
      </c>
      <c r="F17">
        <v>5</v>
      </c>
      <c r="G17">
        <v>95</v>
      </c>
      <c r="H17">
        <v>1</v>
      </c>
      <c r="I17">
        <v>60</v>
      </c>
      <c r="J17">
        <v>474</v>
      </c>
      <c r="K17">
        <v>1</v>
      </c>
    </row>
    <row r="18" spans="1:11" x14ac:dyDescent="0.25">
      <c r="A18">
        <v>16</v>
      </c>
      <c r="B18">
        <v>16</v>
      </c>
      <c r="C18">
        <v>40</v>
      </c>
      <c r="D18">
        <v>2</v>
      </c>
      <c r="E18">
        <v>58</v>
      </c>
      <c r="F18">
        <v>56</v>
      </c>
      <c r="G18">
        <v>44</v>
      </c>
      <c r="H18">
        <v>0</v>
      </c>
      <c r="I18">
        <v>60</v>
      </c>
      <c r="J18">
        <v>220</v>
      </c>
      <c r="K18">
        <v>0</v>
      </c>
    </row>
    <row r="19" spans="1:11" x14ac:dyDescent="0.25">
      <c r="A19">
        <v>17</v>
      </c>
      <c r="B19">
        <v>17</v>
      </c>
      <c r="C19">
        <v>40</v>
      </c>
      <c r="D19">
        <v>2</v>
      </c>
      <c r="E19">
        <v>58</v>
      </c>
      <c r="F19">
        <v>1</v>
      </c>
      <c r="G19">
        <v>99</v>
      </c>
      <c r="H19">
        <v>0</v>
      </c>
      <c r="I19">
        <v>60</v>
      </c>
      <c r="J19">
        <v>492</v>
      </c>
      <c r="K19">
        <v>0</v>
      </c>
    </row>
    <row r="20" spans="1:11" x14ac:dyDescent="0.25">
      <c r="A20">
        <v>18</v>
      </c>
      <c r="B20">
        <v>18</v>
      </c>
      <c r="C20">
        <v>40</v>
      </c>
      <c r="D20">
        <v>1</v>
      </c>
      <c r="E20">
        <v>59</v>
      </c>
      <c r="F20">
        <v>1</v>
      </c>
      <c r="G20">
        <v>99</v>
      </c>
      <c r="H20">
        <v>0</v>
      </c>
      <c r="I20">
        <v>60</v>
      </c>
      <c r="J20">
        <v>494</v>
      </c>
      <c r="K20">
        <v>1</v>
      </c>
    </row>
    <row r="21" spans="1:11" x14ac:dyDescent="0.25">
      <c r="A21">
        <v>19</v>
      </c>
      <c r="B21">
        <v>19</v>
      </c>
      <c r="C21">
        <v>40</v>
      </c>
      <c r="D21">
        <v>1</v>
      </c>
      <c r="E21">
        <v>59</v>
      </c>
      <c r="F21">
        <v>52</v>
      </c>
      <c r="G21">
        <v>48</v>
      </c>
      <c r="H21">
        <v>0</v>
      </c>
      <c r="I21">
        <v>60</v>
      </c>
      <c r="J21">
        <v>240</v>
      </c>
      <c r="K21">
        <v>0</v>
      </c>
    </row>
    <row r="22" spans="1:11" x14ac:dyDescent="0.25">
      <c r="A22">
        <v>20</v>
      </c>
      <c r="B22">
        <v>20</v>
      </c>
      <c r="C22">
        <v>40</v>
      </c>
      <c r="D22">
        <v>1</v>
      </c>
      <c r="E22">
        <v>59</v>
      </c>
      <c r="F22">
        <v>1</v>
      </c>
      <c r="G22">
        <v>99</v>
      </c>
      <c r="H22">
        <v>0</v>
      </c>
      <c r="I22">
        <v>60</v>
      </c>
      <c r="J22">
        <v>494</v>
      </c>
      <c r="K22">
        <v>0</v>
      </c>
    </row>
    <row r="23" spans="1:11" x14ac:dyDescent="0.25">
      <c r="A23">
        <v>21</v>
      </c>
      <c r="B23">
        <v>21</v>
      </c>
      <c r="C23">
        <v>40</v>
      </c>
      <c r="D23">
        <v>0</v>
      </c>
      <c r="E23">
        <v>60</v>
      </c>
      <c r="F23">
        <v>1</v>
      </c>
      <c r="G23">
        <v>99</v>
      </c>
      <c r="H23">
        <v>0</v>
      </c>
      <c r="I23">
        <v>60</v>
      </c>
      <c r="J23">
        <v>494</v>
      </c>
      <c r="K2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0D9D-7757-4DE3-8B74-B8494FB0B888}">
  <dimension ref="A1:K34"/>
  <sheetViews>
    <sheetView workbookViewId="0">
      <selection activeCell="R26" sqref="R26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97</v>
      </c>
      <c r="D3">
        <v>3</v>
      </c>
      <c r="E3">
        <v>0</v>
      </c>
      <c r="F3">
        <v>0</v>
      </c>
      <c r="G3">
        <v>100</v>
      </c>
      <c r="H3">
        <v>1</v>
      </c>
      <c r="I3">
        <v>3</v>
      </c>
      <c r="J3">
        <v>498</v>
      </c>
      <c r="K3">
        <v>0</v>
      </c>
    </row>
    <row r="4" spans="1:11" x14ac:dyDescent="0.25">
      <c r="A4">
        <v>2</v>
      </c>
      <c r="B4">
        <v>2</v>
      </c>
      <c r="C4">
        <v>94</v>
      </c>
      <c r="D4">
        <v>6</v>
      </c>
      <c r="E4">
        <v>0</v>
      </c>
      <c r="F4">
        <v>0</v>
      </c>
      <c r="G4">
        <v>100</v>
      </c>
      <c r="H4">
        <v>3</v>
      </c>
      <c r="I4">
        <v>6</v>
      </c>
      <c r="J4">
        <v>496</v>
      </c>
      <c r="K4">
        <v>0</v>
      </c>
    </row>
    <row r="5" spans="1:11" x14ac:dyDescent="0.25">
      <c r="A5">
        <v>3</v>
      </c>
      <c r="B5">
        <v>3</v>
      </c>
      <c r="C5">
        <v>91</v>
      </c>
      <c r="D5">
        <v>9</v>
      </c>
      <c r="E5">
        <v>0</v>
      </c>
      <c r="F5">
        <v>1</v>
      </c>
      <c r="G5">
        <v>99</v>
      </c>
      <c r="H5">
        <v>3</v>
      </c>
      <c r="I5">
        <v>9</v>
      </c>
      <c r="J5">
        <v>494</v>
      </c>
      <c r="K5">
        <v>2</v>
      </c>
    </row>
    <row r="6" spans="1:11" x14ac:dyDescent="0.25">
      <c r="A6">
        <v>4</v>
      </c>
      <c r="B6">
        <v>4</v>
      </c>
      <c r="C6">
        <v>88</v>
      </c>
      <c r="D6">
        <v>12</v>
      </c>
      <c r="E6">
        <v>0</v>
      </c>
      <c r="F6">
        <v>62</v>
      </c>
      <c r="G6">
        <v>38</v>
      </c>
      <c r="H6">
        <v>3</v>
      </c>
      <c r="I6">
        <v>12</v>
      </c>
      <c r="J6">
        <v>188</v>
      </c>
      <c r="K6">
        <v>1</v>
      </c>
    </row>
    <row r="7" spans="1:11" x14ac:dyDescent="0.25">
      <c r="A7">
        <v>5</v>
      </c>
      <c r="B7">
        <v>5</v>
      </c>
      <c r="C7">
        <v>86</v>
      </c>
      <c r="D7">
        <v>14</v>
      </c>
      <c r="E7">
        <v>0</v>
      </c>
      <c r="F7">
        <v>48</v>
      </c>
      <c r="G7">
        <v>52</v>
      </c>
      <c r="H7">
        <v>2</v>
      </c>
      <c r="I7">
        <v>14</v>
      </c>
      <c r="J7">
        <v>260</v>
      </c>
      <c r="K7">
        <v>3</v>
      </c>
    </row>
    <row r="8" spans="1:11" x14ac:dyDescent="0.25">
      <c r="A8">
        <v>6</v>
      </c>
      <c r="B8">
        <v>6</v>
      </c>
      <c r="C8">
        <v>82</v>
      </c>
      <c r="D8">
        <v>16</v>
      </c>
      <c r="E8">
        <v>2</v>
      </c>
      <c r="F8">
        <v>63</v>
      </c>
      <c r="G8">
        <v>37</v>
      </c>
      <c r="H8">
        <v>4</v>
      </c>
      <c r="I8">
        <v>18</v>
      </c>
      <c r="J8">
        <v>184</v>
      </c>
      <c r="K8">
        <v>3</v>
      </c>
    </row>
    <row r="9" spans="1:11" x14ac:dyDescent="0.25">
      <c r="A9">
        <v>7</v>
      </c>
      <c r="B9">
        <v>7</v>
      </c>
      <c r="C9">
        <v>77</v>
      </c>
      <c r="D9">
        <v>20</v>
      </c>
      <c r="E9">
        <v>3</v>
      </c>
      <c r="F9">
        <v>66</v>
      </c>
      <c r="G9">
        <v>34</v>
      </c>
      <c r="H9">
        <v>5</v>
      </c>
      <c r="I9">
        <v>23</v>
      </c>
      <c r="J9">
        <v>166</v>
      </c>
      <c r="K9">
        <v>3</v>
      </c>
    </row>
    <row r="10" spans="1:11" x14ac:dyDescent="0.25">
      <c r="A10">
        <v>8</v>
      </c>
      <c r="B10">
        <v>8</v>
      </c>
      <c r="C10">
        <v>75</v>
      </c>
      <c r="D10">
        <v>19</v>
      </c>
      <c r="E10">
        <v>6</v>
      </c>
      <c r="F10">
        <v>71</v>
      </c>
      <c r="G10">
        <v>29</v>
      </c>
      <c r="H10">
        <v>2</v>
      </c>
      <c r="I10">
        <v>25</v>
      </c>
      <c r="J10">
        <v>144</v>
      </c>
      <c r="K10">
        <v>2</v>
      </c>
    </row>
    <row r="11" spans="1:11" x14ac:dyDescent="0.25">
      <c r="A11">
        <v>9</v>
      </c>
      <c r="B11">
        <v>9</v>
      </c>
      <c r="C11">
        <v>73</v>
      </c>
      <c r="D11">
        <v>18</v>
      </c>
      <c r="E11">
        <v>9</v>
      </c>
      <c r="F11">
        <v>68</v>
      </c>
      <c r="G11">
        <v>32</v>
      </c>
      <c r="H11">
        <v>2</v>
      </c>
      <c r="I11">
        <v>27</v>
      </c>
      <c r="J11">
        <v>160</v>
      </c>
      <c r="K11">
        <v>4</v>
      </c>
    </row>
    <row r="12" spans="1:11" x14ac:dyDescent="0.25">
      <c r="A12">
        <v>10</v>
      </c>
      <c r="B12">
        <v>10</v>
      </c>
      <c r="C12">
        <v>70</v>
      </c>
      <c r="D12">
        <v>18</v>
      </c>
      <c r="E12">
        <v>12</v>
      </c>
      <c r="F12">
        <v>65</v>
      </c>
      <c r="G12">
        <v>35</v>
      </c>
      <c r="H12">
        <v>3</v>
      </c>
      <c r="I12">
        <v>30</v>
      </c>
      <c r="J12">
        <v>172</v>
      </c>
      <c r="K12">
        <v>5</v>
      </c>
    </row>
    <row r="13" spans="1:11" x14ac:dyDescent="0.25">
      <c r="A13">
        <v>11</v>
      </c>
      <c r="B13">
        <v>11</v>
      </c>
      <c r="C13">
        <v>68</v>
      </c>
      <c r="D13">
        <v>18</v>
      </c>
      <c r="E13">
        <v>14</v>
      </c>
      <c r="F13">
        <v>59</v>
      </c>
      <c r="G13">
        <v>41</v>
      </c>
      <c r="H13">
        <v>2</v>
      </c>
      <c r="I13">
        <v>32</v>
      </c>
      <c r="J13">
        <v>204</v>
      </c>
      <c r="K13">
        <v>2</v>
      </c>
    </row>
    <row r="14" spans="1:11" x14ac:dyDescent="0.25">
      <c r="A14">
        <v>12</v>
      </c>
      <c r="B14">
        <v>12</v>
      </c>
      <c r="C14">
        <v>66</v>
      </c>
      <c r="D14">
        <v>16</v>
      </c>
      <c r="E14">
        <v>18</v>
      </c>
      <c r="F14">
        <v>70</v>
      </c>
      <c r="G14">
        <v>30</v>
      </c>
      <c r="H14">
        <v>2</v>
      </c>
      <c r="I14">
        <v>34</v>
      </c>
      <c r="J14">
        <v>148</v>
      </c>
      <c r="K14">
        <v>2</v>
      </c>
    </row>
    <row r="15" spans="1:11" x14ac:dyDescent="0.25">
      <c r="A15">
        <v>13</v>
      </c>
      <c r="B15">
        <v>13</v>
      </c>
      <c r="C15">
        <v>64</v>
      </c>
      <c r="D15">
        <v>13</v>
      </c>
      <c r="E15">
        <v>23</v>
      </c>
      <c r="F15">
        <v>65</v>
      </c>
      <c r="G15">
        <v>35</v>
      </c>
      <c r="H15">
        <v>2</v>
      </c>
      <c r="I15">
        <v>36</v>
      </c>
      <c r="J15">
        <v>172</v>
      </c>
      <c r="K15">
        <v>3</v>
      </c>
    </row>
    <row r="16" spans="1:11" x14ac:dyDescent="0.25">
      <c r="A16">
        <v>14</v>
      </c>
      <c r="B16">
        <v>14</v>
      </c>
      <c r="C16">
        <v>63</v>
      </c>
      <c r="D16">
        <v>12</v>
      </c>
      <c r="E16">
        <v>25</v>
      </c>
      <c r="F16">
        <v>64</v>
      </c>
      <c r="G16">
        <v>36</v>
      </c>
      <c r="H16">
        <v>1</v>
      </c>
      <c r="I16">
        <v>37</v>
      </c>
      <c r="J16">
        <v>178</v>
      </c>
      <c r="K16">
        <v>2</v>
      </c>
    </row>
    <row r="17" spans="1:11" x14ac:dyDescent="0.25">
      <c r="A17">
        <v>15</v>
      </c>
      <c r="B17">
        <v>15</v>
      </c>
      <c r="C17">
        <v>62</v>
      </c>
      <c r="D17">
        <v>11</v>
      </c>
      <c r="E17">
        <v>27</v>
      </c>
      <c r="F17">
        <v>66</v>
      </c>
      <c r="G17">
        <v>34</v>
      </c>
      <c r="H17">
        <v>1</v>
      </c>
      <c r="I17">
        <v>38</v>
      </c>
      <c r="J17">
        <v>170</v>
      </c>
      <c r="K17">
        <v>2</v>
      </c>
    </row>
    <row r="18" spans="1:11" x14ac:dyDescent="0.25">
      <c r="A18">
        <v>16</v>
      </c>
      <c r="B18">
        <v>16</v>
      </c>
      <c r="C18">
        <v>62</v>
      </c>
      <c r="D18">
        <v>8</v>
      </c>
      <c r="E18">
        <v>30</v>
      </c>
      <c r="F18">
        <v>66</v>
      </c>
      <c r="G18">
        <v>34</v>
      </c>
      <c r="H18">
        <v>0</v>
      </c>
      <c r="I18">
        <v>38</v>
      </c>
      <c r="J18">
        <v>170</v>
      </c>
      <c r="K18">
        <v>2</v>
      </c>
    </row>
    <row r="19" spans="1:11" x14ac:dyDescent="0.25">
      <c r="A19">
        <v>17</v>
      </c>
      <c r="B19">
        <v>17</v>
      </c>
      <c r="C19">
        <v>61</v>
      </c>
      <c r="D19">
        <v>7</v>
      </c>
      <c r="E19">
        <v>32</v>
      </c>
      <c r="F19">
        <v>69</v>
      </c>
      <c r="G19">
        <v>31</v>
      </c>
      <c r="H19">
        <v>1</v>
      </c>
      <c r="I19">
        <v>39</v>
      </c>
      <c r="J19">
        <v>154</v>
      </c>
      <c r="K19">
        <v>1</v>
      </c>
    </row>
    <row r="20" spans="1:11" x14ac:dyDescent="0.25">
      <c r="A20">
        <v>18</v>
      </c>
      <c r="B20">
        <v>18</v>
      </c>
      <c r="C20">
        <v>60</v>
      </c>
      <c r="D20">
        <v>6</v>
      </c>
      <c r="E20">
        <v>34</v>
      </c>
      <c r="F20">
        <v>48</v>
      </c>
      <c r="G20">
        <v>52</v>
      </c>
      <c r="H20">
        <v>1</v>
      </c>
      <c r="I20">
        <v>40</v>
      </c>
      <c r="J20">
        <v>256</v>
      </c>
      <c r="K20">
        <v>1</v>
      </c>
    </row>
    <row r="21" spans="1:11" x14ac:dyDescent="0.25">
      <c r="A21">
        <v>19</v>
      </c>
      <c r="B21">
        <v>19</v>
      </c>
      <c r="C21">
        <v>60</v>
      </c>
      <c r="D21">
        <v>4</v>
      </c>
      <c r="E21">
        <v>36</v>
      </c>
      <c r="F21">
        <v>45</v>
      </c>
      <c r="G21">
        <v>55</v>
      </c>
      <c r="H21">
        <v>0</v>
      </c>
      <c r="I21">
        <v>40</v>
      </c>
      <c r="J21">
        <v>274</v>
      </c>
      <c r="K21">
        <v>0</v>
      </c>
    </row>
    <row r="22" spans="1:11" x14ac:dyDescent="0.25">
      <c r="A22">
        <v>20</v>
      </c>
      <c r="B22">
        <v>20</v>
      </c>
      <c r="C22">
        <v>58</v>
      </c>
      <c r="D22">
        <v>5</v>
      </c>
      <c r="E22">
        <v>37</v>
      </c>
      <c r="F22">
        <v>1</v>
      </c>
      <c r="G22">
        <v>99</v>
      </c>
      <c r="H22">
        <v>2</v>
      </c>
      <c r="I22">
        <v>42</v>
      </c>
      <c r="J22">
        <v>494</v>
      </c>
      <c r="K22">
        <v>1</v>
      </c>
    </row>
    <row r="23" spans="1:11" x14ac:dyDescent="0.25">
      <c r="A23">
        <v>21</v>
      </c>
      <c r="B23">
        <v>21</v>
      </c>
      <c r="C23">
        <v>58</v>
      </c>
      <c r="D23">
        <v>4</v>
      </c>
      <c r="E23">
        <v>38</v>
      </c>
      <c r="F23">
        <v>41</v>
      </c>
      <c r="G23">
        <v>59</v>
      </c>
      <c r="H23">
        <v>0</v>
      </c>
      <c r="I23">
        <v>42</v>
      </c>
      <c r="J23">
        <v>292</v>
      </c>
      <c r="K23">
        <v>1</v>
      </c>
    </row>
    <row r="24" spans="1:11" x14ac:dyDescent="0.25">
      <c r="A24">
        <v>22</v>
      </c>
      <c r="B24">
        <v>22</v>
      </c>
      <c r="C24">
        <v>58</v>
      </c>
      <c r="D24">
        <v>4</v>
      </c>
      <c r="E24">
        <v>38</v>
      </c>
      <c r="F24">
        <v>38</v>
      </c>
      <c r="G24">
        <v>62</v>
      </c>
      <c r="H24">
        <v>0</v>
      </c>
      <c r="I24">
        <v>42</v>
      </c>
      <c r="J24">
        <v>306</v>
      </c>
      <c r="K24">
        <v>0</v>
      </c>
    </row>
    <row r="25" spans="1:11" x14ac:dyDescent="0.25">
      <c r="A25">
        <v>23</v>
      </c>
      <c r="B25">
        <v>23</v>
      </c>
      <c r="C25">
        <v>57</v>
      </c>
      <c r="D25">
        <v>4</v>
      </c>
      <c r="E25">
        <v>39</v>
      </c>
      <c r="F25">
        <v>1</v>
      </c>
      <c r="G25">
        <v>99</v>
      </c>
      <c r="H25">
        <v>1</v>
      </c>
      <c r="I25">
        <v>43</v>
      </c>
      <c r="J25">
        <v>494</v>
      </c>
      <c r="K25">
        <v>2</v>
      </c>
    </row>
    <row r="26" spans="1:11" x14ac:dyDescent="0.25">
      <c r="A26">
        <v>24</v>
      </c>
      <c r="B26">
        <v>24</v>
      </c>
      <c r="C26">
        <v>56</v>
      </c>
      <c r="D26">
        <v>4</v>
      </c>
      <c r="E26">
        <v>40</v>
      </c>
      <c r="F26">
        <v>60</v>
      </c>
      <c r="G26">
        <v>40</v>
      </c>
      <c r="H26">
        <v>1</v>
      </c>
      <c r="I26">
        <v>44</v>
      </c>
      <c r="J26">
        <v>198</v>
      </c>
      <c r="K26">
        <v>0</v>
      </c>
    </row>
    <row r="27" spans="1:11" x14ac:dyDescent="0.25">
      <c r="A27">
        <v>25</v>
      </c>
      <c r="B27">
        <v>25</v>
      </c>
      <c r="C27">
        <v>52</v>
      </c>
      <c r="D27">
        <v>8</v>
      </c>
      <c r="E27">
        <v>40</v>
      </c>
      <c r="F27">
        <v>1</v>
      </c>
      <c r="G27">
        <v>99</v>
      </c>
      <c r="H27">
        <v>4</v>
      </c>
      <c r="I27">
        <v>48</v>
      </c>
      <c r="J27">
        <v>494</v>
      </c>
      <c r="K27">
        <v>0</v>
      </c>
    </row>
    <row r="28" spans="1:11" x14ac:dyDescent="0.25">
      <c r="A28">
        <v>26</v>
      </c>
      <c r="B28">
        <v>26</v>
      </c>
      <c r="C28">
        <v>49</v>
      </c>
      <c r="D28">
        <v>9</v>
      </c>
      <c r="E28">
        <v>42</v>
      </c>
      <c r="F28">
        <v>0</v>
      </c>
      <c r="G28">
        <v>100</v>
      </c>
      <c r="H28">
        <v>3</v>
      </c>
      <c r="I28">
        <v>51</v>
      </c>
      <c r="J28">
        <v>500</v>
      </c>
      <c r="K28">
        <v>1</v>
      </c>
    </row>
    <row r="29" spans="1:11" x14ac:dyDescent="0.25">
      <c r="A29">
        <v>27</v>
      </c>
      <c r="B29">
        <v>27</v>
      </c>
      <c r="C29">
        <v>49</v>
      </c>
      <c r="D29">
        <v>9</v>
      </c>
      <c r="E29">
        <v>42</v>
      </c>
      <c r="F29">
        <v>44</v>
      </c>
      <c r="G29">
        <v>56</v>
      </c>
      <c r="H29">
        <v>0</v>
      </c>
      <c r="I29">
        <v>51</v>
      </c>
      <c r="J29">
        <v>278</v>
      </c>
      <c r="K29">
        <v>1</v>
      </c>
    </row>
    <row r="30" spans="1:11" x14ac:dyDescent="0.25">
      <c r="A30">
        <v>28</v>
      </c>
      <c r="B30">
        <v>28</v>
      </c>
      <c r="C30">
        <v>49</v>
      </c>
      <c r="D30">
        <v>9</v>
      </c>
      <c r="E30">
        <v>42</v>
      </c>
      <c r="F30">
        <v>45</v>
      </c>
      <c r="G30">
        <v>55</v>
      </c>
      <c r="H30">
        <v>0</v>
      </c>
      <c r="I30">
        <v>51</v>
      </c>
      <c r="J30">
        <v>274</v>
      </c>
      <c r="K30">
        <v>4</v>
      </c>
    </row>
    <row r="31" spans="1:11" x14ac:dyDescent="0.25">
      <c r="A31">
        <v>29</v>
      </c>
      <c r="B31">
        <v>29</v>
      </c>
      <c r="C31">
        <v>49</v>
      </c>
      <c r="D31">
        <v>8</v>
      </c>
      <c r="E31">
        <v>43</v>
      </c>
      <c r="F31">
        <v>54</v>
      </c>
      <c r="G31">
        <v>46</v>
      </c>
      <c r="H31">
        <v>0</v>
      </c>
      <c r="I31">
        <v>51</v>
      </c>
      <c r="J31">
        <v>230</v>
      </c>
      <c r="K31">
        <v>3</v>
      </c>
    </row>
    <row r="32" spans="1:11" x14ac:dyDescent="0.25">
      <c r="A32">
        <v>30</v>
      </c>
      <c r="B32">
        <v>30</v>
      </c>
      <c r="C32">
        <v>49</v>
      </c>
      <c r="D32">
        <v>7</v>
      </c>
      <c r="E32">
        <v>44</v>
      </c>
      <c r="F32">
        <v>60</v>
      </c>
      <c r="G32">
        <v>40</v>
      </c>
      <c r="H32">
        <v>0</v>
      </c>
      <c r="I32">
        <v>51</v>
      </c>
      <c r="J32">
        <v>200</v>
      </c>
      <c r="K32">
        <v>0</v>
      </c>
    </row>
    <row r="33" spans="1:11" x14ac:dyDescent="0.25">
      <c r="A33">
        <v>31</v>
      </c>
      <c r="B33">
        <v>31</v>
      </c>
      <c r="C33">
        <v>49</v>
      </c>
      <c r="D33">
        <v>3</v>
      </c>
      <c r="E33">
        <v>48</v>
      </c>
      <c r="F33">
        <v>3</v>
      </c>
      <c r="G33">
        <v>97</v>
      </c>
      <c r="H33">
        <v>0</v>
      </c>
      <c r="I33">
        <v>51</v>
      </c>
      <c r="J33">
        <v>484</v>
      </c>
      <c r="K33">
        <v>0</v>
      </c>
    </row>
    <row r="34" spans="1:11" x14ac:dyDescent="0.25">
      <c r="A34">
        <v>32</v>
      </c>
      <c r="B34">
        <v>32</v>
      </c>
      <c r="C34">
        <v>49</v>
      </c>
      <c r="D34">
        <v>0</v>
      </c>
      <c r="E34">
        <v>51</v>
      </c>
      <c r="F34">
        <v>3</v>
      </c>
      <c r="G34">
        <v>97</v>
      </c>
      <c r="H34">
        <v>0</v>
      </c>
      <c r="I34">
        <v>51</v>
      </c>
      <c r="J34">
        <v>484</v>
      </c>
      <c r="K34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8C6F-9F96-48AD-8720-746A6EACFB64}">
  <dimension ref="A1:K46"/>
  <sheetViews>
    <sheetView workbookViewId="0">
      <selection sqref="A1:XFD1048576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95</v>
      </c>
      <c r="D3">
        <v>5</v>
      </c>
      <c r="E3">
        <v>0</v>
      </c>
      <c r="F3">
        <v>0</v>
      </c>
      <c r="G3">
        <v>100</v>
      </c>
      <c r="H3">
        <v>3</v>
      </c>
      <c r="I3">
        <v>5</v>
      </c>
      <c r="J3">
        <v>500</v>
      </c>
      <c r="K3">
        <v>0</v>
      </c>
    </row>
    <row r="4" spans="1:11" x14ac:dyDescent="0.25">
      <c r="A4">
        <v>2</v>
      </c>
      <c r="B4">
        <v>2</v>
      </c>
      <c r="C4">
        <v>91</v>
      </c>
      <c r="D4">
        <v>9</v>
      </c>
      <c r="E4">
        <v>0</v>
      </c>
      <c r="F4">
        <v>0</v>
      </c>
      <c r="G4">
        <v>100</v>
      </c>
      <c r="H4">
        <v>4</v>
      </c>
      <c r="I4">
        <v>9</v>
      </c>
      <c r="J4">
        <v>500</v>
      </c>
      <c r="K4">
        <v>0</v>
      </c>
    </row>
    <row r="5" spans="1:11" x14ac:dyDescent="0.25">
      <c r="A5">
        <v>3</v>
      </c>
      <c r="B5">
        <v>3</v>
      </c>
      <c r="C5">
        <v>85</v>
      </c>
      <c r="D5">
        <v>15</v>
      </c>
      <c r="E5">
        <v>0</v>
      </c>
      <c r="F5">
        <v>1</v>
      </c>
      <c r="G5">
        <v>99</v>
      </c>
      <c r="H5">
        <v>6</v>
      </c>
      <c r="I5">
        <v>15</v>
      </c>
      <c r="J5">
        <v>494</v>
      </c>
      <c r="K5">
        <v>2</v>
      </c>
    </row>
    <row r="6" spans="1:11" x14ac:dyDescent="0.25">
      <c r="A6">
        <v>4</v>
      </c>
      <c r="B6">
        <v>4</v>
      </c>
      <c r="C6">
        <v>82</v>
      </c>
      <c r="D6">
        <v>18</v>
      </c>
      <c r="E6">
        <v>0</v>
      </c>
      <c r="F6">
        <v>63</v>
      </c>
      <c r="G6">
        <v>37</v>
      </c>
      <c r="H6">
        <v>3</v>
      </c>
      <c r="I6">
        <v>18</v>
      </c>
      <c r="J6">
        <v>184</v>
      </c>
      <c r="K6">
        <v>3</v>
      </c>
    </row>
    <row r="7" spans="1:11" x14ac:dyDescent="0.25">
      <c r="A7">
        <v>5</v>
      </c>
      <c r="B7">
        <v>5</v>
      </c>
      <c r="C7">
        <v>76</v>
      </c>
      <c r="D7">
        <v>24</v>
      </c>
      <c r="E7">
        <v>0</v>
      </c>
      <c r="F7">
        <v>58</v>
      </c>
      <c r="G7">
        <v>42</v>
      </c>
      <c r="H7">
        <v>6</v>
      </c>
      <c r="I7">
        <v>24</v>
      </c>
      <c r="J7">
        <v>210</v>
      </c>
      <c r="K7">
        <v>4</v>
      </c>
    </row>
    <row r="8" spans="1:11" x14ac:dyDescent="0.25">
      <c r="A8">
        <v>6</v>
      </c>
      <c r="B8">
        <v>6</v>
      </c>
      <c r="C8">
        <v>69</v>
      </c>
      <c r="D8">
        <v>29</v>
      </c>
      <c r="E8">
        <v>2</v>
      </c>
      <c r="F8">
        <v>66</v>
      </c>
      <c r="G8">
        <v>34</v>
      </c>
      <c r="H8">
        <v>7</v>
      </c>
      <c r="I8">
        <v>31</v>
      </c>
      <c r="J8">
        <v>170</v>
      </c>
      <c r="K8">
        <v>6</v>
      </c>
    </row>
    <row r="9" spans="1:11" x14ac:dyDescent="0.25">
      <c r="A9">
        <v>7</v>
      </c>
      <c r="B9">
        <v>7</v>
      </c>
      <c r="C9">
        <v>65</v>
      </c>
      <c r="D9">
        <v>30</v>
      </c>
      <c r="E9">
        <v>5</v>
      </c>
      <c r="F9">
        <v>70</v>
      </c>
      <c r="G9">
        <v>30</v>
      </c>
      <c r="H9">
        <v>4</v>
      </c>
      <c r="I9">
        <v>35</v>
      </c>
      <c r="J9">
        <v>150</v>
      </c>
      <c r="K9">
        <v>3</v>
      </c>
    </row>
    <row r="10" spans="1:11" x14ac:dyDescent="0.25">
      <c r="A10">
        <v>8</v>
      </c>
      <c r="B10">
        <v>8</v>
      </c>
      <c r="C10">
        <v>58</v>
      </c>
      <c r="D10">
        <v>33</v>
      </c>
      <c r="E10">
        <v>9</v>
      </c>
      <c r="F10">
        <v>68</v>
      </c>
      <c r="G10">
        <v>32</v>
      </c>
      <c r="H10">
        <v>7</v>
      </c>
      <c r="I10">
        <v>42</v>
      </c>
      <c r="J10">
        <v>158</v>
      </c>
      <c r="K10">
        <v>6</v>
      </c>
    </row>
    <row r="11" spans="1:11" x14ac:dyDescent="0.25">
      <c r="A11">
        <v>9</v>
      </c>
      <c r="B11">
        <v>9</v>
      </c>
      <c r="C11">
        <v>55</v>
      </c>
      <c r="D11">
        <v>30</v>
      </c>
      <c r="E11">
        <v>15</v>
      </c>
      <c r="F11">
        <v>79</v>
      </c>
      <c r="G11">
        <v>21</v>
      </c>
      <c r="H11">
        <v>3</v>
      </c>
      <c r="I11">
        <v>45</v>
      </c>
      <c r="J11">
        <v>102</v>
      </c>
      <c r="K11">
        <v>7</v>
      </c>
    </row>
    <row r="12" spans="1:11" x14ac:dyDescent="0.25">
      <c r="A12">
        <v>10</v>
      </c>
      <c r="B12">
        <v>10</v>
      </c>
      <c r="C12">
        <v>52</v>
      </c>
      <c r="D12">
        <v>30</v>
      </c>
      <c r="E12">
        <v>18</v>
      </c>
      <c r="F12">
        <v>77</v>
      </c>
      <c r="G12">
        <v>23</v>
      </c>
      <c r="H12">
        <v>3</v>
      </c>
      <c r="I12">
        <v>48</v>
      </c>
      <c r="J12">
        <v>112</v>
      </c>
      <c r="K12">
        <v>4</v>
      </c>
    </row>
    <row r="13" spans="1:11" x14ac:dyDescent="0.25">
      <c r="A13">
        <v>11</v>
      </c>
      <c r="B13">
        <v>11</v>
      </c>
      <c r="C13">
        <v>50</v>
      </c>
      <c r="D13">
        <v>26</v>
      </c>
      <c r="E13">
        <v>24</v>
      </c>
      <c r="F13">
        <v>75</v>
      </c>
      <c r="G13">
        <v>25</v>
      </c>
      <c r="H13">
        <v>2</v>
      </c>
      <c r="I13">
        <v>50</v>
      </c>
      <c r="J13">
        <v>124</v>
      </c>
      <c r="K13">
        <v>7</v>
      </c>
    </row>
    <row r="14" spans="1:11" x14ac:dyDescent="0.25">
      <c r="A14">
        <v>12</v>
      </c>
      <c r="B14">
        <v>12</v>
      </c>
      <c r="C14">
        <v>49</v>
      </c>
      <c r="D14">
        <v>20</v>
      </c>
      <c r="E14">
        <v>31</v>
      </c>
      <c r="F14">
        <v>77</v>
      </c>
      <c r="G14">
        <v>23</v>
      </c>
      <c r="H14">
        <v>1</v>
      </c>
      <c r="I14">
        <v>51</v>
      </c>
      <c r="J14">
        <v>114</v>
      </c>
      <c r="K14">
        <v>3</v>
      </c>
    </row>
    <row r="15" spans="1:11" x14ac:dyDescent="0.25">
      <c r="A15">
        <v>13</v>
      </c>
      <c r="B15">
        <v>13</v>
      </c>
      <c r="C15">
        <v>44</v>
      </c>
      <c r="D15">
        <v>21</v>
      </c>
      <c r="E15">
        <v>35</v>
      </c>
      <c r="F15">
        <v>66</v>
      </c>
      <c r="G15">
        <v>34</v>
      </c>
      <c r="H15">
        <v>5</v>
      </c>
      <c r="I15">
        <v>56</v>
      </c>
      <c r="J15">
        <v>168</v>
      </c>
      <c r="K15">
        <v>3</v>
      </c>
    </row>
    <row r="16" spans="1:11" x14ac:dyDescent="0.25">
      <c r="A16">
        <v>14</v>
      </c>
      <c r="B16">
        <v>14</v>
      </c>
      <c r="C16">
        <v>40</v>
      </c>
      <c r="D16">
        <v>18</v>
      </c>
      <c r="E16">
        <v>42</v>
      </c>
      <c r="F16">
        <v>65</v>
      </c>
      <c r="G16">
        <v>35</v>
      </c>
      <c r="H16">
        <v>4</v>
      </c>
      <c r="I16">
        <v>60</v>
      </c>
      <c r="J16">
        <v>174</v>
      </c>
      <c r="K16">
        <v>2</v>
      </c>
    </row>
    <row r="17" spans="1:11" x14ac:dyDescent="0.25">
      <c r="A17">
        <v>15</v>
      </c>
      <c r="B17">
        <v>15</v>
      </c>
      <c r="C17">
        <v>40</v>
      </c>
      <c r="D17">
        <v>15</v>
      </c>
      <c r="E17">
        <v>45</v>
      </c>
      <c r="F17">
        <v>68</v>
      </c>
      <c r="G17">
        <v>32</v>
      </c>
      <c r="H17">
        <v>0</v>
      </c>
      <c r="I17">
        <v>60</v>
      </c>
      <c r="J17">
        <v>160</v>
      </c>
      <c r="K17">
        <v>1</v>
      </c>
    </row>
    <row r="18" spans="1:11" x14ac:dyDescent="0.25">
      <c r="A18">
        <v>16</v>
      </c>
      <c r="B18">
        <v>16</v>
      </c>
      <c r="C18">
        <v>39</v>
      </c>
      <c r="D18">
        <v>13</v>
      </c>
      <c r="E18">
        <v>48</v>
      </c>
      <c r="F18">
        <v>55</v>
      </c>
      <c r="G18">
        <v>45</v>
      </c>
      <c r="H18">
        <v>1</v>
      </c>
      <c r="I18">
        <v>61</v>
      </c>
      <c r="J18">
        <v>224</v>
      </c>
      <c r="K18">
        <v>5</v>
      </c>
    </row>
    <row r="19" spans="1:11" x14ac:dyDescent="0.25">
      <c r="A19">
        <v>17</v>
      </c>
      <c r="B19">
        <v>17</v>
      </c>
      <c r="C19">
        <v>39</v>
      </c>
      <c r="D19">
        <v>11</v>
      </c>
      <c r="E19">
        <v>50</v>
      </c>
      <c r="F19">
        <v>66</v>
      </c>
      <c r="G19">
        <v>34</v>
      </c>
      <c r="H19">
        <v>0</v>
      </c>
      <c r="I19">
        <v>61</v>
      </c>
      <c r="J19">
        <v>168</v>
      </c>
      <c r="K19">
        <v>4</v>
      </c>
    </row>
    <row r="20" spans="1:11" x14ac:dyDescent="0.25">
      <c r="A20">
        <v>18</v>
      </c>
      <c r="B20">
        <v>18</v>
      </c>
      <c r="C20">
        <v>39</v>
      </c>
      <c r="D20">
        <v>10</v>
      </c>
      <c r="E20">
        <v>51</v>
      </c>
      <c r="F20">
        <v>59</v>
      </c>
      <c r="G20">
        <v>41</v>
      </c>
      <c r="H20">
        <v>0</v>
      </c>
      <c r="I20">
        <v>61</v>
      </c>
      <c r="J20">
        <v>204</v>
      </c>
      <c r="K20">
        <v>0</v>
      </c>
    </row>
    <row r="21" spans="1:11" x14ac:dyDescent="0.25">
      <c r="A21">
        <v>19</v>
      </c>
      <c r="B21">
        <v>19</v>
      </c>
      <c r="C21">
        <v>37</v>
      </c>
      <c r="D21">
        <v>7</v>
      </c>
      <c r="E21">
        <v>56</v>
      </c>
      <c r="F21">
        <v>6</v>
      </c>
      <c r="G21">
        <v>94</v>
      </c>
      <c r="H21">
        <v>2</v>
      </c>
      <c r="I21">
        <v>63</v>
      </c>
      <c r="J21">
        <v>470</v>
      </c>
      <c r="K21">
        <v>1</v>
      </c>
    </row>
    <row r="22" spans="1:11" x14ac:dyDescent="0.25">
      <c r="A22">
        <v>20</v>
      </c>
      <c r="B22">
        <v>20</v>
      </c>
      <c r="C22">
        <v>37</v>
      </c>
      <c r="D22">
        <v>3</v>
      </c>
      <c r="E22">
        <v>60</v>
      </c>
      <c r="F22">
        <v>47</v>
      </c>
      <c r="G22">
        <v>53</v>
      </c>
      <c r="H22">
        <v>0</v>
      </c>
      <c r="I22">
        <v>63</v>
      </c>
      <c r="J22">
        <v>264</v>
      </c>
      <c r="K22">
        <v>0</v>
      </c>
    </row>
    <row r="23" spans="1:11" x14ac:dyDescent="0.25">
      <c r="A23">
        <v>21</v>
      </c>
      <c r="B23">
        <v>21</v>
      </c>
      <c r="C23">
        <v>36</v>
      </c>
      <c r="D23">
        <v>4</v>
      </c>
      <c r="E23">
        <v>60</v>
      </c>
      <c r="F23">
        <v>1</v>
      </c>
      <c r="G23">
        <v>99</v>
      </c>
      <c r="H23">
        <v>1</v>
      </c>
      <c r="I23">
        <v>64</v>
      </c>
      <c r="J23">
        <v>494</v>
      </c>
      <c r="K23">
        <v>0</v>
      </c>
    </row>
    <row r="24" spans="1:11" x14ac:dyDescent="0.25">
      <c r="A24">
        <v>22</v>
      </c>
      <c r="B24">
        <v>22</v>
      </c>
      <c r="C24">
        <v>34</v>
      </c>
      <c r="D24">
        <v>5</v>
      </c>
      <c r="E24">
        <v>61</v>
      </c>
      <c r="F24">
        <v>2</v>
      </c>
      <c r="G24">
        <v>98</v>
      </c>
      <c r="H24">
        <v>2</v>
      </c>
      <c r="I24">
        <v>66</v>
      </c>
      <c r="J24">
        <v>488</v>
      </c>
      <c r="K24">
        <v>2</v>
      </c>
    </row>
    <row r="25" spans="1:11" x14ac:dyDescent="0.25">
      <c r="A25">
        <v>23</v>
      </c>
      <c r="B25">
        <v>23</v>
      </c>
      <c r="C25">
        <v>34</v>
      </c>
      <c r="D25">
        <v>5</v>
      </c>
      <c r="E25">
        <v>61</v>
      </c>
      <c r="F25">
        <v>65</v>
      </c>
      <c r="G25">
        <v>35</v>
      </c>
      <c r="H25">
        <v>0</v>
      </c>
      <c r="I25">
        <v>66</v>
      </c>
      <c r="J25">
        <v>172</v>
      </c>
      <c r="K25">
        <v>0</v>
      </c>
    </row>
    <row r="26" spans="1:11" x14ac:dyDescent="0.25">
      <c r="A26">
        <v>24</v>
      </c>
      <c r="B26">
        <v>24</v>
      </c>
      <c r="C26">
        <v>33</v>
      </c>
      <c r="D26">
        <v>6</v>
      </c>
      <c r="E26">
        <v>61</v>
      </c>
      <c r="F26">
        <v>2</v>
      </c>
      <c r="G26">
        <v>98</v>
      </c>
      <c r="H26">
        <v>1</v>
      </c>
      <c r="I26">
        <v>67</v>
      </c>
      <c r="J26">
        <v>490</v>
      </c>
      <c r="K26">
        <v>1</v>
      </c>
    </row>
    <row r="27" spans="1:11" x14ac:dyDescent="0.25">
      <c r="A27">
        <v>25</v>
      </c>
      <c r="B27">
        <v>25</v>
      </c>
      <c r="C27">
        <v>33</v>
      </c>
      <c r="D27">
        <v>4</v>
      </c>
      <c r="E27">
        <v>63</v>
      </c>
      <c r="F27">
        <v>47</v>
      </c>
      <c r="G27">
        <v>53</v>
      </c>
      <c r="H27">
        <v>0</v>
      </c>
      <c r="I27">
        <v>67</v>
      </c>
      <c r="J27">
        <v>264</v>
      </c>
      <c r="K27">
        <v>2</v>
      </c>
    </row>
    <row r="28" spans="1:11" x14ac:dyDescent="0.25">
      <c r="A28">
        <v>26</v>
      </c>
      <c r="B28">
        <v>26</v>
      </c>
      <c r="C28">
        <v>33</v>
      </c>
      <c r="D28">
        <v>4</v>
      </c>
      <c r="E28">
        <v>63</v>
      </c>
      <c r="F28">
        <v>62</v>
      </c>
      <c r="G28">
        <v>38</v>
      </c>
      <c r="H28">
        <v>0</v>
      </c>
      <c r="I28">
        <v>67</v>
      </c>
      <c r="J28">
        <v>188</v>
      </c>
      <c r="K28">
        <v>0</v>
      </c>
    </row>
    <row r="29" spans="1:11" x14ac:dyDescent="0.25">
      <c r="A29">
        <v>27</v>
      </c>
      <c r="B29">
        <v>27</v>
      </c>
      <c r="C29">
        <v>32</v>
      </c>
      <c r="D29">
        <v>4</v>
      </c>
      <c r="E29">
        <v>64</v>
      </c>
      <c r="F29">
        <v>1</v>
      </c>
      <c r="G29">
        <v>99</v>
      </c>
      <c r="H29">
        <v>1</v>
      </c>
      <c r="I29">
        <v>68</v>
      </c>
      <c r="J29">
        <v>494</v>
      </c>
      <c r="K29">
        <v>1</v>
      </c>
    </row>
    <row r="30" spans="1:11" x14ac:dyDescent="0.25">
      <c r="A30">
        <v>28</v>
      </c>
      <c r="B30">
        <v>28</v>
      </c>
      <c r="C30">
        <v>32</v>
      </c>
      <c r="D30">
        <v>2</v>
      </c>
      <c r="E30">
        <v>66</v>
      </c>
      <c r="F30">
        <v>47</v>
      </c>
      <c r="G30">
        <v>53</v>
      </c>
      <c r="H30">
        <v>0</v>
      </c>
      <c r="I30">
        <v>68</v>
      </c>
      <c r="J30">
        <v>260</v>
      </c>
      <c r="K30">
        <v>0</v>
      </c>
    </row>
    <row r="31" spans="1:11" x14ac:dyDescent="0.25">
      <c r="A31">
        <v>29</v>
      </c>
      <c r="B31">
        <v>29</v>
      </c>
      <c r="C31">
        <v>32</v>
      </c>
      <c r="D31">
        <v>2</v>
      </c>
      <c r="E31">
        <v>66</v>
      </c>
      <c r="F31">
        <v>1</v>
      </c>
      <c r="G31">
        <v>99</v>
      </c>
      <c r="H31">
        <v>0</v>
      </c>
      <c r="I31">
        <v>68</v>
      </c>
      <c r="J31">
        <v>494</v>
      </c>
      <c r="K31">
        <v>0</v>
      </c>
    </row>
    <row r="32" spans="1:11" x14ac:dyDescent="0.25">
      <c r="A32">
        <v>30</v>
      </c>
      <c r="B32">
        <v>30</v>
      </c>
      <c r="C32">
        <v>31</v>
      </c>
      <c r="D32">
        <v>2</v>
      </c>
      <c r="E32">
        <v>67</v>
      </c>
      <c r="F32">
        <v>0</v>
      </c>
      <c r="G32">
        <v>100</v>
      </c>
      <c r="H32">
        <v>1</v>
      </c>
      <c r="I32">
        <v>69</v>
      </c>
      <c r="J32">
        <v>498</v>
      </c>
      <c r="K32">
        <v>1</v>
      </c>
    </row>
    <row r="33" spans="1:11" x14ac:dyDescent="0.25">
      <c r="A33">
        <v>31</v>
      </c>
      <c r="B33">
        <v>31</v>
      </c>
      <c r="C33">
        <v>31</v>
      </c>
      <c r="D33">
        <v>2</v>
      </c>
      <c r="E33">
        <v>67</v>
      </c>
      <c r="F33">
        <v>48</v>
      </c>
      <c r="G33">
        <v>52</v>
      </c>
      <c r="H33">
        <v>0</v>
      </c>
      <c r="I33">
        <v>69</v>
      </c>
      <c r="J33">
        <v>258</v>
      </c>
      <c r="K33">
        <v>0</v>
      </c>
    </row>
    <row r="34" spans="1:11" x14ac:dyDescent="0.25">
      <c r="A34">
        <v>32</v>
      </c>
      <c r="B34">
        <v>32</v>
      </c>
      <c r="C34">
        <v>30</v>
      </c>
      <c r="D34">
        <v>3</v>
      </c>
      <c r="E34">
        <v>67</v>
      </c>
      <c r="F34">
        <v>1</v>
      </c>
      <c r="G34">
        <v>99</v>
      </c>
      <c r="H34">
        <v>1</v>
      </c>
      <c r="I34">
        <v>70</v>
      </c>
      <c r="J34">
        <v>494</v>
      </c>
      <c r="K34">
        <v>0</v>
      </c>
    </row>
    <row r="35" spans="1:11" x14ac:dyDescent="0.25">
      <c r="A35">
        <v>33</v>
      </c>
      <c r="B35">
        <v>33</v>
      </c>
      <c r="C35">
        <v>30</v>
      </c>
      <c r="D35">
        <v>2</v>
      </c>
      <c r="E35">
        <v>68</v>
      </c>
      <c r="F35">
        <v>1</v>
      </c>
      <c r="G35">
        <v>99</v>
      </c>
      <c r="H35">
        <v>0</v>
      </c>
      <c r="I35">
        <v>70</v>
      </c>
      <c r="J35">
        <v>494</v>
      </c>
      <c r="K35">
        <v>1</v>
      </c>
    </row>
    <row r="36" spans="1:11" x14ac:dyDescent="0.25">
      <c r="A36">
        <v>34</v>
      </c>
      <c r="B36">
        <v>34</v>
      </c>
      <c r="C36">
        <v>30</v>
      </c>
      <c r="D36">
        <v>2</v>
      </c>
      <c r="E36">
        <v>68</v>
      </c>
      <c r="F36">
        <v>50</v>
      </c>
      <c r="G36">
        <v>50</v>
      </c>
      <c r="H36">
        <v>0</v>
      </c>
      <c r="I36">
        <v>70</v>
      </c>
      <c r="J36">
        <v>248</v>
      </c>
      <c r="K36">
        <v>0</v>
      </c>
    </row>
    <row r="37" spans="1:11" x14ac:dyDescent="0.25">
      <c r="A37">
        <v>35</v>
      </c>
      <c r="B37">
        <v>35</v>
      </c>
      <c r="C37">
        <v>30</v>
      </c>
      <c r="D37">
        <v>2</v>
      </c>
      <c r="E37">
        <v>68</v>
      </c>
      <c r="F37">
        <v>1</v>
      </c>
      <c r="G37">
        <v>99</v>
      </c>
      <c r="H37">
        <v>0</v>
      </c>
      <c r="I37">
        <v>70</v>
      </c>
      <c r="J37">
        <v>492</v>
      </c>
      <c r="K37">
        <v>1</v>
      </c>
    </row>
    <row r="38" spans="1:11" x14ac:dyDescent="0.25">
      <c r="A38">
        <v>36</v>
      </c>
      <c r="B38">
        <v>36</v>
      </c>
      <c r="C38">
        <v>29</v>
      </c>
      <c r="D38">
        <v>2</v>
      </c>
      <c r="E38">
        <v>69</v>
      </c>
      <c r="F38">
        <v>45</v>
      </c>
      <c r="G38">
        <v>55</v>
      </c>
      <c r="H38">
        <v>1</v>
      </c>
      <c r="I38">
        <v>71</v>
      </c>
      <c r="J38">
        <v>274</v>
      </c>
      <c r="K38">
        <v>0</v>
      </c>
    </row>
    <row r="39" spans="1:11" x14ac:dyDescent="0.25">
      <c r="A39">
        <v>37</v>
      </c>
      <c r="B39">
        <v>37</v>
      </c>
      <c r="C39">
        <v>28</v>
      </c>
      <c r="D39">
        <v>3</v>
      </c>
      <c r="E39">
        <v>69</v>
      </c>
      <c r="F39">
        <v>1</v>
      </c>
      <c r="G39">
        <v>99</v>
      </c>
      <c r="H39">
        <v>1</v>
      </c>
      <c r="I39">
        <v>72</v>
      </c>
      <c r="J39">
        <v>494</v>
      </c>
      <c r="K39">
        <v>0</v>
      </c>
    </row>
    <row r="40" spans="1:11" x14ac:dyDescent="0.25">
      <c r="A40">
        <v>38</v>
      </c>
      <c r="B40">
        <v>38</v>
      </c>
      <c r="C40">
        <v>27</v>
      </c>
      <c r="D40">
        <v>3</v>
      </c>
      <c r="E40">
        <v>70</v>
      </c>
      <c r="F40">
        <v>0</v>
      </c>
      <c r="G40">
        <v>100</v>
      </c>
      <c r="H40">
        <v>1</v>
      </c>
      <c r="I40">
        <v>73</v>
      </c>
      <c r="J40">
        <v>500</v>
      </c>
      <c r="K40">
        <v>0</v>
      </c>
    </row>
    <row r="41" spans="1:11" x14ac:dyDescent="0.25">
      <c r="A41">
        <v>39</v>
      </c>
      <c r="B41">
        <v>39</v>
      </c>
      <c r="C41">
        <v>27</v>
      </c>
      <c r="D41">
        <v>3</v>
      </c>
      <c r="E41">
        <v>70</v>
      </c>
      <c r="F41">
        <v>0</v>
      </c>
      <c r="G41">
        <v>100</v>
      </c>
      <c r="H41">
        <v>0</v>
      </c>
      <c r="I41">
        <v>73</v>
      </c>
      <c r="J41">
        <v>498</v>
      </c>
      <c r="K41">
        <v>1</v>
      </c>
    </row>
    <row r="42" spans="1:11" x14ac:dyDescent="0.25">
      <c r="A42">
        <v>40</v>
      </c>
      <c r="B42">
        <v>40</v>
      </c>
      <c r="C42">
        <v>27</v>
      </c>
      <c r="D42">
        <v>3</v>
      </c>
      <c r="E42">
        <v>70</v>
      </c>
      <c r="F42">
        <v>50</v>
      </c>
      <c r="G42">
        <v>50</v>
      </c>
      <c r="H42">
        <v>0</v>
      </c>
      <c r="I42">
        <v>73</v>
      </c>
      <c r="J42">
        <v>250</v>
      </c>
      <c r="K42">
        <v>1</v>
      </c>
    </row>
    <row r="43" spans="1:11" x14ac:dyDescent="0.25">
      <c r="A43">
        <v>41</v>
      </c>
      <c r="B43">
        <v>41</v>
      </c>
      <c r="C43">
        <v>27</v>
      </c>
      <c r="D43">
        <v>3</v>
      </c>
      <c r="E43">
        <v>70</v>
      </c>
      <c r="F43">
        <v>49</v>
      </c>
      <c r="G43">
        <v>51</v>
      </c>
      <c r="H43">
        <v>0</v>
      </c>
      <c r="I43">
        <v>73</v>
      </c>
      <c r="J43">
        <v>250</v>
      </c>
      <c r="K43">
        <v>1</v>
      </c>
    </row>
    <row r="44" spans="1:11" x14ac:dyDescent="0.25">
      <c r="A44">
        <v>42</v>
      </c>
      <c r="B44">
        <v>42</v>
      </c>
      <c r="C44">
        <v>27</v>
      </c>
      <c r="D44">
        <v>2</v>
      </c>
      <c r="E44">
        <v>71</v>
      </c>
      <c r="F44">
        <v>50</v>
      </c>
      <c r="G44">
        <v>50</v>
      </c>
      <c r="H44">
        <v>0</v>
      </c>
      <c r="I44">
        <v>73</v>
      </c>
      <c r="J44">
        <v>248</v>
      </c>
      <c r="K44">
        <v>0</v>
      </c>
    </row>
    <row r="45" spans="1:11" x14ac:dyDescent="0.25">
      <c r="A45">
        <v>43</v>
      </c>
      <c r="B45">
        <v>43</v>
      </c>
      <c r="C45">
        <v>27</v>
      </c>
      <c r="D45">
        <v>1</v>
      </c>
      <c r="E45">
        <v>72</v>
      </c>
      <c r="F45">
        <v>0</v>
      </c>
      <c r="G45">
        <v>100</v>
      </c>
      <c r="H45">
        <v>0</v>
      </c>
      <c r="I45">
        <v>73</v>
      </c>
      <c r="J45">
        <v>498</v>
      </c>
      <c r="K45">
        <v>0</v>
      </c>
    </row>
    <row r="46" spans="1:11" x14ac:dyDescent="0.25">
      <c r="A46">
        <v>44</v>
      </c>
      <c r="B46">
        <v>44</v>
      </c>
      <c r="C46">
        <v>27</v>
      </c>
      <c r="D46">
        <v>0</v>
      </c>
      <c r="E46">
        <v>73</v>
      </c>
      <c r="F46">
        <v>0</v>
      </c>
      <c r="G46">
        <v>100</v>
      </c>
      <c r="H46">
        <v>0</v>
      </c>
      <c r="I46">
        <v>73</v>
      </c>
      <c r="J46">
        <v>498</v>
      </c>
      <c r="K4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4CC5-6649-4A01-A4C8-61E165ECF599}">
  <dimension ref="A1:K47"/>
  <sheetViews>
    <sheetView workbookViewId="0">
      <selection activeCell="K43" sqref="K43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98</v>
      </c>
      <c r="D2">
        <v>2</v>
      </c>
      <c r="E2">
        <v>0</v>
      </c>
      <c r="F2">
        <v>0</v>
      </c>
      <c r="G2">
        <v>100</v>
      </c>
      <c r="H2">
        <v>2</v>
      </c>
      <c r="I2">
        <v>2</v>
      </c>
      <c r="J2">
        <v>0</v>
      </c>
      <c r="K2">
        <v>0</v>
      </c>
    </row>
    <row r="3" spans="1:11" x14ac:dyDescent="0.25">
      <c r="A3">
        <v>1</v>
      </c>
      <c r="B3">
        <v>1</v>
      </c>
      <c r="C3">
        <v>97</v>
      </c>
      <c r="D3">
        <v>3</v>
      </c>
      <c r="E3">
        <v>0</v>
      </c>
      <c r="F3">
        <v>1</v>
      </c>
      <c r="G3">
        <v>99</v>
      </c>
      <c r="H3">
        <v>1</v>
      </c>
      <c r="I3">
        <v>3</v>
      </c>
      <c r="J3">
        <v>494</v>
      </c>
      <c r="K3">
        <v>0</v>
      </c>
    </row>
    <row r="4" spans="1:11" x14ac:dyDescent="0.25">
      <c r="A4">
        <v>2</v>
      </c>
      <c r="B4">
        <v>2</v>
      </c>
      <c r="C4">
        <v>95</v>
      </c>
      <c r="D4">
        <v>5</v>
      </c>
      <c r="E4">
        <v>0</v>
      </c>
      <c r="F4">
        <v>1</v>
      </c>
      <c r="G4">
        <v>99</v>
      </c>
      <c r="H4">
        <v>2</v>
      </c>
      <c r="I4">
        <v>5</v>
      </c>
      <c r="J4">
        <v>492</v>
      </c>
      <c r="K4">
        <v>0</v>
      </c>
    </row>
    <row r="5" spans="1:11" x14ac:dyDescent="0.25">
      <c r="A5">
        <v>3</v>
      </c>
      <c r="B5">
        <v>3</v>
      </c>
      <c r="C5">
        <v>89</v>
      </c>
      <c r="D5">
        <v>11</v>
      </c>
      <c r="E5">
        <v>0</v>
      </c>
      <c r="F5">
        <v>1</v>
      </c>
      <c r="G5">
        <v>99</v>
      </c>
      <c r="H5">
        <v>6</v>
      </c>
      <c r="I5">
        <v>11</v>
      </c>
      <c r="J5">
        <v>494</v>
      </c>
      <c r="K5">
        <v>2</v>
      </c>
    </row>
    <row r="6" spans="1:11" x14ac:dyDescent="0.25">
      <c r="A6">
        <v>4</v>
      </c>
      <c r="B6">
        <v>4</v>
      </c>
      <c r="C6">
        <v>87</v>
      </c>
      <c r="D6">
        <v>13</v>
      </c>
      <c r="E6">
        <v>0</v>
      </c>
      <c r="F6">
        <v>70</v>
      </c>
      <c r="G6">
        <v>30</v>
      </c>
      <c r="H6">
        <v>2</v>
      </c>
      <c r="I6">
        <v>13</v>
      </c>
      <c r="J6">
        <v>150</v>
      </c>
      <c r="K6">
        <v>1</v>
      </c>
    </row>
    <row r="7" spans="1:11" x14ac:dyDescent="0.25">
      <c r="A7">
        <v>5</v>
      </c>
      <c r="B7">
        <v>5</v>
      </c>
      <c r="C7">
        <v>81</v>
      </c>
      <c r="D7">
        <v>19</v>
      </c>
      <c r="E7">
        <v>0</v>
      </c>
      <c r="F7">
        <v>54</v>
      </c>
      <c r="G7">
        <v>46</v>
      </c>
      <c r="H7">
        <v>6</v>
      </c>
      <c r="I7">
        <v>19</v>
      </c>
      <c r="J7">
        <v>228</v>
      </c>
      <c r="K7">
        <v>2</v>
      </c>
    </row>
    <row r="8" spans="1:11" x14ac:dyDescent="0.25">
      <c r="A8">
        <v>6</v>
      </c>
      <c r="B8">
        <v>6</v>
      </c>
      <c r="C8">
        <v>77</v>
      </c>
      <c r="D8">
        <v>21</v>
      </c>
      <c r="E8">
        <v>2</v>
      </c>
      <c r="F8">
        <v>71</v>
      </c>
      <c r="G8">
        <v>29</v>
      </c>
      <c r="H8">
        <v>4</v>
      </c>
      <c r="I8">
        <v>23</v>
      </c>
      <c r="J8">
        <v>142</v>
      </c>
      <c r="K8">
        <v>6</v>
      </c>
    </row>
    <row r="9" spans="1:11" x14ac:dyDescent="0.25">
      <c r="A9">
        <v>7</v>
      </c>
      <c r="B9">
        <v>7</v>
      </c>
      <c r="C9">
        <v>74</v>
      </c>
      <c r="D9">
        <v>23</v>
      </c>
      <c r="E9">
        <v>3</v>
      </c>
      <c r="F9">
        <v>74</v>
      </c>
      <c r="G9">
        <v>26</v>
      </c>
      <c r="H9">
        <v>3</v>
      </c>
      <c r="I9">
        <v>26</v>
      </c>
      <c r="J9">
        <v>130</v>
      </c>
      <c r="K9">
        <v>2</v>
      </c>
    </row>
    <row r="10" spans="1:11" x14ac:dyDescent="0.25">
      <c r="A10">
        <v>8</v>
      </c>
      <c r="B10">
        <v>8</v>
      </c>
      <c r="C10">
        <v>69</v>
      </c>
      <c r="D10">
        <v>26</v>
      </c>
      <c r="E10">
        <v>5</v>
      </c>
      <c r="F10">
        <v>79</v>
      </c>
      <c r="G10">
        <v>21</v>
      </c>
      <c r="H10">
        <v>5</v>
      </c>
      <c r="I10">
        <v>31</v>
      </c>
      <c r="J10">
        <v>104</v>
      </c>
      <c r="K10">
        <v>6</v>
      </c>
    </row>
    <row r="11" spans="1:11" x14ac:dyDescent="0.25">
      <c r="A11">
        <v>9</v>
      </c>
      <c r="B11">
        <v>9</v>
      </c>
      <c r="C11">
        <v>64</v>
      </c>
      <c r="D11">
        <v>25</v>
      </c>
      <c r="E11">
        <v>11</v>
      </c>
      <c r="F11">
        <v>77</v>
      </c>
      <c r="G11">
        <v>23</v>
      </c>
      <c r="H11">
        <v>5</v>
      </c>
      <c r="I11">
        <v>36</v>
      </c>
      <c r="J11">
        <v>114</v>
      </c>
      <c r="K11">
        <v>4</v>
      </c>
    </row>
    <row r="12" spans="1:11" x14ac:dyDescent="0.25">
      <c r="A12">
        <v>10</v>
      </c>
      <c r="B12">
        <v>10</v>
      </c>
      <c r="C12">
        <v>61</v>
      </c>
      <c r="D12">
        <v>26</v>
      </c>
      <c r="E12">
        <v>13</v>
      </c>
      <c r="F12">
        <v>74</v>
      </c>
      <c r="G12">
        <v>26</v>
      </c>
      <c r="H12">
        <v>3</v>
      </c>
      <c r="I12">
        <v>39</v>
      </c>
      <c r="J12">
        <v>128</v>
      </c>
      <c r="K12">
        <v>3</v>
      </c>
    </row>
    <row r="13" spans="1:11" x14ac:dyDescent="0.25">
      <c r="A13">
        <v>11</v>
      </c>
      <c r="B13">
        <v>11</v>
      </c>
      <c r="C13">
        <v>59</v>
      </c>
      <c r="D13">
        <v>22</v>
      </c>
      <c r="E13">
        <v>19</v>
      </c>
      <c r="F13">
        <v>74</v>
      </c>
      <c r="G13">
        <v>26</v>
      </c>
      <c r="H13">
        <v>2</v>
      </c>
      <c r="I13">
        <v>41</v>
      </c>
      <c r="J13">
        <v>128</v>
      </c>
      <c r="K13">
        <v>5</v>
      </c>
    </row>
    <row r="14" spans="1:11" x14ac:dyDescent="0.25">
      <c r="A14">
        <v>12</v>
      </c>
      <c r="B14">
        <v>12</v>
      </c>
      <c r="C14">
        <v>59</v>
      </c>
      <c r="D14">
        <v>18</v>
      </c>
      <c r="E14">
        <v>23</v>
      </c>
      <c r="F14">
        <v>79</v>
      </c>
      <c r="G14">
        <v>21</v>
      </c>
      <c r="H14">
        <v>0</v>
      </c>
      <c r="I14">
        <v>41</v>
      </c>
      <c r="J14">
        <v>102</v>
      </c>
      <c r="K14">
        <v>5</v>
      </c>
    </row>
    <row r="15" spans="1:11" x14ac:dyDescent="0.25">
      <c r="A15">
        <v>13</v>
      </c>
      <c r="B15">
        <v>13</v>
      </c>
      <c r="C15">
        <v>57</v>
      </c>
      <c r="D15">
        <v>17</v>
      </c>
      <c r="E15">
        <v>26</v>
      </c>
      <c r="F15">
        <v>75</v>
      </c>
      <c r="G15">
        <v>25</v>
      </c>
      <c r="H15">
        <v>2</v>
      </c>
      <c r="I15">
        <v>43</v>
      </c>
      <c r="J15">
        <v>124</v>
      </c>
      <c r="K15">
        <v>3</v>
      </c>
    </row>
    <row r="16" spans="1:11" x14ac:dyDescent="0.25">
      <c r="A16">
        <v>14</v>
      </c>
      <c r="B16">
        <v>14</v>
      </c>
      <c r="C16">
        <v>57</v>
      </c>
      <c r="D16">
        <v>12</v>
      </c>
      <c r="E16">
        <v>31</v>
      </c>
      <c r="F16">
        <v>69</v>
      </c>
      <c r="G16">
        <v>31</v>
      </c>
      <c r="H16">
        <v>0</v>
      </c>
      <c r="I16">
        <v>43</v>
      </c>
      <c r="J16">
        <v>154</v>
      </c>
      <c r="K16">
        <v>2</v>
      </c>
    </row>
    <row r="17" spans="1:11" x14ac:dyDescent="0.25">
      <c r="A17">
        <v>15</v>
      </c>
      <c r="B17">
        <v>15</v>
      </c>
      <c r="C17">
        <v>56</v>
      </c>
      <c r="D17">
        <v>8</v>
      </c>
      <c r="E17">
        <v>36</v>
      </c>
      <c r="F17">
        <v>74</v>
      </c>
      <c r="G17">
        <v>26</v>
      </c>
      <c r="H17">
        <v>1</v>
      </c>
      <c r="I17">
        <v>44</v>
      </c>
      <c r="J17">
        <v>128</v>
      </c>
      <c r="K17">
        <v>0</v>
      </c>
    </row>
    <row r="18" spans="1:11" x14ac:dyDescent="0.25">
      <c r="A18">
        <v>16</v>
      </c>
      <c r="B18">
        <v>16</v>
      </c>
      <c r="C18">
        <v>56</v>
      </c>
      <c r="D18">
        <v>5</v>
      </c>
      <c r="E18">
        <v>39</v>
      </c>
      <c r="F18">
        <v>4</v>
      </c>
      <c r="G18">
        <v>96</v>
      </c>
      <c r="H18">
        <v>0</v>
      </c>
      <c r="I18">
        <v>44</v>
      </c>
      <c r="J18">
        <v>480</v>
      </c>
      <c r="K18">
        <v>2</v>
      </c>
    </row>
    <row r="19" spans="1:11" x14ac:dyDescent="0.25">
      <c r="A19">
        <v>17</v>
      </c>
      <c r="B19">
        <v>17</v>
      </c>
      <c r="C19">
        <v>56</v>
      </c>
      <c r="D19">
        <v>3</v>
      </c>
      <c r="E19">
        <v>41</v>
      </c>
      <c r="F19">
        <v>70</v>
      </c>
      <c r="G19">
        <v>30</v>
      </c>
      <c r="H19">
        <v>0</v>
      </c>
      <c r="I19">
        <v>44</v>
      </c>
      <c r="J19">
        <v>150</v>
      </c>
      <c r="K19">
        <v>0</v>
      </c>
    </row>
    <row r="20" spans="1:11" x14ac:dyDescent="0.25">
      <c r="A20">
        <v>18</v>
      </c>
      <c r="B20">
        <v>18</v>
      </c>
      <c r="C20">
        <v>53</v>
      </c>
      <c r="D20">
        <v>6</v>
      </c>
      <c r="E20">
        <v>41</v>
      </c>
      <c r="F20">
        <v>2</v>
      </c>
      <c r="G20">
        <v>98</v>
      </c>
      <c r="H20">
        <v>3</v>
      </c>
      <c r="I20">
        <v>47</v>
      </c>
      <c r="J20">
        <v>488</v>
      </c>
      <c r="K20">
        <v>1</v>
      </c>
    </row>
    <row r="21" spans="1:11" x14ac:dyDescent="0.25">
      <c r="A21">
        <v>19</v>
      </c>
      <c r="B21">
        <v>19</v>
      </c>
      <c r="C21">
        <v>53</v>
      </c>
      <c r="D21">
        <v>4</v>
      </c>
      <c r="E21">
        <v>43</v>
      </c>
      <c r="F21">
        <v>54</v>
      </c>
      <c r="G21">
        <v>46</v>
      </c>
      <c r="H21">
        <v>0</v>
      </c>
      <c r="I21">
        <v>47</v>
      </c>
      <c r="J21">
        <v>230</v>
      </c>
      <c r="K21">
        <v>0</v>
      </c>
    </row>
    <row r="22" spans="1:11" x14ac:dyDescent="0.25">
      <c r="A22">
        <v>20</v>
      </c>
      <c r="B22">
        <v>20</v>
      </c>
      <c r="C22">
        <v>52</v>
      </c>
      <c r="D22">
        <v>5</v>
      </c>
      <c r="E22">
        <v>43</v>
      </c>
      <c r="F22">
        <v>1</v>
      </c>
      <c r="G22">
        <v>99</v>
      </c>
      <c r="H22">
        <v>1</v>
      </c>
      <c r="I22">
        <v>48</v>
      </c>
      <c r="J22">
        <v>494</v>
      </c>
      <c r="K22">
        <v>0</v>
      </c>
    </row>
    <row r="23" spans="1:11" x14ac:dyDescent="0.25">
      <c r="A23">
        <v>21</v>
      </c>
      <c r="B23">
        <v>21</v>
      </c>
      <c r="C23">
        <v>48</v>
      </c>
      <c r="D23">
        <v>8</v>
      </c>
      <c r="E23">
        <v>44</v>
      </c>
      <c r="F23">
        <v>2</v>
      </c>
      <c r="G23">
        <v>98</v>
      </c>
      <c r="H23">
        <v>4</v>
      </c>
      <c r="I23">
        <v>52</v>
      </c>
      <c r="J23">
        <v>488</v>
      </c>
      <c r="K23">
        <v>3</v>
      </c>
    </row>
    <row r="24" spans="1:11" x14ac:dyDescent="0.25">
      <c r="A24">
        <v>22</v>
      </c>
      <c r="B24">
        <v>22</v>
      </c>
      <c r="C24">
        <v>48</v>
      </c>
      <c r="D24">
        <v>8</v>
      </c>
      <c r="E24">
        <v>44</v>
      </c>
      <c r="F24">
        <v>60</v>
      </c>
      <c r="G24">
        <v>40</v>
      </c>
      <c r="H24">
        <v>0</v>
      </c>
      <c r="I24">
        <v>52</v>
      </c>
      <c r="J24">
        <v>196</v>
      </c>
      <c r="K24">
        <v>0</v>
      </c>
    </row>
    <row r="25" spans="1:11" x14ac:dyDescent="0.25">
      <c r="A25">
        <v>23</v>
      </c>
      <c r="B25">
        <v>23</v>
      </c>
      <c r="C25">
        <v>44</v>
      </c>
      <c r="D25">
        <v>12</v>
      </c>
      <c r="E25">
        <v>44</v>
      </c>
      <c r="F25">
        <v>4</v>
      </c>
      <c r="G25">
        <v>96</v>
      </c>
      <c r="H25">
        <v>4</v>
      </c>
      <c r="I25">
        <v>56</v>
      </c>
      <c r="J25">
        <v>480</v>
      </c>
      <c r="K25">
        <v>1</v>
      </c>
    </row>
    <row r="26" spans="1:11" x14ac:dyDescent="0.25">
      <c r="A26">
        <v>24</v>
      </c>
      <c r="B26">
        <v>24</v>
      </c>
      <c r="C26">
        <v>44</v>
      </c>
      <c r="D26">
        <v>9</v>
      </c>
      <c r="E26">
        <v>47</v>
      </c>
      <c r="F26">
        <v>52</v>
      </c>
      <c r="G26">
        <v>48</v>
      </c>
      <c r="H26">
        <v>0</v>
      </c>
      <c r="I26">
        <v>56</v>
      </c>
      <c r="J26">
        <v>238</v>
      </c>
      <c r="K26">
        <v>4</v>
      </c>
    </row>
    <row r="27" spans="1:11" x14ac:dyDescent="0.25">
      <c r="A27">
        <v>25</v>
      </c>
      <c r="B27">
        <v>25</v>
      </c>
      <c r="C27">
        <v>44</v>
      </c>
      <c r="D27">
        <v>9</v>
      </c>
      <c r="E27">
        <v>47</v>
      </c>
      <c r="F27">
        <v>60</v>
      </c>
      <c r="G27">
        <v>40</v>
      </c>
      <c r="H27">
        <v>0</v>
      </c>
      <c r="I27">
        <v>56</v>
      </c>
      <c r="J27">
        <v>200</v>
      </c>
      <c r="K27">
        <v>0</v>
      </c>
    </row>
    <row r="28" spans="1:11" x14ac:dyDescent="0.25">
      <c r="A28">
        <v>26</v>
      </c>
      <c r="B28">
        <v>26</v>
      </c>
      <c r="C28">
        <v>42</v>
      </c>
      <c r="D28">
        <v>10</v>
      </c>
      <c r="E28">
        <v>48</v>
      </c>
      <c r="F28">
        <v>4</v>
      </c>
      <c r="G28">
        <v>96</v>
      </c>
      <c r="H28">
        <v>2</v>
      </c>
      <c r="I28">
        <v>58</v>
      </c>
      <c r="J28">
        <v>478</v>
      </c>
      <c r="K28">
        <v>4</v>
      </c>
    </row>
    <row r="29" spans="1:11" x14ac:dyDescent="0.25">
      <c r="A29">
        <v>27</v>
      </c>
      <c r="B29">
        <v>27</v>
      </c>
      <c r="C29">
        <v>42</v>
      </c>
      <c r="D29">
        <v>6</v>
      </c>
      <c r="E29">
        <v>52</v>
      </c>
      <c r="F29">
        <v>65</v>
      </c>
      <c r="G29">
        <v>35</v>
      </c>
      <c r="H29">
        <v>0</v>
      </c>
      <c r="I29">
        <v>58</v>
      </c>
      <c r="J29">
        <v>172</v>
      </c>
      <c r="K29">
        <v>0</v>
      </c>
    </row>
    <row r="30" spans="1:11" x14ac:dyDescent="0.25">
      <c r="A30">
        <v>28</v>
      </c>
      <c r="B30">
        <v>28</v>
      </c>
      <c r="C30">
        <v>40</v>
      </c>
      <c r="D30">
        <v>8</v>
      </c>
      <c r="E30">
        <v>52</v>
      </c>
      <c r="F30">
        <v>3</v>
      </c>
      <c r="G30">
        <v>97</v>
      </c>
      <c r="H30">
        <v>2</v>
      </c>
      <c r="I30">
        <v>60</v>
      </c>
      <c r="J30">
        <v>482</v>
      </c>
      <c r="K30">
        <v>0</v>
      </c>
    </row>
    <row r="31" spans="1:11" x14ac:dyDescent="0.25">
      <c r="A31">
        <v>29</v>
      </c>
      <c r="B31">
        <v>29</v>
      </c>
      <c r="C31">
        <v>38</v>
      </c>
      <c r="D31">
        <v>6</v>
      </c>
      <c r="E31">
        <v>56</v>
      </c>
      <c r="F31">
        <v>2</v>
      </c>
      <c r="G31">
        <v>98</v>
      </c>
      <c r="H31">
        <v>2</v>
      </c>
      <c r="I31">
        <v>62</v>
      </c>
      <c r="J31">
        <v>490</v>
      </c>
      <c r="K31">
        <v>2</v>
      </c>
    </row>
    <row r="32" spans="1:11" x14ac:dyDescent="0.25">
      <c r="A32">
        <v>30</v>
      </c>
      <c r="B32">
        <v>30</v>
      </c>
      <c r="C32">
        <v>38</v>
      </c>
      <c r="D32">
        <v>6</v>
      </c>
      <c r="E32">
        <v>56</v>
      </c>
      <c r="F32">
        <v>69</v>
      </c>
      <c r="G32">
        <v>31</v>
      </c>
      <c r="H32">
        <v>0</v>
      </c>
      <c r="I32">
        <v>62</v>
      </c>
      <c r="J32">
        <v>152</v>
      </c>
      <c r="K32">
        <v>0</v>
      </c>
    </row>
    <row r="33" spans="1:11" x14ac:dyDescent="0.25">
      <c r="A33">
        <v>31</v>
      </c>
      <c r="B33">
        <v>31</v>
      </c>
      <c r="C33">
        <v>36</v>
      </c>
      <c r="D33">
        <v>8</v>
      </c>
      <c r="E33">
        <v>56</v>
      </c>
      <c r="F33">
        <v>2</v>
      </c>
      <c r="G33">
        <v>98</v>
      </c>
      <c r="H33">
        <v>2</v>
      </c>
      <c r="I33">
        <v>64</v>
      </c>
      <c r="J33">
        <v>488</v>
      </c>
      <c r="K33">
        <v>2</v>
      </c>
    </row>
    <row r="34" spans="1:11" x14ac:dyDescent="0.25">
      <c r="A34">
        <v>32</v>
      </c>
      <c r="B34">
        <v>32</v>
      </c>
      <c r="C34">
        <v>36</v>
      </c>
      <c r="D34">
        <v>6</v>
      </c>
      <c r="E34">
        <v>58</v>
      </c>
      <c r="F34">
        <v>71</v>
      </c>
      <c r="G34">
        <v>29</v>
      </c>
      <c r="H34">
        <v>0</v>
      </c>
      <c r="I34">
        <v>64</v>
      </c>
      <c r="J34">
        <v>142</v>
      </c>
      <c r="K34">
        <v>2</v>
      </c>
    </row>
    <row r="35" spans="1:11" x14ac:dyDescent="0.25">
      <c r="A35">
        <v>33</v>
      </c>
      <c r="B35">
        <v>33</v>
      </c>
      <c r="C35">
        <v>36</v>
      </c>
      <c r="D35">
        <v>6</v>
      </c>
      <c r="E35">
        <v>58</v>
      </c>
      <c r="F35">
        <v>71</v>
      </c>
      <c r="G35">
        <v>29</v>
      </c>
      <c r="H35">
        <v>0</v>
      </c>
      <c r="I35">
        <v>64</v>
      </c>
      <c r="J35">
        <v>144</v>
      </c>
      <c r="K35">
        <v>0</v>
      </c>
    </row>
    <row r="36" spans="1:11" x14ac:dyDescent="0.25">
      <c r="A36">
        <v>34</v>
      </c>
      <c r="B36">
        <v>34</v>
      </c>
      <c r="C36">
        <v>33</v>
      </c>
      <c r="D36">
        <v>7</v>
      </c>
      <c r="E36">
        <v>60</v>
      </c>
      <c r="F36">
        <v>2</v>
      </c>
      <c r="G36">
        <v>98</v>
      </c>
      <c r="H36">
        <v>3</v>
      </c>
      <c r="I36">
        <v>67</v>
      </c>
      <c r="J36">
        <v>490</v>
      </c>
      <c r="K36">
        <v>2</v>
      </c>
    </row>
    <row r="37" spans="1:11" x14ac:dyDescent="0.25">
      <c r="A37">
        <v>35</v>
      </c>
      <c r="B37">
        <v>35</v>
      </c>
      <c r="C37">
        <v>33</v>
      </c>
      <c r="D37">
        <v>5</v>
      </c>
      <c r="E37">
        <v>62</v>
      </c>
      <c r="F37">
        <v>70</v>
      </c>
      <c r="G37">
        <v>30</v>
      </c>
      <c r="H37">
        <v>0</v>
      </c>
      <c r="I37">
        <v>67</v>
      </c>
      <c r="J37">
        <v>148</v>
      </c>
      <c r="K37">
        <v>0</v>
      </c>
    </row>
    <row r="38" spans="1:11" x14ac:dyDescent="0.25">
      <c r="A38">
        <v>36</v>
      </c>
      <c r="B38">
        <v>36</v>
      </c>
      <c r="C38">
        <v>32</v>
      </c>
      <c r="D38">
        <v>6</v>
      </c>
      <c r="E38">
        <v>62</v>
      </c>
      <c r="F38">
        <v>2</v>
      </c>
      <c r="G38">
        <v>98</v>
      </c>
      <c r="H38">
        <v>1</v>
      </c>
      <c r="I38">
        <v>68</v>
      </c>
      <c r="J38">
        <v>490</v>
      </c>
      <c r="K38">
        <v>0</v>
      </c>
    </row>
    <row r="39" spans="1:11" x14ac:dyDescent="0.25">
      <c r="A39">
        <v>37</v>
      </c>
      <c r="B39">
        <v>37</v>
      </c>
      <c r="C39">
        <v>31</v>
      </c>
      <c r="D39">
        <v>5</v>
      </c>
      <c r="E39">
        <v>64</v>
      </c>
      <c r="F39">
        <v>1</v>
      </c>
      <c r="G39">
        <v>99</v>
      </c>
      <c r="H39">
        <v>1</v>
      </c>
      <c r="I39">
        <v>69</v>
      </c>
      <c r="J39">
        <v>492</v>
      </c>
      <c r="K39">
        <v>3</v>
      </c>
    </row>
    <row r="40" spans="1:11" x14ac:dyDescent="0.25">
      <c r="A40">
        <v>38</v>
      </c>
      <c r="B40">
        <v>38</v>
      </c>
      <c r="C40">
        <v>30</v>
      </c>
      <c r="D40">
        <v>6</v>
      </c>
      <c r="E40">
        <v>64</v>
      </c>
      <c r="F40">
        <v>58</v>
      </c>
      <c r="G40">
        <v>42</v>
      </c>
      <c r="H40">
        <v>1</v>
      </c>
      <c r="I40">
        <v>70</v>
      </c>
      <c r="J40">
        <v>210</v>
      </c>
      <c r="K40">
        <v>0</v>
      </c>
    </row>
    <row r="41" spans="1:11" x14ac:dyDescent="0.25">
      <c r="A41">
        <v>39</v>
      </c>
      <c r="B41">
        <v>39</v>
      </c>
      <c r="C41">
        <v>29</v>
      </c>
      <c r="D41">
        <v>7</v>
      </c>
      <c r="E41">
        <v>64</v>
      </c>
      <c r="F41">
        <v>3</v>
      </c>
      <c r="G41">
        <v>97</v>
      </c>
      <c r="H41">
        <v>1</v>
      </c>
      <c r="I41">
        <v>71</v>
      </c>
      <c r="J41">
        <v>484</v>
      </c>
      <c r="K41">
        <v>1</v>
      </c>
    </row>
    <row r="42" spans="1:11" x14ac:dyDescent="0.25">
      <c r="A42">
        <v>40</v>
      </c>
      <c r="B42">
        <v>40</v>
      </c>
      <c r="C42">
        <v>29</v>
      </c>
      <c r="D42">
        <v>4</v>
      </c>
      <c r="E42">
        <v>67</v>
      </c>
      <c r="F42">
        <v>55</v>
      </c>
      <c r="G42">
        <v>45</v>
      </c>
      <c r="H42">
        <v>0</v>
      </c>
      <c r="I42">
        <v>71</v>
      </c>
      <c r="J42">
        <v>224</v>
      </c>
      <c r="K42">
        <v>1</v>
      </c>
    </row>
    <row r="43" spans="1:11" x14ac:dyDescent="0.25">
      <c r="A43">
        <v>41</v>
      </c>
      <c r="B43">
        <v>41</v>
      </c>
      <c r="C43">
        <v>29</v>
      </c>
      <c r="D43">
        <v>4</v>
      </c>
      <c r="E43">
        <v>67</v>
      </c>
      <c r="F43">
        <v>57</v>
      </c>
      <c r="G43">
        <v>43</v>
      </c>
      <c r="H43">
        <v>0</v>
      </c>
      <c r="I43">
        <v>71</v>
      </c>
      <c r="J43">
        <v>214</v>
      </c>
      <c r="K43">
        <v>1</v>
      </c>
    </row>
    <row r="44" spans="1:11" x14ac:dyDescent="0.25">
      <c r="A44">
        <v>42</v>
      </c>
      <c r="B44">
        <v>42</v>
      </c>
      <c r="C44">
        <v>29</v>
      </c>
      <c r="D44">
        <v>3</v>
      </c>
      <c r="E44">
        <v>68</v>
      </c>
      <c r="F44">
        <v>52</v>
      </c>
      <c r="G44">
        <v>48</v>
      </c>
      <c r="H44">
        <v>0</v>
      </c>
      <c r="I44">
        <v>71</v>
      </c>
      <c r="J44">
        <v>238</v>
      </c>
      <c r="K44">
        <v>1</v>
      </c>
    </row>
    <row r="45" spans="1:11" x14ac:dyDescent="0.25">
      <c r="A45">
        <v>43</v>
      </c>
      <c r="B45">
        <v>43</v>
      </c>
      <c r="C45">
        <v>29</v>
      </c>
      <c r="D45">
        <v>2</v>
      </c>
      <c r="E45">
        <v>69</v>
      </c>
      <c r="F45">
        <v>51</v>
      </c>
      <c r="G45">
        <v>49</v>
      </c>
      <c r="H45">
        <v>0</v>
      </c>
      <c r="I45">
        <v>71</v>
      </c>
      <c r="J45">
        <v>244</v>
      </c>
      <c r="K45">
        <v>0</v>
      </c>
    </row>
    <row r="46" spans="1:11" x14ac:dyDescent="0.25">
      <c r="A46">
        <v>44</v>
      </c>
      <c r="B46">
        <v>44</v>
      </c>
      <c r="C46">
        <v>29</v>
      </c>
      <c r="D46">
        <v>1</v>
      </c>
      <c r="E46">
        <v>70</v>
      </c>
      <c r="F46">
        <v>2</v>
      </c>
      <c r="G46">
        <v>98</v>
      </c>
      <c r="H46">
        <v>0</v>
      </c>
      <c r="I46">
        <v>71</v>
      </c>
      <c r="J46">
        <v>488</v>
      </c>
      <c r="K46">
        <v>0</v>
      </c>
    </row>
    <row r="47" spans="1:11" x14ac:dyDescent="0.25">
      <c r="A47">
        <v>45</v>
      </c>
      <c r="B47">
        <v>45</v>
      </c>
      <c r="C47">
        <v>29</v>
      </c>
      <c r="D47">
        <v>0</v>
      </c>
      <c r="E47">
        <v>71</v>
      </c>
      <c r="F47">
        <v>1</v>
      </c>
      <c r="G47">
        <v>99</v>
      </c>
      <c r="H47">
        <v>0</v>
      </c>
      <c r="I47">
        <v>71</v>
      </c>
      <c r="J47">
        <v>494</v>
      </c>
      <c r="K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Full Mobility Curves</vt:lpstr>
      <vt:lpstr>Full data</vt:lpstr>
      <vt:lpstr>Full data mobility detail</vt:lpstr>
      <vt:lpstr>Full data infectious details</vt:lpstr>
      <vt:lpstr>Baserun_Full</vt:lpstr>
      <vt:lpstr>Aware_Full</vt:lpstr>
      <vt:lpstr>Learn_Full</vt:lpstr>
      <vt:lpstr>Rich_Full</vt:lpstr>
      <vt:lpstr>Aware1</vt:lpstr>
      <vt:lpstr>Aware2</vt:lpstr>
      <vt:lpstr>Aware3</vt:lpstr>
      <vt:lpstr>Aware4</vt:lpstr>
      <vt:lpstr>Aware5</vt:lpstr>
      <vt:lpstr>Learn1</vt:lpstr>
      <vt:lpstr>Learn2</vt:lpstr>
      <vt:lpstr>Learn3</vt:lpstr>
      <vt:lpstr>Learn4</vt:lpstr>
      <vt:lpstr>Learn5</vt:lpstr>
      <vt:lpstr>Rich1</vt:lpstr>
      <vt:lpstr>Rich2</vt:lpstr>
      <vt:lpstr>Rich3</vt:lpstr>
      <vt:lpstr>Rich4</vt:lpstr>
      <vt:lpstr>Rich5</vt:lpstr>
      <vt:lpstr>Baserun1</vt:lpstr>
      <vt:lpstr>Baserun2</vt:lpstr>
      <vt:lpstr>Baserun3</vt:lpstr>
      <vt:lpstr>Baserun4</vt:lpstr>
      <vt:lpstr>Baserun5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</dc:creator>
  <cp:lastModifiedBy>Williams, Ross</cp:lastModifiedBy>
  <dcterms:created xsi:type="dcterms:W3CDTF">2023-07-12T19:17:04Z</dcterms:created>
  <dcterms:modified xsi:type="dcterms:W3CDTF">2023-09-19T13:57:21Z</dcterms:modified>
</cp:coreProperties>
</file>